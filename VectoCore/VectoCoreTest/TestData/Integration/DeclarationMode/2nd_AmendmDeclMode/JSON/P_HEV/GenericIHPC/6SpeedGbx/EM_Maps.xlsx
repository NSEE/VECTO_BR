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TINI\source\hm_vecto-dev\Generic Vehicles\Engineering Mode\GenericIHPC\6SpeedGbx\"/>
    </mc:Choice>
  </mc:AlternateContent>
  <xr:revisionPtr revIDLastSave="0" documentId="13_ncr:1_{ED825828-A4AE-4A1B-9FC7-958F4296FDC9}" xr6:coauthVersionLast="36" xr6:coauthVersionMax="36" xr10:uidLastSave="{00000000-0000-0000-0000-000000000000}"/>
  <bookViews>
    <workbookView xWindow="0" yWindow="0" windowWidth="38400" windowHeight="17025" activeTab="5" xr2:uid="{2FA5260A-3DB6-43CF-BFA1-B67E0640121D}"/>
  </bookViews>
  <sheets>
    <sheet name="Gear" sheetId="1" r:id="rId1"/>
    <sheet name="Gear (2)" sheetId="2" r:id="rId2"/>
    <sheet name="Gear (3)" sheetId="3" r:id="rId3"/>
    <sheet name="Gear (4)" sheetId="4" r:id="rId4"/>
    <sheet name="Gear (5)" sheetId="6" r:id="rId5"/>
    <sheet name="Gear (6)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13" i="7" l="1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51" i="7"/>
  <c r="O950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O955" i="6"/>
  <c r="O954" i="6"/>
  <c r="O953" i="6"/>
  <c r="O952" i="6"/>
  <c r="O951" i="6"/>
  <c r="O950" i="6"/>
  <c r="O949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O934" i="6"/>
  <c r="O933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2" i="1"/>
  <c r="N1013" i="7"/>
  <c r="M1013" i="7"/>
  <c r="L1013" i="7"/>
  <c r="N1012" i="7"/>
  <c r="M1012" i="7"/>
  <c r="L1012" i="7"/>
  <c r="N1011" i="7"/>
  <c r="M1011" i="7"/>
  <c r="L1011" i="7"/>
  <c r="N1010" i="7"/>
  <c r="M1010" i="7"/>
  <c r="L1010" i="7"/>
  <c r="N1009" i="7"/>
  <c r="M1009" i="7"/>
  <c r="L1009" i="7"/>
  <c r="N1008" i="7"/>
  <c r="M1008" i="7"/>
  <c r="L1008" i="7"/>
  <c r="N1007" i="7"/>
  <c r="M1007" i="7"/>
  <c r="L1007" i="7"/>
  <c r="N1006" i="7"/>
  <c r="M1006" i="7"/>
  <c r="L1006" i="7"/>
  <c r="N1005" i="7"/>
  <c r="M1005" i="7"/>
  <c r="L1005" i="7"/>
  <c r="N1004" i="7"/>
  <c r="M1004" i="7"/>
  <c r="L1004" i="7"/>
  <c r="N1003" i="7"/>
  <c r="M1003" i="7"/>
  <c r="L1003" i="7"/>
  <c r="N1002" i="7"/>
  <c r="M1002" i="7"/>
  <c r="L1002" i="7"/>
  <c r="N1001" i="7"/>
  <c r="M1001" i="7"/>
  <c r="L1001" i="7"/>
  <c r="N1000" i="7"/>
  <c r="M1000" i="7"/>
  <c r="L1000" i="7"/>
  <c r="N999" i="7"/>
  <c r="M999" i="7"/>
  <c r="L999" i="7"/>
  <c r="N998" i="7"/>
  <c r="M998" i="7"/>
  <c r="L998" i="7"/>
  <c r="N997" i="7"/>
  <c r="M997" i="7"/>
  <c r="L997" i="7"/>
  <c r="N996" i="7"/>
  <c r="M996" i="7"/>
  <c r="L996" i="7"/>
  <c r="N995" i="7"/>
  <c r="M995" i="7"/>
  <c r="L995" i="7"/>
  <c r="N994" i="7"/>
  <c r="M994" i="7"/>
  <c r="L994" i="7"/>
  <c r="N993" i="7"/>
  <c r="M993" i="7"/>
  <c r="L993" i="7"/>
  <c r="N992" i="7"/>
  <c r="M992" i="7"/>
  <c r="L992" i="7"/>
  <c r="N991" i="7"/>
  <c r="M991" i="7"/>
  <c r="L991" i="7"/>
  <c r="N990" i="7"/>
  <c r="M990" i="7"/>
  <c r="L990" i="7"/>
  <c r="N989" i="7"/>
  <c r="M989" i="7"/>
  <c r="L989" i="7"/>
  <c r="N988" i="7"/>
  <c r="M988" i="7"/>
  <c r="L988" i="7"/>
  <c r="N987" i="7"/>
  <c r="M987" i="7"/>
  <c r="L987" i="7"/>
  <c r="N986" i="7"/>
  <c r="M986" i="7"/>
  <c r="L986" i="7"/>
  <c r="N985" i="7"/>
  <c r="M985" i="7"/>
  <c r="L985" i="7"/>
  <c r="N984" i="7"/>
  <c r="M984" i="7"/>
  <c r="L984" i="7"/>
  <c r="N983" i="7"/>
  <c r="M983" i="7"/>
  <c r="L983" i="7"/>
  <c r="N982" i="7"/>
  <c r="M982" i="7"/>
  <c r="L982" i="7"/>
  <c r="N981" i="7"/>
  <c r="M981" i="7"/>
  <c r="L981" i="7"/>
  <c r="N980" i="7"/>
  <c r="M980" i="7"/>
  <c r="L980" i="7"/>
  <c r="N979" i="7"/>
  <c r="M979" i="7"/>
  <c r="L979" i="7"/>
  <c r="N978" i="7"/>
  <c r="M978" i="7"/>
  <c r="L978" i="7"/>
  <c r="N977" i="7"/>
  <c r="M977" i="7"/>
  <c r="L977" i="7"/>
  <c r="N976" i="7"/>
  <c r="M976" i="7"/>
  <c r="L976" i="7"/>
  <c r="N975" i="7"/>
  <c r="M975" i="7"/>
  <c r="L975" i="7"/>
  <c r="N974" i="7"/>
  <c r="M974" i="7"/>
  <c r="L974" i="7"/>
  <c r="N973" i="7"/>
  <c r="M973" i="7"/>
  <c r="L973" i="7"/>
  <c r="N972" i="7"/>
  <c r="M972" i="7"/>
  <c r="L972" i="7"/>
  <c r="N971" i="7"/>
  <c r="M971" i="7"/>
  <c r="L971" i="7"/>
  <c r="N970" i="7"/>
  <c r="M970" i="7"/>
  <c r="L970" i="7"/>
  <c r="N969" i="7"/>
  <c r="M969" i="7"/>
  <c r="L969" i="7"/>
  <c r="N968" i="7"/>
  <c r="M968" i="7"/>
  <c r="L968" i="7"/>
  <c r="N967" i="7"/>
  <c r="M967" i="7"/>
  <c r="L967" i="7"/>
  <c r="N966" i="7"/>
  <c r="M966" i="7"/>
  <c r="L966" i="7"/>
  <c r="N965" i="7"/>
  <c r="M965" i="7"/>
  <c r="L965" i="7"/>
  <c r="N964" i="7"/>
  <c r="M964" i="7"/>
  <c r="L964" i="7"/>
  <c r="N963" i="7"/>
  <c r="M963" i="7"/>
  <c r="L963" i="7"/>
  <c r="N962" i="7"/>
  <c r="M962" i="7"/>
  <c r="L962" i="7"/>
  <c r="N961" i="7"/>
  <c r="M961" i="7"/>
  <c r="L961" i="7"/>
  <c r="N960" i="7"/>
  <c r="M960" i="7"/>
  <c r="L960" i="7"/>
  <c r="N959" i="7"/>
  <c r="M959" i="7"/>
  <c r="L959" i="7"/>
  <c r="N958" i="7"/>
  <c r="M958" i="7"/>
  <c r="L958" i="7"/>
  <c r="N957" i="7"/>
  <c r="M957" i="7"/>
  <c r="L957" i="7"/>
  <c r="N956" i="7"/>
  <c r="M956" i="7"/>
  <c r="L956" i="7"/>
  <c r="N955" i="7"/>
  <c r="M955" i="7"/>
  <c r="L955" i="7"/>
  <c r="N954" i="7"/>
  <c r="M954" i="7"/>
  <c r="L954" i="7"/>
  <c r="N953" i="7"/>
  <c r="M953" i="7"/>
  <c r="L953" i="7"/>
  <c r="N952" i="7"/>
  <c r="M952" i="7"/>
  <c r="L952" i="7"/>
  <c r="N951" i="7"/>
  <c r="M951" i="7"/>
  <c r="L951" i="7"/>
  <c r="N950" i="7"/>
  <c r="M950" i="7"/>
  <c r="L950" i="7"/>
  <c r="N949" i="7"/>
  <c r="M949" i="7"/>
  <c r="L949" i="7"/>
  <c r="N948" i="7"/>
  <c r="M948" i="7"/>
  <c r="L948" i="7"/>
  <c r="N947" i="7"/>
  <c r="M947" i="7"/>
  <c r="L947" i="7"/>
  <c r="N946" i="7"/>
  <c r="M946" i="7"/>
  <c r="L946" i="7"/>
  <c r="N945" i="7"/>
  <c r="M945" i="7"/>
  <c r="L945" i="7"/>
  <c r="N944" i="7"/>
  <c r="M944" i="7"/>
  <c r="L944" i="7"/>
  <c r="N943" i="7"/>
  <c r="M943" i="7"/>
  <c r="L943" i="7"/>
  <c r="N942" i="7"/>
  <c r="M942" i="7"/>
  <c r="L942" i="7"/>
  <c r="N941" i="7"/>
  <c r="M941" i="7"/>
  <c r="L941" i="7"/>
  <c r="N940" i="7"/>
  <c r="M940" i="7"/>
  <c r="L940" i="7"/>
  <c r="N939" i="7"/>
  <c r="M939" i="7"/>
  <c r="L939" i="7"/>
  <c r="N938" i="7"/>
  <c r="M938" i="7"/>
  <c r="L938" i="7"/>
  <c r="N937" i="7"/>
  <c r="M937" i="7"/>
  <c r="L937" i="7"/>
  <c r="N936" i="7"/>
  <c r="M936" i="7"/>
  <c r="L936" i="7"/>
  <c r="N935" i="7"/>
  <c r="M935" i="7"/>
  <c r="L935" i="7"/>
  <c r="N934" i="7"/>
  <c r="M934" i="7"/>
  <c r="L934" i="7"/>
  <c r="N933" i="7"/>
  <c r="M933" i="7"/>
  <c r="L933" i="7"/>
  <c r="N932" i="7"/>
  <c r="M932" i="7"/>
  <c r="L932" i="7"/>
  <c r="N931" i="7"/>
  <c r="M931" i="7"/>
  <c r="L931" i="7"/>
  <c r="N930" i="7"/>
  <c r="M930" i="7"/>
  <c r="L930" i="7"/>
  <c r="N929" i="7"/>
  <c r="M929" i="7"/>
  <c r="L929" i="7"/>
  <c r="N928" i="7"/>
  <c r="M928" i="7"/>
  <c r="L928" i="7"/>
  <c r="N927" i="7"/>
  <c r="M927" i="7"/>
  <c r="L927" i="7"/>
  <c r="N926" i="7"/>
  <c r="M926" i="7"/>
  <c r="L926" i="7"/>
  <c r="N925" i="7"/>
  <c r="M925" i="7"/>
  <c r="L925" i="7"/>
  <c r="N924" i="7"/>
  <c r="M924" i="7"/>
  <c r="L924" i="7"/>
  <c r="N923" i="7"/>
  <c r="M923" i="7"/>
  <c r="L923" i="7"/>
  <c r="N922" i="7"/>
  <c r="M922" i="7"/>
  <c r="L922" i="7"/>
  <c r="N921" i="7"/>
  <c r="M921" i="7"/>
  <c r="L921" i="7"/>
  <c r="N920" i="7"/>
  <c r="M920" i="7"/>
  <c r="L920" i="7"/>
  <c r="N919" i="7"/>
  <c r="M919" i="7"/>
  <c r="L919" i="7"/>
  <c r="N918" i="7"/>
  <c r="M918" i="7"/>
  <c r="L918" i="7"/>
  <c r="N917" i="7"/>
  <c r="M917" i="7"/>
  <c r="L917" i="7"/>
  <c r="N916" i="7"/>
  <c r="M916" i="7"/>
  <c r="L916" i="7"/>
  <c r="N915" i="7"/>
  <c r="M915" i="7"/>
  <c r="L915" i="7"/>
  <c r="N914" i="7"/>
  <c r="M914" i="7"/>
  <c r="L914" i="7"/>
  <c r="N913" i="7"/>
  <c r="M913" i="7"/>
  <c r="L913" i="7"/>
  <c r="N912" i="7"/>
  <c r="M912" i="7"/>
  <c r="L912" i="7"/>
  <c r="N911" i="7"/>
  <c r="M911" i="7"/>
  <c r="L911" i="7"/>
  <c r="N910" i="7"/>
  <c r="M910" i="7"/>
  <c r="L910" i="7"/>
  <c r="N909" i="7"/>
  <c r="M909" i="7"/>
  <c r="L909" i="7"/>
  <c r="N908" i="7"/>
  <c r="M908" i="7"/>
  <c r="L908" i="7"/>
  <c r="N907" i="7"/>
  <c r="M907" i="7"/>
  <c r="L907" i="7"/>
  <c r="N906" i="7"/>
  <c r="M906" i="7"/>
  <c r="L906" i="7"/>
  <c r="N905" i="7"/>
  <c r="M905" i="7"/>
  <c r="L905" i="7"/>
  <c r="N904" i="7"/>
  <c r="M904" i="7"/>
  <c r="L904" i="7"/>
  <c r="N903" i="7"/>
  <c r="M903" i="7"/>
  <c r="L903" i="7"/>
  <c r="N902" i="7"/>
  <c r="M902" i="7"/>
  <c r="L902" i="7"/>
  <c r="N901" i="7"/>
  <c r="M901" i="7"/>
  <c r="L901" i="7"/>
  <c r="N900" i="7"/>
  <c r="M900" i="7"/>
  <c r="L900" i="7"/>
  <c r="N899" i="7"/>
  <c r="M899" i="7"/>
  <c r="L899" i="7"/>
  <c r="N898" i="7"/>
  <c r="M898" i="7"/>
  <c r="L898" i="7"/>
  <c r="N897" i="7"/>
  <c r="M897" i="7"/>
  <c r="L897" i="7"/>
  <c r="N896" i="7"/>
  <c r="M896" i="7"/>
  <c r="L896" i="7"/>
  <c r="N895" i="7"/>
  <c r="M895" i="7"/>
  <c r="L895" i="7"/>
  <c r="N894" i="7"/>
  <c r="M894" i="7"/>
  <c r="L894" i="7"/>
  <c r="N893" i="7"/>
  <c r="M893" i="7"/>
  <c r="L893" i="7"/>
  <c r="N892" i="7"/>
  <c r="M892" i="7"/>
  <c r="L892" i="7"/>
  <c r="N891" i="7"/>
  <c r="M891" i="7"/>
  <c r="L891" i="7"/>
  <c r="N890" i="7"/>
  <c r="M890" i="7"/>
  <c r="L890" i="7"/>
  <c r="N889" i="7"/>
  <c r="M889" i="7"/>
  <c r="L889" i="7"/>
  <c r="N888" i="7"/>
  <c r="M888" i="7"/>
  <c r="L888" i="7"/>
  <c r="N887" i="7"/>
  <c r="M887" i="7"/>
  <c r="L887" i="7"/>
  <c r="N886" i="7"/>
  <c r="M886" i="7"/>
  <c r="L886" i="7"/>
  <c r="N885" i="7"/>
  <c r="M885" i="7"/>
  <c r="L885" i="7"/>
  <c r="N884" i="7"/>
  <c r="M884" i="7"/>
  <c r="L884" i="7"/>
  <c r="N883" i="7"/>
  <c r="M883" i="7"/>
  <c r="L883" i="7"/>
  <c r="N882" i="7"/>
  <c r="M882" i="7"/>
  <c r="L882" i="7"/>
  <c r="N881" i="7"/>
  <c r="M881" i="7"/>
  <c r="L881" i="7"/>
  <c r="N880" i="7"/>
  <c r="M880" i="7"/>
  <c r="L880" i="7"/>
  <c r="N879" i="7"/>
  <c r="M879" i="7"/>
  <c r="L879" i="7"/>
  <c r="N878" i="7"/>
  <c r="M878" i="7"/>
  <c r="L878" i="7"/>
  <c r="N877" i="7"/>
  <c r="M877" i="7"/>
  <c r="L877" i="7"/>
  <c r="N876" i="7"/>
  <c r="M876" i="7"/>
  <c r="L876" i="7"/>
  <c r="N875" i="7"/>
  <c r="M875" i="7"/>
  <c r="L875" i="7"/>
  <c r="N874" i="7"/>
  <c r="M874" i="7"/>
  <c r="L874" i="7"/>
  <c r="N873" i="7"/>
  <c r="M873" i="7"/>
  <c r="L873" i="7"/>
  <c r="N872" i="7"/>
  <c r="M872" i="7"/>
  <c r="L872" i="7"/>
  <c r="N871" i="7"/>
  <c r="M871" i="7"/>
  <c r="L871" i="7"/>
  <c r="N870" i="7"/>
  <c r="M870" i="7"/>
  <c r="L870" i="7"/>
  <c r="N869" i="7"/>
  <c r="M869" i="7"/>
  <c r="L869" i="7"/>
  <c r="N868" i="7"/>
  <c r="M868" i="7"/>
  <c r="L868" i="7"/>
  <c r="N867" i="7"/>
  <c r="M867" i="7"/>
  <c r="L867" i="7"/>
  <c r="N866" i="7"/>
  <c r="M866" i="7"/>
  <c r="L866" i="7"/>
  <c r="N865" i="7"/>
  <c r="M865" i="7"/>
  <c r="L865" i="7"/>
  <c r="N864" i="7"/>
  <c r="M864" i="7"/>
  <c r="L864" i="7"/>
  <c r="N863" i="7"/>
  <c r="M863" i="7"/>
  <c r="L863" i="7"/>
  <c r="N862" i="7"/>
  <c r="M862" i="7"/>
  <c r="L862" i="7"/>
  <c r="N861" i="7"/>
  <c r="M861" i="7"/>
  <c r="L861" i="7"/>
  <c r="N860" i="7"/>
  <c r="M860" i="7"/>
  <c r="L860" i="7"/>
  <c r="N859" i="7"/>
  <c r="M859" i="7"/>
  <c r="L859" i="7"/>
  <c r="N858" i="7"/>
  <c r="M858" i="7"/>
  <c r="L858" i="7"/>
  <c r="N857" i="7"/>
  <c r="M857" i="7"/>
  <c r="L857" i="7"/>
  <c r="N856" i="7"/>
  <c r="M856" i="7"/>
  <c r="L856" i="7"/>
  <c r="N855" i="7"/>
  <c r="M855" i="7"/>
  <c r="L855" i="7"/>
  <c r="N854" i="7"/>
  <c r="M854" i="7"/>
  <c r="L854" i="7"/>
  <c r="N853" i="7"/>
  <c r="M853" i="7"/>
  <c r="L853" i="7"/>
  <c r="N852" i="7"/>
  <c r="M852" i="7"/>
  <c r="L852" i="7"/>
  <c r="N851" i="7"/>
  <c r="M851" i="7"/>
  <c r="L851" i="7"/>
  <c r="N850" i="7"/>
  <c r="M850" i="7"/>
  <c r="L850" i="7"/>
  <c r="N849" i="7"/>
  <c r="M849" i="7"/>
  <c r="L849" i="7"/>
  <c r="N848" i="7"/>
  <c r="M848" i="7"/>
  <c r="L848" i="7"/>
  <c r="N847" i="7"/>
  <c r="M847" i="7"/>
  <c r="L847" i="7"/>
  <c r="N846" i="7"/>
  <c r="M846" i="7"/>
  <c r="L846" i="7"/>
  <c r="N845" i="7"/>
  <c r="M845" i="7"/>
  <c r="L845" i="7"/>
  <c r="N844" i="7"/>
  <c r="M844" i="7"/>
  <c r="L844" i="7"/>
  <c r="N843" i="7"/>
  <c r="M843" i="7"/>
  <c r="L843" i="7"/>
  <c r="N842" i="7"/>
  <c r="M842" i="7"/>
  <c r="L842" i="7"/>
  <c r="N841" i="7"/>
  <c r="M841" i="7"/>
  <c r="L841" i="7"/>
  <c r="N840" i="7"/>
  <c r="M840" i="7"/>
  <c r="L840" i="7"/>
  <c r="N839" i="7"/>
  <c r="M839" i="7"/>
  <c r="L839" i="7"/>
  <c r="N838" i="7"/>
  <c r="M838" i="7"/>
  <c r="L838" i="7"/>
  <c r="N837" i="7"/>
  <c r="M837" i="7"/>
  <c r="L837" i="7"/>
  <c r="N836" i="7"/>
  <c r="M836" i="7"/>
  <c r="L836" i="7"/>
  <c r="N835" i="7"/>
  <c r="M835" i="7"/>
  <c r="L835" i="7"/>
  <c r="N834" i="7"/>
  <c r="M834" i="7"/>
  <c r="L834" i="7"/>
  <c r="N833" i="7"/>
  <c r="M833" i="7"/>
  <c r="L833" i="7"/>
  <c r="N832" i="7"/>
  <c r="M832" i="7"/>
  <c r="L832" i="7"/>
  <c r="N831" i="7"/>
  <c r="M831" i="7"/>
  <c r="L831" i="7"/>
  <c r="N830" i="7"/>
  <c r="M830" i="7"/>
  <c r="L830" i="7"/>
  <c r="N829" i="7"/>
  <c r="M829" i="7"/>
  <c r="L829" i="7"/>
  <c r="N828" i="7"/>
  <c r="M828" i="7"/>
  <c r="L828" i="7"/>
  <c r="N827" i="7"/>
  <c r="M827" i="7"/>
  <c r="L827" i="7"/>
  <c r="N826" i="7"/>
  <c r="M826" i="7"/>
  <c r="L826" i="7"/>
  <c r="N825" i="7"/>
  <c r="M825" i="7"/>
  <c r="L825" i="7"/>
  <c r="N824" i="7"/>
  <c r="M824" i="7"/>
  <c r="L824" i="7"/>
  <c r="N823" i="7"/>
  <c r="M823" i="7"/>
  <c r="L823" i="7"/>
  <c r="N822" i="7"/>
  <c r="M822" i="7"/>
  <c r="L822" i="7"/>
  <c r="N821" i="7"/>
  <c r="M821" i="7"/>
  <c r="L821" i="7"/>
  <c r="N820" i="7"/>
  <c r="M820" i="7"/>
  <c r="L820" i="7"/>
  <c r="N819" i="7"/>
  <c r="M819" i="7"/>
  <c r="L819" i="7"/>
  <c r="N818" i="7"/>
  <c r="M818" i="7"/>
  <c r="L818" i="7"/>
  <c r="N817" i="7"/>
  <c r="M817" i="7"/>
  <c r="L817" i="7"/>
  <c r="N816" i="7"/>
  <c r="M816" i="7"/>
  <c r="L816" i="7"/>
  <c r="N815" i="7"/>
  <c r="M815" i="7"/>
  <c r="L815" i="7"/>
  <c r="N814" i="7"/>
  <c r="M814" i="7"/>
  <c r="L814" i="7"/>
  <c r="N813" i="7"/>
  <c r="M813" i="7"/>
  <c r="L813" i="7"/>
  <c r="N812" i="7"/>
  <c r="M812" i="7"/>
  <c r="L812" i="7"/>
  <c r="N811" i="7"/>
  <c r="M811" i="7"/>
  <c r="L811" i="7"/>
  <c r="N810" i="7"/>
  <c r="M810" i="7"/>
  <c r="L810" i="7"/>
  <c r="N809" i="7"/>
  <c r="M809" i="7"/>
  <c r="L809" i="7"/>
  <c r="N808" i="7"/>
  <c r="M808" i="7"/>
  <c r="L808" i="7"/>
  <c r="N807" i="7"/>
  <c r="M807" i="7"/>
  <c r="L807" i="7"/>
  <c r="N806" i="7"/>
  <c r="M806" i="7"/>
  <c r="L806" i="7"/>
  <c r="N805" i="7"/>
  <c r="M805" i="7"/>
  <c r="L805" i="7"/>
  <c r="N804" i="7"/>
  <c r="M804" i="7"/>
  <c r="L804" i="7"/>
  <c r="N803" i="7"/>
  <c r="M803" i="7"/>
  <c r="L803" i="7"/>
  <c r="N802" i="7"/>
  <c r="M802" i="7"/>
  <c r="L802" i="7"/>
  <c r="N801" i="7"/>
  <c r="M801" i="7"/>
  <c r="L801" i="7"/>
  <c r="N800" i="7"/>
  <c r="M800" i="7"/>
  <c r="L800" i="7"/>
  <c r="N799" i="7"/>
  <c r="M799" i="7"/>
  <c r="L799" i="7"/>
  <c r="N798" i="7"/>
  <c r="M798" i="7"/>
  <c r="L798" i="7"/>
  <c r="N797" i="7"/>
  <c r="M797" i="7"/>
  <c r="L797" i="7"/>
  <c r="N796" i="7"/>
  <c r="M796" i="7"/>
  <c r="L796" i="7"/>
  <c r="N795" i="7"/>
  <c r="M795" i="7"/>
  <c r="L795" i="7"/>
  <c r="N794" i="7"/>
  <c r="M794" i="7"/>
  <c r="L794" i="7"/>
  <c r="N793" i="7"/>
  <c r="M793" i="7"/>
  <c r="L793" i="7"/>
  <c r="N792" i="7"/>
  <c r="M792" i="7"/>
  <c r="L792" i="7"/>
  <c r="N791" i="7"/>
  <c r="M791" i="7"/>
  <c r="L791" i="7"/>
  <c r="N790" i="7"/>
  <c r="M790" i="7"/>
  <c r="L790" i="7"/>
  <c r="N789" i="7"/>
  <c r="M789" i="7"/>
  <c r="L789" i="7"/>
  <c r="N788" i="7"/>
  <c r="M788" i="7"/>
  <c r="L788" i="7"/>
  <c r="N787" i="7"/>
  <c r="M787" i="7"/>
  <c r="L787" i="7"/>
  <c r="N786" i="7"/>
  <c r="M786" i="7"/>
  <c r="L786" i="7"/>
  <c r="N785" i="7"/>
  <c r="M785" i="7"/>
  <c r="L785" i="7"/>
  <c r="N784" i="7"/>
  <c r="M784" i="7"/>
  <c r="L784" i="7"/>
  <c r="N783" i="7"/>
  <c r="M783" i="7"/>
  <c r="L783" i="7"/>
  <c r="N782" i="7"/>
  <c r="M782" i="7"/>
  <c r="L782" i="7"/>
  <c r="N781" i="7"/>
  <c r="M781" i="7"/>
  <c r="L781" i="7"/>
  <c r="N780" i="7"/>
  <c r="M780" i="7"/>
  <c r="L780" i="7"/>
  <c r="N779" i="7"/>
  <c r="M779" i="7"/>
  <c r="L779" i="7"/>
  <c r="N778" i="7"/>
  <c r="M778" i="7"/>
  <c r="L778" i="7"/>
  <c r="N777" i="7"/>
  <c r="M777" i="7"/>
  <c r="L777" i="7"/>
  <c r="N776" i="7"/>
  <c r="M776" i="7"/>
  <c r="L776" i="7"/>
  <c r="N775" i="7"/>
  <c r="M775" i="7"/>
  <c r="L775" i="7"/>
  <c r="N774" i="7"/>
  <c r="M774" i="7"/>
  <c r="L774" i="7"/>
  <c r="N773" i="7"/>
  <c r="M773" i="7"/>
  <c r="L773" i="7"/>
  <c r="N772" i="7"/>
  <c r="M772" i="7"/>
  <c r="L772" i="7"/>
  <c r="N771" i="7"/>
  <c r="M771" i="7"/>
  <c r="L771" i="7"/>
  <c r="N770" i="7"/>
  <c r="M770" i="7"/>
  <c r="L770" i="7"/>
  <c r="N769" i="7"/>
  <c r="M769" i="7"/>
  <c r="L769" i="7"/>
  <c r="N768" i="7"/>
  <c r="M768" i="7"/>
  <c r="L768" i="7"/>
  <c r="N767" i="7"/>
  <c r="M767" i="7"/>
  <c r="L767" i="7"/>
  <c r="N766" i="7"/>
  <c r="M766" i="7"/>
  <c r="L766" i="7"/>
  <c r="N765" i="7"/>
  <c r="M765" i="7"/>
  <c r="L765" i="7"/>
  <c r="N764" i="7"/>
  <c r="M764" i="7"/>
  <c r="L764" i="7"/>
  <c r="N763" i="7"/>
  <c r="M763" i="7"/>
  <c r="L763" i="7"/>
  <c r="N762" i="7"/>
  <c r="M762" i="7"/>
  <c r="L762" i="7"/>
  <c r="N761" i="7"/>
  <c r="M761" i="7"/>
  <c r="L761" i="7"/>
  <c r="N760" i="7"/>
  <c r="M760" i="7"/>
  <c r="L760" i="7"/>
  <c r="N759" i="7"/>
  <c r="M759" i="7"/>
  <c r="L759" i="7"/>
  <c r="N758" i="7"/>
  <c r="M758" i="7"/>
  <c r="L758" i="7"/>
  <c r="N757" i="7"/>
  <c r="M757" i="7"/>
  <c r="L757" i="7"/>
  <c r="N756" i="7"/>
  <c r="M756" i="7"/>
  <c r="L756" i="7"/>
  <c r="N755" i="7"/>
  <c r="M755" i="7"/>
  <c r="L755" i="7"/>
  <c r="N754" i="7"/>
  <c r="M754" i="7"/>
  <c r="L754" i="7"/>
  <c r="N753" i="7"/>
  <c r="M753" i="7"/>
  <c r="L753" i="7"/>
  <c r="N752" i="7"/>
  <c r="M752" i="7"/>
  <c r="L752" i="7"/>
  <c r="N751" i="7"/>
  <c r="M751" i="7"/>
  <c r="L751" i="7"/>
  <c r="N750" i="7"/>
  <c r="M750" i="7"/>
  <c r="L750" i="7"/>
  <c r="N749" i="7"/>
  <c r="M749" i="7"/>
  <c r="L749" i="7"/>
  <c r="N748" i="7"/>
  <c r="M748" i="7"/>
  <c r="L748" i="7"/>
  <c r="N747" i="7"/>
  <c r="M747" i="7"/>
  <c r="L747" i="7"/>
  <c r="N746" i="7"/>
  <c r="M746" i="7"/>
  <c r="L746" i="7"/>
  <c r="N745" i="7"/>
  <c r="M745" i="7"/>
  <c r="L745" i="7"/>
  <c r="N744" i="7"/>
  <c r="M744" i="7"/>
  <c r="L744" i="7"/>
  <c r="N743" i="7"/>
  <c r="M743" i="7"/>
  <c r="L743" i="7"/>
  <c r="N742" i="7"/>
  <c r="M742" i="7"/>
  <c r="L742" i="7"/>
  <c r="N741" i="7"/>
  <c r="M741" i="7"/>
  <c r="L741" i="7"/>
  <c r="N740" i="7"/>
  <c r="M740" i="7"/>
  <c r="L740" i="7"/>
  <c r="N739" i="7"/>
  <c r="M739" i="7"/>
  <c r="L739" i="7"/>
  <c r="N738" i="7"/>
  <c r="M738" i="7"/>
  <c r="L738" i="7"/>
  <c r="N737" i="7"/>
  <c r="M737" i="7"/>
  <c r="L737" i="7"/>
  <c r="N736" i="7"/>
  <c r="M736" i="7"/>
  <c r="L736" i="7"/>
  <c r="N735" i="7"/>
  <c r="M735" i="7"/>
  <c r="L735" i="7"/>
  <c r="N734" i="7"/>
  <c r="M734" i="7"/>
  <c r="L734" i="7"/>
  <c r="N733" i="7"/>
  <c r="M733" i="7"/>
  <c r="L733" i="7"/>
  <c r="N732" i="7"/>
  <c r="M732" i="7"/>
  <c r="L732" i="7"/>
  <c r="N731" i="7"/>
  <c r="M731" i="7"/>
  <c r="L731" i="7"/>
  <c r="N730" i="7"/>
  <c r="M730" i="7"/>
  <c r="L730" i="7"/>
  <c r="N729" i="7"/>
  <c r="M729" i="7"/>
  <c r="L729" i="7"/>
  <c r="N728" i="7"/>
  <c r="M728" i="7"/>
  <c r="L728" i="7"/>
  <c r="N727" i="7"/>
  <c r="M727" i="7"/>
  <c r="L727" i="7"/>
  <c r="N726" i="7"/>
  <c r="M726" i="7"/>
  <c r="L726" i="7"/>
  <c r="N725" i="7"/>
  <c r="M725" i="7"/>
  <c r="L725" i="7"/>
  <c r="N724" i="7"/>
  <c r="M724" i="7"/>
  <c r="L724" i="7"/>
  <c r="N723" i="7"/>
  <c r="M723" i="7"/>
  <c r="L723" i="7"/>
  <c r="N722" i="7"/>
  <c r="M722" i="7"/>
  <c r="L722" i="7"/>
  <c r="N721" i="7"/>
  <c r="M721" i="7"/>
  <c r="L721" i="7"/>
  <c r="N720" i="7"/>
  <c r="M720" i="7"/>
  <c r="L720" i="7"/>
  <c r="N719" i="7"/>
  <c r="M719" i="7"/>
  <c r="L719" i="7"/>
  <c r="N718" i="7"/>
  <c r="M718" i="7"/>
  <c r="L718" i="7"/>
  <c r="N717" i="7"/>
  <c r="M717" i="7"/>
  <c r="L717" i="7"/>
  <c r="N716" i="7"/>
  <c r="M716" i="7"/>
  <c r="L716" i="7"/>
  <c r="N715" i="7"/>
  <c r="M715" i="7"/>
  <c r="L715" i="7"/>
  <c r="N714" i="7"/>
  <c r="M714" i="7"/>
  <c r="L714" i="7"/>
  <c r="N713" i="7"/>
  <c r="M713" i="7"/>
  <c r="L713" i="7"/>
  <c r="N712" i="7"/>
  <c r="M712" i="7"/>
  <c r="L712" i="7"/>
  <c r="N711" i="7"/>
  <c r="M711" i="7"/>
  <c r="L711" i="7"/>
  <c r="N710" i="7"/>
  <c r="M710" i="7"/>
  <c r="L710" i="7"/>
  <c r="N709" i="7"/>
  <c r="M709" i="7"/>
  <c r="L709" i="7"/>
  <c r="N708" i="7"/>
  <c r="M708" i="7"/>
  <c r="L708" i="7"/>
  <c r="N707" i="7"/>
  <c r="M707" i="7"/>
  <c r="L707" i="7"/>
  <c r="N706" i="7"/>
  <c r="M706" i="7"/>
  <c r="L706" i="7"/>
  <c r="N705" i="7"/>
  <c r="M705" i="7"/>
  <c r="L705" i="7"/>
  <c r="N704" i="7"/>
  <c r="M704" i="7"/>
  <c r="L704" i="7"/>
  <c r="N703" i="7"/>
  <c r="M703" i="7"/>
  <c r="L703" i="7"/>
  <c r="N702" i="7"/>
  <c r="M702" i="7"/>
  <c r="L702" i="7"/>
  <c r="N701" i="7"/>
  <c r="M701" i="7"/>
  <c r="L701" i="7"/>
  <c r="N700" i="7"/>
  <c r="M700" i="7"/>
  <c r="L700" i="7"/>
  <c r="N699" i="7"/>
  <c r="M699" i="7"/>
  <c r="L699" i="7"/>
  <c r="N698" i="7"/>
  <c r="M698" i="7"/>
  <c r="L698" i="7"/>
  <c r="N697" i="7"/>
  <c r="M697" i="7"/>
  <c r="L697" i="7"/>
  <c r="N696" i="7"/>
  <c r="M696" i="7"/>
  <c r="L696" i="7"/>
  <c r="N695" i="7"/>
  <c r="M695" i="7"/>
  <c r="L695" i="7"/>
  <c r="N694" i="7"/>
  <c r="M694" i="7"/>
  <c r="L694" i="7"/>
  <c r="N693" i="7"/>
  <c r="M693" i="7"/>
  <c r="L693" i="7"/>
  <c r="N692" i="7"/>
  <c r="M692" i="7"/>
  <c r="L692" i="7"/>
  <c r="N691" i="7"/>
  <c r="M691" i="7"/>
  <c r="L691" i="7"/>
  <c r="N690" i="7"/>
  <c r="M690" i="7"/>
  <c r="L690" i="7"/>
  <c r="N689" i="7"/>
  <c r="M689" i="7"/>
  <c r="L689" i="7"/>
  <c r="N688" i="7"/>
  <c r="M688" i="7"/>
  <c r="L688" i="7"/>
  <c r="N687" i="7"/>
  <c r="M687" i="7"/>
  <c r="L687" i="7"/>
  <c r="N686" i="7"/>
  <c r="M686" i="7"/>
  <c r="L686" i="7"/>
  <c r="N685" i="7"/>
  <c r="M685" i="7"/>
  <c r="L685" i="7"/>
  <c r="N684" i="7"/>
  <c r="M684" i="7"/>
  <c r="L684" i="7"/>
  <c r="N683" i="7"/>
  <c r="M683" i="7"/>
  <c r="L683" i="7"/>
  <c r="N682" i="7"/>
  <c r="M682" i="7"/>
  <c r="L682" i="7"/>
  <c r="N681" i="7"/>
  <c r="M681" i="7"/>
  <c r="L681" i="7"/>
  <c r="N680" i="7"/>
  <c r="M680" i="7"/>
  <c r="L680" i="7"/>
  <c r="N679" i="7"/>
  <c r="M679" i="7"/>
  <c r="L679" i="7"/>
  <c r="N678" i="7"/>
  <c r="M678" i="7"/>
  <c r="L678" i="7"/>
  <c r="N677" i="7"/>
  <c r="M677" i="7"/>
  <c r="L677" i="7"/>
  <c r="N676" i="7"/>
  <c r="M676" i="7"/>
  <c r="L676" i="7"/>
  <c r="N675" i="7"/>
  <c r="M675" i="7"/>
  <c r="L675" i="7"/>
  <c r="N674" i="7"/>
  <c r="M674" i="7"/>
  <c r="L674" i="7"/>
  <c r="N673" i="7"/>
  <c r="M673" i="7"/>
  <c r="L673" i="7"/>
  <c r="N672" i="7"/>
  <c r="M672" i="7"/>
  <c r="L672" i="7"/>
  <c r="N671" i="7"/>
  <c r="M671" i="7"/>
  <c r="L671" i="7"/>
  <c r="N670" i="7"/>
  <c r="M670" i="7"/>
  <c r="L670" i="7"/>
  <c r="N669" i="7"/>
  <c r="M669" i="7"/>
  <c r="L669" i="7"/>
  <c r="N668" i="7"/>
  <c r="M668" i="7"/>
  <c r="L668" i="7"/>
  <c r="N667" i="7"/>
  <c r="M667" i="7"/>
  <c r="L667" i="7"/>
  <c r="N666" i="7"/>
  <c r="M666" i="7"/>
  <c r="L666" i="7"/>
  <c r="N665" i="7"/>
  <c r="M665" i="7"/>
  <c r="L665" i="7"/>
  <c r="N664" i="7"/>
  <c r="M664" i="7"/>
  <c r="L664" i="7"/>
  <c r="N663" i="7"/>
  <c r="M663" i="7"/>
  <c r="L663" i="7"/>
  <c r="N662" i="7"/>
  <c r="M662" i="7"/>
  <c r="L662" i="7"/>
  <c r="N661" i="7"/>
  <c r="M661" i="7"/>
  <c r="L661" i="7"/>
  <c r="N660" i="7"/>
  <c r="M660" i="7"/>
  <c r="L660" i="7"/>
  <c r="N659" i="7"/>
  <c r="M659" i="7"/>
  <c r="L659" i="7"/>
  <c r="N658" i="7"/>
  <c r="M658" i="7"/>
  <c r="L658" i="7"/>
  <c r="N657" i="7"/>
  <c r="M657" i="7"/>
  <c r="L657" i="7"/>
  <c r="N656" i="7"/>
  <c r="M656" i="7"/>
  <c r="L656" i="7"/>
  <c r="N655" i="7"/>
  <c r="M655" i="7"/>
  <c r="L655" i="7"/>
  <c r="N654" i="7"/>
  <c r="M654" i="7"/>
  <c r="L654" i="7"/>
  <c r="N653" i="7"/>
  <c r="M653" i="7"/>
  <c r="L653" i="7"/>
  <c r="N652" i="7"/>
  <c r="M652" i="7"/>
  <c r="L652" i="7"/>
  <c r="N651" i="7"/>
  <c r="M651" i="7"/>
  <c r="L651" i="7"/>
  <c r="N650" i="7"/>
  <c r="M650" i="7"/>
  <c r="L650" i="7"/>
  <c r="N649" i="7"/>
  <c r="M649" i="7"/>
  <c r="L649" i="7"/>
  <c r="N648" i="7"/>
  <c r="M648" i="7"/>
  <c r="L648" i="7"/>
  <c r="N647" i="7"/>
  <c r="M647" i="7"/>
  <c r="L647" i="7"/>
  <c r="N646" i="7"/>
  <c r="M646" i="7"/>
  <c r="L646" i="7"/>
  <c r="N645" i="7"/>
  <c r="M645" i="7"/>
  <c r="L645" i="7"/>
  <c r="N644" i="7"/>
  <c r="M644" i="7"/>
  <c r="L644" i="7"/>
  <c r="N643" i="7"/>
  <c r="M643" i="7"/>
  <c r="L643" i="7"/>
  <c r="N642" i="7"/>
  <c r="M642" i="7"/>
  <c r="L642" i="7"/>
  <c r="N641" i="7"/>
  <c r="M641" i="7"/>
  <c r="L641" i="7"/>
  <c r="N640" i="7"/>
  <c r="M640" i="7"/>
  <c r="L640" i="7"/>
  <c r="N639" i="7"/>
  <c r="M639" i="7"/>
  <c r="L639" i="7"/>
  <c r="N638" i="7"/>
  <c r="M638" i="7"/>
  <c r="L638" i="7"/>
  <c r="N637" i="7"/>
  <c r="M637" i="7"/>
  <c r="L637" i="7"/>
  <c r="N636" i="7"/>
  <c r="M636" i="7"/>
  <c r="L636" i="7"/>
  <c r="N635" i="7"/>
  <c r="M635" i="7"/>
  <c r="L635" i="7"/>
  <c r="N634" i="7"/>
  <c r="M634" i="7"/>
  <c r="L634" i="7"/>
  <c r="N633" i="7"/>
  <c r="M633" i="7"/>
  <c r="L633" i="7"/>
  <c r="N632" i="7"/>
  <c r="M632" i="7"/>
  <c r="L632" i="7"/>
  <c r="N631" i="7"/>
  <c r="M631" i="7"/>
  <c r="L631" i="7"/>
  <c r="N630" i="7"/>
  <c r="M630" i="7"/>
  <c r="L630" i="7"/>
  <c r="N629" i="7"/>
  <c r="M629" i="7"/>
  <c r="L629" i="7"/>
  <c r="N628" i="7"/>
  <c r="M628" i="7"/>
  <c r="L628" i="7"/>
  <c r="N627" i="7"/>
  <c r="M627" i="7"/>
  <c r="L627" i="7"/>
  <c r="N626" i="7"/>
  <c r="M626" i="7"/>
  <c r="L626" i="7"/>
  <c r="N625" i="7"/>
  <c r="M625" i="7"/>
  <c r="L625" i="7"/>
  <c r="N624" i="7"/>
  <c r="M624" i="7"/>
  <c r="L624" i="7"/>
  <c r="N623" i="7"/>
  <c r="M623" i="7"/>
  <c r="L623" i="7"/>
  <c r="N622" i="7"/>
  <c r="M622" i="7"/>
  <c r="L622" i="7"/>
  <c r="N621" i="7"/>
  <c r="M621" i="7"/>
  <c r="L621" i="7"/>
  <c r="N620" i="7"/>
  <c r="M620" i="7"/>
  <c r="L620" i="7"/>
  <c r="N619" i="7"/>
  <c r="M619" i="7"/>
  <c r="L619" i="7"/>
  <c r="N618" i="7"/>
  <c r="M618" i="7"/>
  <c r="L618" i="7"/>
  <c r="N617" i="7"/>
  <c r="M617" i="7"/>
  <c r="L617" i="7"/>
  <c r="N616" i="7"/>
  <c r="M616" i="7"/>
  <c r="L616" i="7"/>
  <c r="N615" i="7"/>
  <c r="M615" i="7"/>
  <c r="L615" i="7"/>
  <c r="N614" i="7"/>
  <c r="M614" i="7"/>
  <c r="L614" i="7"/>
  <c r="N613" i="7"/>
  <c r="M613" i="7"/>
  <c r="L613" i="7"/>
  <c r="N612" i="7"/>
  <c r="M612" i="7"/>
  <c r="L612" i="7"/>
  <c r="N611" i="7"/>
  <c r="M611" i="7"/>
  <c r="L611" i="7"/>
  <c r="N610" i="7"/>
  <c r="M610" i="7"/>
  <c r="L610" i="7"/>
  <c r="N609" i="7"/>
  <c r="M609" i="7"/>
  <c r="L609" i="7"/>
  <c r="N608" i="7"/>
  <c r="M608" i="7"/>
  <c r="L608" i="7"/>
  <c r="N607" i="7"/>
  <c r="M607" i="7"/>
  <c r="L607" i="7"/>
  <c r="N606" i="7"/>
  <c r="M606" i="7"/>
  <c r="L606" i="7"/>
  <c r="N605" i="7"/>
  <c r="M605" i="7"/>
  <c r="L605" i="7"/>
  <c r="N604" i="7"/>
  <c r="M604" i="7"/>
  <c r="L604" i="7"/>
  <c r="N603" i="7"/>
  <c r="M603" i="7"/>
  <c r="L603" i="7"/>
  <c r="N602" i="7"/>
  <c r="M602" i="7"/>
  <c r="L602" i="7"/>
  <c r="N601" i="7"/>
  <c r="M601" i="7"/>
  <c r="L601" i="7"/>
  <c r="N600" i="7"/>
  <c r="M600" i="7"/>
  <c r="L600" i="7"/>
  <c r="N599" i="7"/>
  <c r="M599" i="7"/>
  <c r="L599" i="7"/>
  <c r="N598" i="7"/>
  <c r="M598" i="7"/>
  <c r="L598" i="7"/>
  <c r="N597" i="7"/>
  <c r="M597" i="7"/>
  <c r="L597" i="7"/>
  <c r="N596" i="7"/>
  <c r="M596" i="7"/>
  <c r="L596" i="7"/>
  <c r="N595" i="7"/>
  <c r="M595" i="7"/>
  <c r="L595" i="7"/>
  <c r="N594" i="7"/>
  <c r="M594" i="7"/>
  <c r="L594" i="7"/>
  <c r="N593" i="7"/>
  <c r="M593" i="7"/>
  <c r="L593" i="7"/>
  <c r="N592" i="7"/>
  <c r="M592" i="7"/>
  <c r="L592" i="7"/>
  <c r="N591" i="7"/>
  <c r="M591" i="7"/>
  <c r="L591" i="7"/>
  <c r="N590" i="7"/>
  <c r="M590" i="7"/>
  <c r="L590" i="7"/>
  <c r="N589" i="7"/>
  <c r="M589" i="7"/>
  <c r="L589" i="7"/>
  <c r="N588" i="7"/>
  <c r="M588" i="7"/>
  <c r="L588" i="7"/>
  <c r="N587" i="7"/>
  <c r="M587" i="7"/>
  <c r="L587" i="7"/>
  <c r="N586" i="7"/>
  <c r="M586" i="7"/>
  <c r="L586" i="7"/>
  <c r="N585" i="7"/>
  <c r="M585" i="7"/>
  <c r="L585" i="7"/>
  <c r="N584" i="7"/>
  <c r="M584" i="7"/>
  <c r="L584" i="7"/>
  <c r="N583" i="7"/>
  <c r="M583" i="7"/>
  <c r="L583" i="7"/>
  <c r="N582" i="7"/>
  <c r="M582" i="7"/>
  <c r="L582" i="7"/>
  <c r="N581" i="7"/>
  <c r="M581" i="7"/>
  <c r="L581" i="7"/>
  <c r="N580" i="7"/>
  <c r="M580" i="7"/>
  <c r="L580" i="7"/>
  <c r="N579" i="7"/>
  <c r="M579" i="7"/>
  <c r="L579" i="7"/>
  <c r="N578" i="7"/>
  <c r="M578" i="7"/>
  <c r="L578" i="7"/>
  <c r="N577" i="7"/>
  <c r="M577" i="7"/>
  <c r="L577" i="7"/>
  <c r="N576" i="7"/>
  <c r="M576" i="7"/>
  <c r="L576" i="7"/>
  <c r="N575" i="7"/>
  <c r="M575" i="7"/>
  <c r="L575" i="7"/>
  <c r="N574" i="7"/>
  <c r="M574" i="7"/>
  <c r="L574" i="7"/>
  <c r="N573" i="7"/>
  <c r="M573" i="7"/>
  <c r="L573" i="7"/>
  <c r="N572" i="7"/>
  <c r="M572" i="7"/>
  <c r="L572" i="7"/>
  <c r="N571" i="7"/>
  <c r="M571" i="7"/>
  <c r="L571" i="7"/>
  <c r="N570" i="7"/>
  <c r="M570" i="7"/>
  <c r="L570" i="7"/>
  <c r="N569" i="7"/>
  <c r="M569" i="7"/>
  <c r="L569" i="7"/>
  <c r="N568" i="7"/>
  <c r="M568" i="7"/>
  <c r="L568" i="7"/>
  <c r="N567" i="7"/>
  <c r="M567" i="7"/>
  <c r="L567" i="7"/>
  <c r="N566" i="7"/>
  <c r="M566" i="7"/>
  <c r="L566" i="7"/>
  <c r="N565" i="7"/>
  <c r="M565" i="7"/>
  <c r="L565" i="7"/>
  <c r="N564" i="7"/>
  <c r="M564" i="7"/>
  <c r="L564" i="7"/>
  <c r="N563" i="7"/>
  <c r="M563" i="7"/>
  <c r="L563" i="7"/>
  <c r="N562" i="7"/>
  <c r="M562" i="7"/>
  <c r="L562" i="7"/>
  <c r="N561" i="7"/>
  <c r="M561" i="7"/>
  <c r="L561" i="7"/>
  <c r="N560" i="7"/>
  <c r="M560" i="7"/>
  <c r="L560" i="7"/>
  <c r="N559" i="7"/>
  <c r="M559" i="7"/>
  <c r="L559" i="7"/>
  <c r="N558" i="7"/>
  <c r="M558" i="7"/>
  <c r="L558" i="7"/>
  <c r="N557" i="7"/>
  <c r="M557" i="7"/>
  <c r="L557" i="7"/>
  <c r="N556" i="7"/>
  <c r="M556" i="7"/>
  <c r="L556" i="7"/>
  <c r="N555" i="7"/>
  <c r="M555" i="7"/>
  <c r="L555" i="7"/>
  <c r="N554" i="7"/>
  <c r="M554" i="7"/>
  <c r="L554" i="7"/>
  <c r="N553" i="7"/>
  <c r="M553" i="7"/>
  <c r="L553" i="7"/>
  <c r="N552" i="7"/>
  <c r="M552" i="7"/>
  <c r="L552" i="7"/>
  <c r="N551" i="7"/>
  <c r="M551" i="7"/>
  <c r="L551" i="7"/>
  <c r="N550" i="7"/>
  <c r="M550" i="7"/>
  <c r="L550" i="7"/>
  <c r="N549" i="7"/>
  <c r="M549" i="7"/>
  <c r="L549" i="7"/>
  <c r="N548" i="7"/>
  <c r="M548" i="7"/>
  <c r="L548" i="7"/>
  <c r="N547" i="7"/>
  <c r="M547" i="7"/>
  <c r="L547" i="7"/>
  <c r="N546" i="7"/>
  <c r="M546" i="7"/>
  <c r="L546" i="7"/>
  <c r="N545" i="7"/>
  <c r="M545" i="7"/>
  <c r="L545" i="7"/>
  <c r="N544" i="7"/>
  <c r="M544" i="7"/>
  <c r="L544" i="7"/>
  <c r="N543" i="7"/>
  <c r="M543" i="7"/>
  <c r="L543" i="7"/>
  <c r="N542" i="7"/>
  <c r="M542" i="7"/>
  <c r="L542" i="7"/>
  <c r="N541" i="7"/>
  <c r="M541" i="7"/>
  <c r="L541" i="7"/>
  <c r="N540" i="7"/>
  <c r="M540" i="7"/>
  <c r="L540" i="7"/>
  <c r="N539" i="7"/>
  <c r="M539" i="7"/>
  <c r="L539" i="7"/>
  <c r="N538" i="7"/>
  <c r="M538" i="7"/>
  <c r="L538" i="7"/>
  <c r="N537" i="7"/>
  <c r="M537" i="7"/>
  <c r="L537" i="7"/>
  <c r="N536" i="7"/>
  <c r="M536" i="7"/>
  <c r="L536" i="7"/>
  <c r="N535" i="7"/>
  <c r="M535" i="7"/>
  <c r="L535" i="7"/>
  <c r="N534" i="7"/>
  <c r="M534" i="7"/>
  <c r="L534" i="7"/>
  <c r="N533" i="7"/>
  <c r="M533" i="7"/>
  <c r="L533" i="7"/>
  <c r="N532" i="7"/>
  <c r="M532" i="7"/>
  <c r="L532" i="7"/>
  <c r="N531" i="7"/>
  <c r="M531" i="7"/>
  <c r="L531" i="7"/>
  <c r="N530" i="7"/>
  <c r="M530" i="7"/>
  <c r="L530" i="7"/>
  <c r="N529" i="7"/>
  <c r="M529" i="7"/>
  <c r="L529" i="7"/>
  <c r="N528" i="7"/>
  <c r="M528" i="7"/>
  <c r="L528" i="7"/>
  <c r="N527" i="7"/>
  <c r="M527" i="7"/>
  <c r="L527" i="7"/>
  <c r="N526" i="7"/>
  <c r="M526" i="7"/>
  <c r="L526" i="7"/>
  <c r="N525" i="7"/>
  <c r="M525" i="7"/>
  <c r="L525" i="7"/>
  <c r="N524" i="7"/>
  <c r="M524" i="7"/>
  <c r="L524" i="7"/>
  <c r="N523" i="7"/>
  <c r="M523" i="7"/>
  <c r="L523" i="7"/>
  <c r="N522" i="7"/>
  <c r="M522" i="7"/>
  <c r="L522" i="7"/>
  <c r="N521" i="7"/>
  <c r="M521" i="7"/>
  <c r="L521" i="7"/>
  <c r="N520" i="7"/>
  <c r="M520" i="7"/>
  <c r="L520" i="7"/>
  <c r="N519" i="7"/>
  <c r="M519" i="7"/>
  <c r="L519" i="7"/>
  <c r="N518" i="7"/>
  <c r="M518" i="7"/>
  <c r="L518" i="7"/>
  <c r="N517" i="7"/>
  <c r="M517" i="7"/>
  <c r="L517" i="7"/>
  <c r="N516" i="7"/>
  <c r="M516" i="7"/>
  <c r="L516" i="7"/>
  <c r="N515" i="7"/>
  <c r="M515" i="7"/>
  <c r="L515" i="7"/>
  <c r="N514" i="7"/>
  <c r="M514" i="7"/>
  <c r="L514" i="7"/>
  <c r="N513" i="7"/>
  <c r="M513" i="7"/>
  <c r="L513" i="7"/>
  <c r="N512" i="7"/>
  <c r="M512" i="7"/>
  <c r="L512" i="7"/>
  <c r="N511" i="7"/>
  <c r="M511" i="7"/>
  <c r="L511" i="7"/>
  <c r="N510" i="7"/>
  <c r="M510" i="7"/>
  <c r="L510" i="7"/>
  <c r="N509" i="7"/>
  <c r="M509" i="7"/>
  <c r="L509" i="7"/>
  <c r="N508" i="7"/>
  <c r="M508" i="7"/>
  <c r="L508" i="7"/>
  <c r="N507" i="7"/>
  <c r="M507" i="7"/>
  <c r="L507" i="7"/>
  <c r="N506" i="7"/>
  <c r="M506" i="7"/>
  <c r="L506" i="7"/>
  <c r="N505" i="7"/>
  <c r="M505" i="7"/>
  <c r="L505" i="7"/>
  <c r="N504" i="7"/>
  <c r="M504" i="7"/>
  <c r="L504" i="7"/>
  <c r="N503" i="7"/>
  <c r="M503" i="7"/>
  <c r="L503" i="7"/>
  <c r="N502" i="7"/>
  <c r="M502" i="7"/>
  <c r="L502" i="7"/>
  <c r="N501" i="7"/>
  <c r="M501" i="7"/>
  <c r="L501" i="7"/>
  <c r="N500" i="7"/>
  <c r="M500" i="7"/>
  <c r="L500" i="7"/>
  <c r="N499" i="7"/>
  <c r="M499" i="7"/>
  <c r="L499" i="7"/>
  <c r="N498" i="7"/>
  <c r="M498" i="7"/>
  <c r="L498" i="7"/>
  <c r="N497" i="7"/>
  <c r="M497" i="7"/>
  <c r="L497" i="7"/>
  <c r="N496" i="7"/>
  <c r="M496" i="7"/>
  <c r="L496" i="7"/>
  <c r="N495" i="7"/>
  <c r="M495" i="7"/>
  <c r="L495" i="7"/>
  <c r="N494" i="7"/>
  <c r="M494" i="7"/>
  <c r="L494" i="7"/>
  <c r="N493" i="7"/>
  <c r="M493" i="7"/>
  <c r="L493" i="7"/>
  <c r="N492" i="7"/>
  <c r="M492" i="7"/>
  <c r="L492" i="7"/>
  <c r="N491" i="7"/>
  <c r="M491" i="7"/>
  <c r="L491" i="7"/>
  <c r="N490" i="7"/>
  <c r="M490" i="7"/>
  <c r="L490" i="7"/>
  <c r="N489" i="7"/>
  <c r="M489" i="7"/>
  <c r="L489" i="7"/>
  <c r="N488" i="7"/>
  <c r="M488" i="7"/>
  <c r="L488" i="7"/>
  <c r="N487" i="7"/>
  <c r="M487" i="7"/>
  <c r="L487" i="7"/>
  <c r="N486" i="7"/>
  <c r="M486" i="7"/>
  <c r="L486" i="7"/>
  <c r="N485" i="7"/>
  <c r="M485" i="7"/>
  <c r="L485" i="7"/>
  <c r="N484" i="7"/>
  <c r="M484" i="7"/>
  <c r="L484" i="7"/>
  <c r="N483" i="7"/>
  <c r="M483" i="7"/>
  <c r="L483" i="7"/>
  <c r="N482" i="7"/>
  <c r="M482" i="7"/>
  <c r="L482" i="7"/>
  <c r="N481" i="7"/>
  <c r="M481" i="7"/>
  <c r="L481" i="7"/>
  <c r="N480" i="7"/>
  <c r="M480" i="7"/>
  <c r="L480" i="7"/>
  <c r="N479" i="7"/>
  <c r="M479" i="7"/>
  <c r="L479" i="7"/>
  <c r="N478" i="7"/>
  <c r="M478" i="7"/>
  <c r="L478" i="7"/>
  <c r="N477" i="7"/>
  <c r="M477" i="7"/>
  <c r="L477" i="7"/>
  <c r="N476" i="7"/>
  <c r="M476" i="7"/>
  <c r="L476" i="7"/>
  <c r="N475" i="7"/>
  <c r="M475" i="7"/>
  <c r="L475" i="7"/>
  <c r="N474" i="7"/>
  <c r="M474" i="7"/>
  <c r="L474" i="7"/>
  <c r="N473" i="7"/>
  <c r="M473" i="7"/>
  <c r="L473" i="7"/>
  <c r="N472" i="7"/>
  <c r="M472" i="7"/>
  <c r="L472" i="7"/>
  <c r="N471" i="7"/>
  <c r="M471" i="7"/>
  <c r="L471" i="7"/>
  <c r="N470" i="7"/>
  <c r="M470" i="7"/>
  <c r="L470" i="7"/>
  <c r="N469" i="7"/>
  <c r="M469" i="7"/>
  <c r="L469" i="7"/>
  <c r="N468" i="7"/>
  <c r="M468" i="7"/>
  <c r="L468" i="7"/>
  <c r="N467" i="7"/>
  <c r="M467" i="7"/>
  <c r="L467" i="7"/>
  <c r="N466" i="7"/>
  <c r="M466" i="7"/>
  <c r="L466" i="7"/>
  <c r="N465" i="7"/>
  <c r="M465" i="7"/>
  <c r="L465" i="7"/>
  <c r="N464" i="7"/>
  <c r="M464" i="7"/>
  <c r="L464" i="7"/>
  <c r="N463" i="7"/>
  <c r="M463" i="7"/>
  <c r="L463" i="7"/>
  <c r="N462" i="7"/>
  <c r="M462" i="7"/>
  <c r="L462" i="7"/>
  <c r="N461" i="7"/>
  <c r="M461" i="7"/>
  <c r="L461" i="7"/>
  <c r="N460" i="7"/>
  <c r="M460" i="7"/>
  <c r="L460" i="7"/>
  <c r="N459" i="7"/>
  <c r="M459" i="7"/>
  <c r="L459" i="7"/>
  <c r="N458" i="7"/>
  <c r="M458" i="7"/>
  <c r="L458" i="7"/>
  <c r="N457" i="7"/>
  <c r="M457" i="7"/>
  <c r="L457" i="7"/>
  <c r="N456" i="7"/>
  <c r="M456" i="7"/>
  <c r="L456" i="7"/>
  <c r="N455" i="7"/>
  <c r="M455" i="7"/>
  <c r="L455" i="7"/>
  <c r="N454" i="7"/>
  <c r="M454" i="7"/>
  <c r="L454" i="7"/>
  <c r="N453" i="7"/>
  <c r="M453" i="7"/>
  <c r="L453" i="7"/>
  <c r="N452" i="7"/>
  <c r="M452" i="7"/>
  <c r="L452" i="7"/>
  <c r="N451" i="7"/>
  <c r="M451" i="7"/>
  <c r="L451" i="7"/>
  <c r="N450" i="7"/>
  <c r="M450" i="7"/>
  <c r="L450" i="7"/>
  <c r="N449" i="7"/>
  <c r="M449" i="7"/>
  <c r="L449" i="7"/>
  <c r="N448" i="7"/>
  <c r="M448" i="7"/>
  <c r="L448" i="7"/>
  <c r="N447" i="7"/>
  <c r="M447" i="7"/>
  <c r="L447" i="7"/>
  <c r="N446" i="7"/>
  <c r="M446" i="7"/>
  <c r="L446" i="7"/>
  <c r="N445" i="7"/>
  <c r="M445" i="7"/>
  <c r="L445" i="7"/>
  <c r="N444" i="7"/>
  <c r="M444" i="7"/>
  <c r="L444" i="7"/>
  <c r="N443" i="7"/>
  <c r="M443" i="7"/>
  <c r="L443" i="7"/>
  <c r="N442" i="7"/>
  <c r="M442" i="7"/>
  <c r="L442" i="7"/>
  <c r="N441" i="7"/>
  <c r="M441" i="7"/>
  <c r="L441" i="7"/>
  <c r="N440" i="7"/>
  <c r="M440" i="7"/>
  <c r="L440" i="7"/>
  <c r="N439" i="7"/>
  <c r="M439" i="7"/>
  <c r="L439" i="7"/>
  <c r="N438" i="7"/>
  <c r="M438" i="7"/>
  <c r="L438" i="7"/>
  <c r="N437" i="7"/>
  <c r="M437" i="7"/>
  <c r="L437" i="7"/>
  <c r="N436" i="7"/>
  <c r="M436" i="7"/>
  <c r="L436" i="7"/>
  <c r="N435" i="7"/>
  <c r="M435" i="7"/>
  <c r="L435" i="7"/>
  <c r="N434" i="7"/>
  <c r="M434" i="7"/>
  <c r="L434" i="7"/>
  <c r="N433" i="7"/>
  <c r="M433" i="7"/>
  <c r="L433" i="7"/>
  <c r="N432" i="7"/>
  <c r="M432" i="7"/>
  <c r="L432" i="7"/>
  <c r="N431" i="7"/>
  <c r="M431" i="7"/>
  <c r="L431" i="7"/>
  <c r="N430" i="7"/>
  <c r="M430" i="7"/>
  <c r="L430" i="7"/>
  <c r="N429" i="7"/>
  <c r="M429" i="7"/>
  <c r="L429" i="7"/>
  <c r="N428" i="7"/>
  <c r="M428" i="7"/>
  <c r="L428" i="7"/>
  <c r="N427" i="7"/>
  <c r="M427" i="7"/>
  <c r="L427" i="7"/>
  <c r="N426" i="7"/>
  <c r="M426" i="7"/>
  <c r="L426" i="7"/>
  <c r="N425" i="7"/>
  <c r="M425" i="7"/>
  <c r="L425" i="7"/>
  <c r="N424" i="7"/>
  <c r="M424" i="7"/>
  <c r="L424" i="7"/>
  <c r="N423" i="7"/>
  <c r="M423" i="7"/>
  <c r="L423" i="7"/>
  <c r="N422" i="7"/>
  <c r="M422" i="7"/>
  <c r="L422" i="7"/>
  <c r="N421" i="7"/>
  <c r="M421" i="7"/>
  <c r="L421" i="7"/>
  <c r="N420" i="7"/>
  <c r="M420" i="7"/>
  <c r="L420" i="7"/>
  <c r="N419" i="7"/>
  <c r="M419" i="7"/>
  <c r="L419" i="7"/>
  <c r="N418" i="7"/>
  <c r="M418" i="7"/>
  <c r="L418" i="7"/>
  <c r="N417" i="7"/>
  <c r="M417" i="7"/>
  <c r="L417" i="7"/>
  <c r="N416" i="7"/>
  <c r="M416" i="7"/>
  <c r="L416" i="7"/>
  <c r="N415" i="7"/>
  <c r="M415" i="7"/>
  <c r="L415" i="7"/>
  <c r="N414" i="7"/>
  <c r="M414" i="7"/>
  <c r="L414" i="7"/>
  <c r="N413" i="7"/>
  <c r="M413" i="7"/>
  <c r="L413" i="7"/>
  <c r="N412" i="7"/>
  <c r="M412" i="7"/>
  <c r="L412" i="7"/>
  <c r="N411" i="7"/>
  <c r="M411" i="7"/>
  <c r="L411" i="7"/>
  <c r="N410" i="7"/>
  <c r="M410" i="7"/>
  <c r="L410" i="7"/>
  <c r="N409" i="7"/>
  <c r="M409" i="7"/>
  <c r="L409" i="7"/>
  <c r="N408" i="7"/>
  <c r="M408" i="7"/>
  <c r="L408" i="7"/>
  <c r="N407" i="7"/>
  <c r="M407" i="7"/>
  <c r="L407" i="7"/>
  <c r="N406" i="7"/>
  <c r="M406" i="7"/>
  <c r="L406" i="7"/>
  <c r="N405" i="7"/>
  <c r="M405" i="7"/>
  <c r="L405" i="7"/>
  <c r="N404" i="7"/>
  <c r="M404" i="7"/>
  <c r="L404" i="7"/>
  <c r="N403" i="7"/>
  <c r="M403" i="7"/>
  <c r="L403" i="7"/>
  <c r="N402" i="7"/>
  <c r="M402" i="7"/>
  <c r="L402" i="7"/>
  <c r="N401" i="7"/>
  <c r="M401" i="7"/>
  <c r="L401" i="7"/>
  <c r="N400" i="7"/>
  <c r="M400" i="7"/>
  <c r="L400" i="7"/>
  <c r="N399" i="7"/>
  <c r="M399" i="7"/>
  <c r="L399" i="7"/>
  <c r="N398" i="7"/>
  <c r="M398" i="7"/>
  <c r="L398" i="7"/>
  <c r="N397" i="7"/>
  <c r="M397" i="7"/>
  <c r="L397" i="7"/>
  <c r="N396" i="7"/>
  <c r="M396" i="7"/>
  <c r="L396" i="7"/>
  <c r="N395" i="7"/>
  <c r="M395" i="7"/>
  <c r="L395" i="7"/>
  <c r="N394" i="7"/>
  <c r="M394" i="7"/>
  <c r="L394" i="7"/>
  <c r="N393" i="7"/>
  <c r="M393" i="7"/>
  <c r="L393" i="7"/>
  <c r="N392" i="7"/>
  <c r="M392" i="7"/>
  <c r="L392" i="7"/>
  <c r="N391" i="7"/>
  <c r="M391" i="7"/>
  <c r="L391" i="7"/>
  <c r="N390" i="7"/>
  <c r="M390" i="7"/>
  <c r="L390" i="7"/>
  <c r="N389" i="7"/>
  <c r="M389" i="7"/>
  <c r="L389" i="7"/>
  <c r="N388" i="7"/>
  <c r="M388" i="7"/>
  <c r="L388" i="7"/>
  <c r="N387" i="7"/>
  <c r="M387" i="7"/>
  <c r="L387" i="7"/>
  <c r="N386" i="7"/>
  <c r="M386" i="7"/>
  <c r="L386" i="7"/>
  <c r="N385" i="7"/>
  <c r="M385" i="7"/>
  <c r="L385" i="7"/>
  <c r="N384" i="7"/>
  <c r="M384" i="7"/>
  <c r="L384" i="7"/>
  <c r="N383" i="7"/>
  <c r="M383" i="7"/>
  <c r="L383" i="7"/>
  <c r="N382" i="7"/>
  <c r="M382" i="7"/>
  <c r="L382" i="7"/>
  <c r="N381" i="7"/>
  <c r="M381" i="7"/>
  <c r="L381" i="7"/>
  <c r="N380" i="7"/>
  <c r="M380" i="7"/>
  <c r="L380" i="7"/>
  <c r="N379" i="7"/>
  <c r="M379" i="7"/>
  <c r="L379" i="7"/>
  <c r="N378" i="7"/>
  <c r="M378" i="7"/>
  <c r="L378" i="7"/>
  <c r="N377" i="7"/>
  <c r="M377" i="7"/>
  <c r="L377" i="7"/>
  <c r="N376" i="7"/>
  <c r="M376" i="7"/>
  <c r="L376" i="7"/>
  <c r="N375" i="7"/>
  <c r="M375" i="7"/>
  <c r="L375" i="7"/>
  <c r="N374" i="7"/>
  <c r="M374" i="7"/>
  <c r="L374" i="7"/>
  <c r="N373" i="7"/>
  <c r="M373" i="7"/>
  <c r="L373" i="7"/>
  <c r="N372" i="7"/>
  <c r="M372" i="7"/>
  <c r="L372" i="7"/>
  <c r="N371" i="7"/>
  <c r="M371" i="7"/>
  <c r="L371" i="7"/>
  <c r="N370" i="7"/>
  <c r="M370" i="7"/>
  <c r="L370" i="7"/>
  <c r="N369" i="7"/>
  <c r="M369" i="7"/>
  <c r="L369" i="7"/>
  <c r="N368" i="7"/>
  <c r="M368" i="7"/>
  <c r="L368" i="7"/>
  <c r="N367" i="7"/>
  <c r="M367" i="7"/>
  <c r="L367" i="7"/>
  <c r="N366" i="7"/>
  <c r="M366" i="7"/>
  <c r="L366" i="7"/>
  <c r="N365" i="7"/>
  <c r="M365" i="7"/>
  <c r="L365" i="7"/>
  <c r="N364" i="7"/>
  <c r="M364" i="7"/>
  <c r="L364" i="7"/>
  <c r="N363" i="7"/>
  <c r="M363" i="7"/>
  <c r="L363" i="7"/>
  <c r="N362" i="7"/>
  <c r="M362" i="7"/>
  <c r="L362" i="7"/>
  <c r="N361" i="7"/>
  <c r="M361" i="7"/>
  <c r="L361" i="7"/>
  <c r="N360" i="7"/>
  <c r="M360" i="7"/>
  <c r="L360" i="7"/>
  <c r="N359" i="7"/>
  <c r="M359" i="7"/>
  <c r="L359" i="7"/>
  <c r="N358" i="7"/>
  <c r="M358" i="7"/>
  <c r="L358" i="7"/>
  <c r="N357" i="7"/>
  <c r="M357" i="7"/>
  <c r="L357" i="7"/>
  <c r="N356" i="7"/>
  <c r="M356" i="7"/>
  <c r="L356" i="7"/>
  <c r="N355" i="7"/>
  <c r="M355" i="7"/>
  <c r="L355" i="7"/>
  <c r="N354" i="7"/>
  <c r="M354" i="7"/>
  <c r="L354" i="7"/>
  <c r="N353" i="7"/>
  <c r="M353" i="7"/>
  <c r="L353" i="7"/>
  <c r="N352" i="7"/>
  <c r="M352" i="7"/>
  <c r="L352" i="7"/>
  <c r="N351" i="7"/>
  <c r="M351" i="7"/>
  <c r="L351" i="7"/>
  <c r="N350" i="7"/>
  <c r="M350" i="7"/>
  <c r="L350" i="7"/>
  <c r="N349" i="7"/>
  <c r="M349" i="7"/>
  <c r="L349" i="7"/>
  <c r="N348" i="7"/>
  <c r="M348" i="7"/>
  <c r="L348" i="7"/>
  <c r="N347" i="7"/>
  <c r="M347" i="7"/>
  <c r="L347" i="7"/>
  <c r="N346" i="7"/>
  <c r="M346" i="7"/>
  <c r="L346" i="7"/>
  <c r="N345" i="7"/>
  <c r="M345" i="7"/>
  <c r="L345" i="7"/>
  <c r="N344" i="7"/>
  <c r="M344" i="7"/>
  <c r="L344" i="7"/>
  <c r="N343" i="7"/>
  <c r="M343" i="7"/>
  <c r="L343" i="7"/>
  <c r="N342" i="7"/>
  <c r="M342" i="7"/>
  <c r="L342" i="7"/>
  <c r="N341" i="7"/>
  <c r="M341" i="7"/>
  <c r="L341" i="7"/>
  <c r="N340" i="7"/>
  <c r="M340" i="7"/>
  <c r="L340" i="7"/>
  <c r="N339" i="7"/>
  <c r="M339" i="7"/>
  <c r="L339" i="7"/>
  <c r="N338" i="7"/>
  <c r="M338" i="7"/>
  <c r="L338" i="7"/>
  <c r="N337" i="7"/>
  <c r="M337" i="7"/>
  <c r="L337" i="7"/>
  <c r="N336" i="7"/>
  <c r="M336" i="7"/>
  <c r="L336" i="7"/>
  <c r="N335" i="7"/>
  <c r="M335" i="7"/>
  <c r="L335" i="7"/>
  <c r="N334" i="7"/>
  <c r="M334" i="7"/>
  <c r="L334" i="7"/>
  <c r="N333" i="7"/>
  <c r="M333" i="7"/>
  <c r="L333" i="7"/>
  <c r="N332" i="7"/>
  <c r="M332" i="7"/>
  <c r="L332" i="7"/>
  <c r="N331" i="7"/>
  <c r="M331" i="7"/>
  <c r="L331" i="7"/>
  <c r="N330" i="7"/>
  <c r="M330" i="7"/>
  <c r="L330" i="7"/>
  <c r="N329" i="7"/>
  <c r="M329" i="7"/>
  <c r="L329" i="7"/>
  <c r="N328" i="7"/>
  <c r="M328" i="7"/>
  <c r="L328" i="7"/>
  <c r="N327" i="7"/>
  <c r="M327" i="7"/>
  <c r="L327" i="7"/>
  <c r="N326" i="7"/>
  <c r="M326" i="7"/>
  <c r="L326" i="7"/>
  <c r="N325" i="7"/>
  <c r="M325" i="7"/>
  <c r="L325" i="7"/>
  <c r="N324" i="7"/>
  <c r="M324" i="7"/>
  <c r="L324" i="7"/>
  <c r="N323" i="7"/>
  <c r="M323" i="7"/>
  <c r="L323" i="7"/>
  <c r="N322" i="7"/>
  <c r="M322" i="7"/>
  <c r="L322" i="7"/>
  <c r="N321" i="7"/>
  <c r="M321" i="7"/>
  <c r="L321" i="7"/>
  <c r="N320" i="7"/>
  <c r="M320" i="7"/>
  <c r="L320" i="7"/>
  <c r="N319" i="7"/>
  <c r="M319" i="7"/>
  <c r="L319" i="7"/>
  <c r="N318" i="7"/>
  <c r="M318" i="7"/>
  <c r="L318" i="7"/>
  <c r="N317" i="7"/>
  <c r="M317" i="7"/>
  <c r="L317" i="7"/>
  <c r="N316" i="7"/>
  <c r="M316" i="7"/>
  <c r="L316" i="7"/>
  <c r="N315" i="7"/>
  <c r="M315" i="7"/>
  <c r="L315" i="7"/>
  <c r="N314" i="7"/>
  <c r="M314" i="7"/>
  <c r="L314" i="7"/>
  <c r="N313" i="7"/>
  <c r="M313" i="7"/>
  <c r="L313" i="7"/>
  <c r="N312" i="7"/>
  <c r="M312" i="7"/>
  <c r="L312" i="7"/>
  <c r="N311" i="7"/>
  <c r="M311" i="7"/>
  <c r="L311" i="7"/>
  <c r="N310" i="7"/>
  <c r="M310" i="7"/>
  <c r="L310" i="7"/>
  <c r="N309" i="7"/>
  <c r="M309" i="7"/>
  <c r="L309" i="7"/>
  <c r="N308" i="7"/>
  <c r="M308" i="7"/>
  <c r="L308" i="7"/>
  <c r="N307" i="7"/>
  <c r="M307" i="7"/>
  <c r="L307" i="7"/>
  <c r="N306" i="7"/>
  <c r="M306" i="7"/>
  <c r="L306" i="7"/>
  <c r="N305" i="7"/>
  <c r="M305" i="7"/>
  <c r="L305" i="7"/>
  <c r="N304" i="7"/>
  <c r="M304" i="7"/>
  <c r="L304" i="7"/>
  <c r="N303" i="7"/>
  <c r="M303" i="7"/>
  <c r="L303" i="7"/>
  <c r="N302" i="7"/>
  <c r="M302" i="7"/>
  <c r="L302" i="7"/>
  <c r="N301" i="7"/>
  <c r="M301" i="7"/>
  <c r="L301" i="7"/>
  <c r="N300" i="7"/>
  <c r="M300" i="7"/>
  <c r="L300" i="7"/>
  <c r="N299" i="7"/>
  <c r="M299" i="7"/>
  <c r="L299" i="7"/>
  <c r="N298" i="7"/>
  <c r="M298" i="7"/>
  <c r="L298" i="7"/>
  <c r="N297" i="7"/>
  <c r="M297" i="7"/>
  <c r="L297" i="7"/>
  <c r="N296" i="7"/>
  <c r="M296" i="7"/>
  <c r="L296" i="7"/>
  <c r="N295" i="7"/>
  <c r="M295" i="7"/>
  <c r="L295" i="7"/>
  <c r="N294" i="7"/>
  <c r="M294" i="7"/>
  <c r="L294" i="7"/>
  <c r="N293" i="7"/>
  <c r="M293" i="7"/>
  <c r="L293" i="7"/>
  <c r="N292" i="7"/>
  <c r="M292" i="7"/>
  <c r="L292" i="7"/>
  <c r="N291" i="7"/>
  <c r="M291" i="7"/>
  <c r="L291" i="7"/>
  <c r="N290" i="7"/>
  <c r="M290" i="7"/>
  <c r="L290" i="7"/>
  <c r="N289" i="7"/>
  <c r="M289" i="7"/>
  <c r="L289" i="7"/>
  <c r="N288" i="7"/>
  <c r="M288" i="7"/>
  <c r="L288" i="7"/>
  <c r="N287" i="7"/>
  <c r="M287" i="7"/>
  <c r="L287" i="7"/>
  <c r="N286" i="7"/>
  <c r="M286" i="7"/>
  <c r="L286" i="7"/>
  <c r="N285" i="7"/>
  <c r="M285" i="7"/>
  <c r="L285" i="7"/>
  <c r="N284" i="7"/>
  <c r="M284" i="7"/>
  <c r="L284" i="7"/>
  <c r="N283" i="7"/>
  <c r="M283" i="7"/>
  <c r="L283" i="7"/>
  <c r="N282" i="7"/>
  <c r="M282" i="7"/>
  <c r="L282" i="7"/>
  <c r="N281" i="7"/>
  <c r="M281" i="7"/>
  <c r="L281" i="7"/>
  <c r="N280" i="7"/>
  <c r="M280" i="7"/>
  <c r="L280" i="7"/>
  <c r="N279" i="7"/>
  <c r="M279" i="7"/>
  <c r="L279" i="7"/>
  <c r="N278" i="7"/>
  <c r="M278" i="7"/>
  <c r="L278" i="7"/>
  <c r="N277" i="7"/>
  <c r="M277" i="7"/>
  <c r="L277" i="7"/>
  <c r="N276" i="7"/>
  <c r="M276" i="7"/>
  <c r="L276" i="7"/>
  <c r="N275" i="7"/>
  <c r="M275" i="7"/>
  <c r="L275" i="7"/>
  <c r="N274" i="7"/>
  <c r="M274" i="7"/>
  <c r="L274" i="7"/>
  <c r="N273" i="7"/>
  <c r="M273" i="7"/>
  <c r="L273" i="7"/>
  <c r="N272" i="7"/>
  <c r="M272" i="7"/>
  <c r="L272" i="7"/>
  <c r="N271" i="7"/>
  <c r="M271" i="7"/>
  <c r="L271" i="7"/>
  <c r="N270" i="7"/>
  <c r="M270" i="7"/>
  <c r="L270" i="7"/>
  <c r="N269" i="7"/>
  <c r="M269" i="7"/>
  <c r="L269" i="7"/>
  <c r="N268" i="7"/>
  <c r="M268" i="7"/>
  <c r="L268" i="7"/>
  <c r="N267" i="7"/>
  <c r="M267" i="7"/>
  <c r="L267" i="7"/>
  <c r="N266" i="7"/>
  <c r="M266" i="7"/>
  <c r="L266" i="7"/>
  <c r="N265" i="7"/>
  <c r="M265" i="7"/>
  <c r="L265" i="7"/>
  <c r="N264" i="7"/>
  <c r="M264" i="7"/>
  <c r="L264" i="7"/>
  <c r="N263" i="7"/>
  <c r="M263" i="7"/>
  <c r="L263" i="7"/>
  <c r="N262" i="7"/>
  <c r="M262" i="7"/>
  <c r="L262" i="7"/>
  <c r="N261" i="7"/>
  <c r="M261" i="7"/>
  <c r="L261" i="7"/>
  <c r="N260" i="7"/>
  <c r="M260" i="7"/>
  <c r="L260" i="7"/>
  <c r="N259" i="7"/>
  <c r="M259" i="7"/>
  <c r="L259" i="7"/>
  <c r="N258" i="7"/>
  <c r="M258" i="7"/>
  <c r="L258" i="7"/>
  <c r="N257" i="7"/>
  <c r="M257" i="7"/>
  <c r="L257" i="7"/>
  <c r="N256" i="7"/>
  <c r="M256" i="7"/>
  <c r="L256" i="7"/>
  <c r="N255" i="7"/>
  <c r="M255" i="7"/>
  <c r="L255" i="7"/>
  <c r="N254" i="7"/>
  <c r="M254" i="7"/>
  <c r="L254" i="7"/>
  <c r="N253" i="7"/>
  <c r="M253" i="7"/>
  <c r="L253" i="7"/>
  <c r="N252" i="7"/>
  <c r="M252" i="7"/>
  <c r="L252" i="7"/>
  <c r="N251" i="7"/>
  <c r="M251" i="7"/>
  <c r="L251" i="7"/>
  <c r="N250" i="7"/>
  <c r="M250" i="7"/>
  <c r="L250" i="7"/>
  <c r="N249" i="7"/>
  <c r="M249" i="7"/>
  <c r="L249" i="7"/>
  <c r="N248" i="7"/>
  <c r="M248" i="7"/>
  <c r="L248" i="7"/>
  <c r="N247" i="7"/>
  <c r="M247" i="7"/>
  <c r="L247" i="7"/>
  <c r="N246" i="7"/>
  <c r="M246" i="7"/>
  <c r="L246" i="7"/>
  <c r="N245" i="7"/>
  <c r="M245" i="7"/>
  <c r="L245" i="7"/>
  <c r="N244" i="7"/>
  <c r="M244" i="7"/>
  <c r="L244" i="7"/>
  <c r="N243" i="7"/>
  <c r="M243" i="7"/>
  <c r="L243" i="7"/>
  <c r="N242" i="7"/>
  <c r="M242" i="7"/>
  <c r="L242" i="7"/>
  <c r="N241" i="7"/>
  <c r="M241" i="7"/>
  <c r="L241" i="7"/>
  <c r="N240" i="7"/>
  <c r="M240" i="7"/>
  <c r="L240" i="7"/>
  <c r="N239" i="7"/>
  <c r="M239" i="7"/>
  <c r="L239" i="7"/>
  <c r="N238" i="7"/>
  <c r="M238" i="7"/>
  <c r="L238" i="7"/>
  <c r="N237" i="7"/>
  <c r="M237" i="7"/>
  <c r="L237" i="7"/>
  <c r="N236" i="7"/>
  <c r="M236" i="7"/>
  <c r="L236" i="7"/>
  <c r="N235" i="7"/>
  <c r="M235" i="7"/>
  <c r="L235" i="7"/>
  <c r="N234" i="7"/>
  <c r="M234" i="7"/>
  <c r="L234" i="7"/>
  <c r="N233" i="7"/>
  <c r="M233" i="7"/>
  <c r="L233" i="7"/>
  <c r="N232" i="7"/>
  <c r="M232" i="7"/>
  <c r="L232" i="7"/>
  <c r="N231" i="7"/>
  <c r="M231" i="7"/>
  <c r="L231" i="7"/>
  <c r="N230" i="7"/>
  <c r="M230" i="7"/>
  <c r="L230" i="7"/>
  <c r="N229" i="7"/>
  <c r="M229" i="7"/>
  <c r="L229" i="7"/>
  <c r="N228" i="7"/>
  <c r="M228" i="7"/>
  <c r="L228" i="7"/>
  <c r="N227" i="7"/>
  <c r="M227" i="7"/>
  <c r="L227" i="7"/>
  <c r="N226" i="7"/>
  <c r="M226" i="7"/>
  <c r="L226" i="7"/>
  <c r="N225" i="7"/>
  <c r="M225" i="7"/>
  <c r="L225" i="7"/>
  <c r="N224" i="7"/>
  <c r="M224" i="7"/>
  <c r="L224" i="7"/>
  <c r="N223" i="7"/>
  <c r="M223" i="7"/>
  <c r="L223" i="7"/>
  <c r="N222" i="7"/>
  <c r="M222" i="7"/>
  <c r="L222" i="7"/>
  <c r="N221" i="7"/>
  <c r="M221" i="7"/>
  <c r="L221" i="7"/>
  <c r="N220" i="7"/>
  <c r="M220" i="7"/>
  <c r="L220" i="7"/>
  <c r="N219" i="7"/>
  <c r="M219" i="7"/>
  <c r="L219" i="7"/>
  <c r="N218" i="7"/>
  <c r="M218" i="7"/>
  <c r="L218" i="7"/>
  <c r="N217" i="7"/>
  <c r="M217" i="7"/>
  <c r="L217" i="7"/>
  <c r="N216" i="7"/>
  <c r="M216" i="7"/>
  <c r="L216" i="7"/>
  <c r="N215" i="7"/>
  <c r="M215" i="7"/>
  <c r="L215" i="7"/>
  <c r="N214" i="7"/>
  <c r="M214" i="7"/>
  <c r="L214" i="7"/>
  <c r="N213" i="7"/>
  <c r="M213" i="7"/>
  <c r="L213" i="7"/>
  <c r="N212" i="7"/>
  <c r="M212" i="7"/>
  <c r="L212" i="7"/>
  <c r="N211" i="7"/>
  <c r="M211" i="7"/>
  <c r="L211" i="7"/>
  <c r="N210" i="7"/>
  <c r="M210" i="7"/>
  <c r="L210" i="7"/>
  <c r="N209" i="7"/>
  <c r="M209" i="7"/>
  <c r="L209" i="7"/>
  <c r="N208" i="7"/>
  <c r="M208" i="7"/>
  <c r="L208" i="7"/>
  <c r="N207" i="7"/>
  <c r="M207" i="7"/>
  <c r="L207" i="7"/>
  <c r="N206" i="7"/>
  <c r="M206" i="7"/>
  <c r="L206" i="7"/>
  <c r="N205" i="7"/>
  <c r="M205" i="7"/>
  <c r="L205" i="7"/>
  <c r="N204" i="7"/>
  <c r="M204" i="7"/>
  <c r="L204" i="7"/>
  <c r="N203" i="7"/>
  <c r="M203" i="7"/>
  <c r="L203" i="7"/>
  <c r="N202" i="7"/>
  <c r="M202" i="7"/>
  <c r="L202" i="7"/>
  <c r="N201" i="7"/>
  <c r="M201" i="7"/>
  <c r="L201" i="7"/>
  <c r="N200" i="7"/>
  <c r="M200" i="7"/>
  <c r="L200" i="7"/>
  <c r="N199" i="7"/>
  <c r="M199" i="7"/>
  <c r="L199" i="7"/>
  <c r="N198" i="7"/>
  <c r="M198" i="7"/>
  <c r="L198" i="7"/>
  <c r="N197" i="7"/>
  <c r="M197" i="7"/>
  <c r="L197" i="7"/>
  <c r="N196" i="7"/>
  <c r="M196" i="7"/>
  <c r="L196" i="7"/>
  <c r="N195" i="7"/>
  <c r="M195" i="7"/>
  <c r="L195" i="7"/>
  <c r="N194" i="7"/>
  <c r="M194" i="7"/>
  <c r="L194" i="7"/>
  <c r="N193" i="7"/>
  <c r="M193" i="7"/>
  <c r="L193" i="7"/>
  <c r="N192" i="7"/>
  <c r="M192" i="7"/>
  <c r="L192" i="7"/>
  <c r="N191" i="7"/>
  <c r="M191" i="7"/>
  <c r="L191" i="7"/>
  <c r="N190" i="7"/>
  <c r="M190" i="7"/>
  <c r="L190" i="7"/>
  <c r="N189" i="7"/>
  <c r="M189" i="7"/>
  <c r="L189" i="7"/>
  <c r="N188" i="7"/>
  <c r="M188" i="7"/>
  <c r="L188" i="7"/>
  <c r="N187" i="7"/>
  <c r="M187" i="7"/>
  <c r="L187" i="7"/>
  <c r="N186" i="7"/>
  <c r="M186" i="7"/>
  <c r="L186" i="7"/>
  <c r="N185" i="7"/>
  <c r="M185" i="7"/>
  <c r="L185" i="7"/>
  <c r="N184" i="7"/>
  <c r="M184" i="7"/>
  <c r="L184" i="7"/>
  <c r="N183" i="7"/>
  <c r="M183" i="7"/>
  <c r="L183" i="7"/>
  <c r="N182" i="7"/>
  <c r="M182" i="7"/>
  <c r="L182" i="7"/>
  <c r="N181" i="7"/>
  <c r="M181" i="7"/>
  <c r="L181" i="7"/>
  <c r="N180" i="7"/>
  <c r="M180" i="7"/>
  <c r="L180" i="7"/>
  <c r="N179" i="7"/>
  <c r="M179" i="7"/>
  <c r="L179" i="7"/>
  <c r="N178" i="7"/>
  <c r="M178" i="7"/>
  <c r="L178" i="7"/>
  <c r="N177" i="7"/>
  <c r="M177" i="7"/>
  <c r="L177" i="7"/>
  <c r="N176" i="7"/>
  <c r="M176" i="7"/>
  <c r="L176" i="7"/>
  <c r="N175" i="7"/>
  <c r="M175" i="7"/>
  <c r="L175" i="7"/>
  <c r="N174" i="7"/>
  <c r="M174" i="7"/>
  <c r="L174" i="7"/>
  <c r="N173" i="7"/>
  <c r="M173" i="7"/>
  <c r="L173" i="7"/>
  <c r="N172" i="7"/>
  <c r="M172" i="7"/>
  <c r="L172" i="7"/>
  <c r="N171" i="7"/>
  <c r="M171" i="7"/>
  <c r="L171" i="7"/>
  <c r="N170" i="7"/>
  <c r="M170" i="7"/>
  <c r="L170" i="7"/>
  <c r="N169" i="7"/>
  <c r="M169" i="7"/>
  <c r="L169" i="7"/>
  <c r="N168" i="7"/>
  <c r="M168" i="7"/>
  <c r="L168" i="7"/>
  <c r="N167" i="7"/>
  <c r="M167" i="7"/>
  <c r="L167" i="7"/>
  <c r="N166" i="7"/>
  <c r="M166" i="7"/>
  <c r="L166" i="7"/>
  <c r="N165" i="7"/>
  <c r="M165" i="7"/>
  <c r="L165" i="7"/>
  <c r="N164" i="7"/>
  <c r="M164" i="7"/>
  <c r="L164" i="7"/>
  <c r="N163" i="7"/>
  <c r="M163" i="7"/>
  <c r="L163" i="7"/>
  <c r="N162" i="7"/>
  <c r="M162" i="7"/>
  <c r="L162" i="7"/>
  <c r="N161" i="7"/>
  <c r="M161" i="7"/>
  <c r="L161" i="7"/>
  <c r="N160" i="7"/>
  <c r="M160" i="7"/>
  <c r="L160" i="7"/>
  <c r="N159" i="7"/>
  <c r="M159" i="7"/>
  <c r="L159" i="7"/>
  <c r="N158" i="7"/>
  <c r="M158" i="7"/>
  <c r="L158" i="7"/>
  <c r="N157" i="7"/>
  <c r="M157" i="7"/>
  <c r="L157" i="7"/>
  <c r="N156" i="7"/>
  <c r="M156" i="7"/>
  <c r="L156" i="7"/>
  <c r="N155" i="7"/>
  <c r="M155" i="7"/>
  <c r="L155" i="7"/>
  <c r="N154" i="7"/>
  <c r="M154" i="7"/>
  <c r="L154" i="7"/>
  <c r="N153" i="7"/>
  <c r="M153" i="7"/>
  <c r="L153" i="7"/>
  <c r="N152" i="7"/>
  <c r="M152" i="7"/>
  <c r="L152" i="7"/>
  <c r="N151" i="7"/>
  <c r="M151" i="7"/>
  <c r="L151" i="7"/>
  <c r="N150" i="7"/>
  <c r="M150" i="7"/>
  <c r="L150" i="7"/>
  <c r="N149" i="7"/>
  <c r="M149" i="7"/>
  <c r="L149" i="7"/>
  <c r="N148" i="7"/>
  <c r="M148" i="7"/>
  <c r="L148" i="7"/>
  <c r="N147" i="7"/>
  <c r="M147" i="7"/>
  <c r="L147" i="7"/>
  <c r="N146" i="7"/>
  <c r="M146" i="7"/>
  <c r="L146" i="7"/>
  <c r="N145" i="7"/>
  <c r="M145" i="7"/>
  <c r="L145" i="7"/>
  <c r="N144" i="7"/>
  <c r="M144" i="7"/>
  <c r="L144" i="7"/>
  <c r="N143" i="7"/>
  <c r="M143" i="7"/>
  <c r="L143" i="7"/>
  <c r="N142" i="7"/>
  <c r="M142" i="7"/>
  <c r="L142" i="7"/>
  <c r="N141" i="7"/>
  <c r="M141" i="7"/>
  <c r="L141" i="7"/>
  <c r="N140" i="7"/>
  <c r="M140" i="7"/>
  <c r="L140" i="7"/>
  <c r="N139" i="7"/>
  <c r="M139" i="7"/>
  <c r="L139" i="7"/>
  <c r="N138" i="7"/>
  <c r="M138" i="7"/>
  <c r="L138" i="7"/>
  <c r="N137" i="7"/>
  <c r="M137" i="7"/>
  <c r="L137" i="7"/>
  <c r="N136" i="7"/>
  <c r="M136" i="7"/>
  <c r="L136" i="7"/>
  <c r="N135" i="7"/>
  <c r="M135" i="7"/>
  <c r="L135" i="7"/>
  <c r="N134" i="7"/>
  <c r="M134" i="7"/>
  <c r="L134" i="7"/>
  <c r="N133" i="7"/>
  <c r="M133" i="7"/>
  <c r="L133" i="7"/>
  <c r="N132" i="7"/>
  <c r="M132" i="7"/>
  <c r="L132" i="7"/>
  <c r="N131" i="7"/>
  <c r="M131" i="7"/>
  <c r="L131" i="7"/>
  <c r="N130" i="7"/>
  <c r="M130" i="7"/>
  <c r="L130" i="7"/>
  <c r="N129" i="7"/>
  <c r="M129" i="7"/>
  <c r="L129" i="7"/>
  <c r="N128" i="7"/>
  <c r="M128" i="7"/>
  <c r="L128" i="7"/>
  <c r="N127" i="7"/>
  <c r="M127" i="7"/>
  <c r="L127" i="7"/>
  <c r="N126" i="7"/>
  <c r="M126" i="7"/>
  <c r="L126" i="7"/>
  <c r="N125" i="7"/>
  <c r="M125" i="7"/>
  <c r="L125" i="7"/>
  <c r="N124" i="7"/>
  <c r="M124" i="7"/>
  <c r="L124" i="7"/>
  <c r="N123" i="7"/>
  <c r="M123" i="7"/>
  <c r="L123" i="7"/>
  <c r="N122" i="7"/>
  <c r="M122" i="7"/>
  <c r="L122" i="7"/>
  <c r="N121" i="7"/>
  <c r="M121" i="7"/>
  <c r="L121" i="7"/>
  <c r="N120" i="7"/>
  <c r="M120" i="7"/>
  <c r="L120" i="7"/>
  <c r="N119" i="7"/>
  <c r="M119" i="7"/>
  <c r="L119" i="7"/>
  <c r="N118" i="7"/>
  <c r="M118" i="7"/>
  <c r="L118" i="7"/>
  <c r="N117" i="7"/>
  <c r="M117" i="7"/>
  <c r="L117" i="7"/>
  <c r="N116" i="7"/>
  <c r="M116" i="7"/>
  <c r="L116" i="7"/>
  <c r="N115" i="7"/>
  <c r="M115" i="7"/>
  <c r="L115" i="7"/>
  <c r="N114" i="7"/>
  <c r="M114" i="7"/>
  <c r="L114" i="7"/>
  <c r="N113" i="7"/>
  <c r="M113" i="7"/>
  <c r="L113" i="7"/>
  <c r="N112" i="7"/>
  <c r="M112" i="7"/>
  <c r="L112" i="7"/>
  <c r="N111" i="7"/>
  <c r="M111" i="7"/>
  <c r="L111" i="7"/>
  <c r="N110" i="7"/>
  <c r="M110" i="7"/>
  <c r="L110" i="7"/>
  <c r="N109" i="7"/>
  <c r="M109" i="7"/>
  <c r="L109" i="7"/>
  <c r="N108" i="7"/>
  <c r="M108" i="7"/>
  <c r="L108" i="7"/>
  <c r="N107" i="7"/>
  <c r="M107" i="7"/>
  <c r="L107" i="7"/>
  <c r="N106" i="7"/>
  <c r="M106" i="7"/>
  <c r="L106" i="7"/>
  <c r="N105" i="7"/>
  <c r="M105" i="7"/>
  <c r="L105" i="7"/>
  <c r="N104" i="7"/>
  <c r="M104" i="7"/>
  <c r="L104" i="7"/>
  <c r="N103" i="7"/>
  <c r="M103" i="7"/>
  <c r="L103" i="7"/>
  <c r="N102" i="7"/>
  <c r="M102" i="7"/>
  <c r="L102" i="7"/>
  <c r="N101" i="7"/>
  <c r="M101" i="7"/>
  <c r="L101" i="7"/>
  <c r="N100" i="7"/>
  <c r="M100" i="7"/>
  <c r="L100" i="7"/>
  <c r="N99" i="7"/>
  <c r="M99" i="7"/>
  <c r="L99" i="7"/>
  <c r="N98" i="7"/>
  <c r="M98" i="7"/>
  <c r="L98" i="7"/>
  <c r="N97" i="7"/>
  <c r="M97" i="7"/>
  <c r="L97" i="7"/>
  <c r="N96" i="7"/>
  <c r="M96" i="7"/>
  <c r="L96" i="7"/>
  <c r="N95" i="7"/>
  <c r="M95" i="7"/>
  <c r="L95" i="7"/>
  <c r="N94" i="7"/>
  <c r="M94" i="7"/>
  <c r="L94" i="7"/>
  <c r="N93" i="7"/>
  <c r="M93" i="7"/>
  <c r="L93" i="7"/>
  <c r="N92" i="7"/>
  <c r="M92" i="7"/>
  <c r="L92" i="7"/>
  <c r="N91" i="7"/>
  <c r="M91" i="7"/>
  <c r="L91" i="7"/>
  <c r="N90" i="7"/>
  <c r="M90" i="7"/>
  <c r="L90" i="7"/>
  <c r="N89" i="7"/>
  <c r="M89" i="7"/>
  <c r="L89" i="7"/>
  <c r="N88" i="7"/>
  <c r="M88" i="7"/>
  <c r="L88" i="7"/>
  <c r="N87" i="7"/>
  <c r="M87" i="7"/>
  <c r="L87" i="7"/>
  <c r="N86" i="7"/>
  <c r="M86" i="7"/>
  <c r="L86" i="7"/>
  <c r="N85" i="7"/>
  <c r="M85" i="7"/>
  <c r="L85" i="7"/>
  <c r="N84" i="7"/>
  <c r="M84" i="7"/>
  <c r="L84" i="7"/>
  <c r="N83" i="7"/>
  <c r="M83" i="7"/>
  <c r="L83" i="7"/>
  <c r="N82" i="7"/>
  <c r="M82" i="7"/>
  <c r="L82" i="7"/>
  <c r="N81" i="7"/>
  <c r="M81" i="7"/>
  <c r="L81" i="7"/>
  <c r="N80" i="7"/>
  <c r="M80" i="7"/>
  <c r="L80" i="7"/>
  <c r="N79" i="7"/>
  <c r="M79" i="7"/>
  <c r="L79" i="7"/>
  <c r="N78" i="7"/>
  <c r="M78" i="7"/>
  <c r="L78" i="7"/>
  <c r="N77" i="7"/>
  <c r="M77" i="7"/>
  <c r="L77" i="7"/>
  <c r="N76" i="7"/>
  <c r="M76" i="7"/>
  <c r="L76" i="7"/>
  <c r="N75" i="7"/>
  <c r="M75" i="7"/>
  <c r="L75" i="7"/>
  <c r="N74" i="7"/>
  <c r="M74" i="7"/>
  <c r="L74" i="7"/>
  <c r="N73" i="7"/>
  <c r="M73" i="7"/>
  <c r="L73" i="7"/>
  <c r="N72" i="7"/>
  <c r="M72" i="7"/>
  <c r="L72" i="7"/>
  <c r="N71" i="7"/>
  <c r="M71" i="7"/>
  <c r="L71" i="7"/>
  <c r="N70" i="7"/>
  <c r="M70" i="7"/>
  <c r="L70" i="7"/>
  <c r="N69" i="7"/>
  <c r="M69" i="7"/>
  <c r="L69" i="7"/>
  <c r="N68" i="7"/>
  <c r="M68" i="7"/>
  <c r="L68" i="7"/>
  <c r="N67" i="7"/>
  <c r="M67" i="7"/>
  <c r="L67" i="7"/>
  <c r="N66" i="7"/>
  <c r="M66" i="7"/>
  <c r="L66" i="7"/>
  <c r="N65" i="7"/>
  <c r="M65" i="7"/>
  <c r="L65" i="7"/>
  <c r="N64" i="7"/>
  <c r="M64" i="7"/>
  <c r="L64" i="7"/>
  <c r="N63" i="7"/>
  <c r="M63" i="7"/>
  <c r="L63" i="7"/>
  <c r="N62" i="7"/>
  <c r="M62" i="7"/>
  <c r="L62" i="7"/>
  <c r="N61" i="7"/>
  <c r="M61" i="7"/>
  <c r="L61" i="7"/>
  <c r="N60" i="7"/>
  <c r="M60" i="7"/>
  <c r="L60" i="7"/>
  <c r="N59" i="7"/>
  <c r="M59" i="7"/>
  <c r="L59" i="7"/>
  <c r="N58" i="7"/>
  <c r="M58" i="7"/>
  <c r="L58" i="7"/>
  <c r="N57" i="7"/>
  <c r="M57" i="7"/>
  <c r="L57" i="7"/>
  <c r="N56" i="7"/>
  <c r="M56" i="7"/>
  <c r="L56" i="7"/>
  <c r="N55" i="7"/>
  <c r="M55" i="7"/>
  <c r="L55" i="7"/>
  <c r="N54" i="7"/>
  <c r="M54" i="7"/>
  <c r="L54" i="7"/>
  <c r="N53" i="7"/>
  <c r="M53" i="7"/>
  <c r="L53" i="7"/>
  <c r="N52" i="7"/>
  <c r="M52" i="7"/>
  <c r="L52" i="7"/>
  <c r="N51" i="7"/>
  <c r="M51" i="7"/>
  <c r="L51" i="7"/>
  <c r="N50" i="7"/>
  <c r="M50" i="7"/>
  <c r="L50" i="7"/>
  <c r="N49" i="7"/>
  <c r="M49" i="7"/>
  <c r="L49" i="7"/>
  <c r="N48" i="7"/>
  <c r="M48" i="7"/>
  <c r="L48" i="7"/>
  <c r="N47" i="7"/>
  <c r="M47" i="7"/>
  <c r="L47" i="7"/>
  <c r="N46" i="7"/>
  <c r="M46" i="7"/>
  <c r="L46" i="7"/>
  <c r="N45" i="7"/>
  <c r="M45" i="7"/>
  <c r="L45" i="7"/>
  <c r="N44" i="7"/>
  <c r="M44" i="7"/>
  <c r="L44" i="7"/>
  <c r="N43" i="7"/>
  <c r="M43" i="7"/>
  <c r="L43" i="7"/>
  <c r="N42" i="7"/>
  <c r="M42" i="7"/>
  <c r="L42" i="7"/>
  <c r="N41" i="7"/>
  <c r="M41" i="7"/>
  <c r="L41" i="7"/>
  <c r="N40" i="7"/>
  <c r="M40" i="7"/>
  <c r="L40" i="7"/>
  <c r="N39" i="7"/>
  <c r="M39" i="7"/>
  <c r="L39" i="7"/>
  <c r="N38" i="7"/>
  <c r="M38" i="7"/>
  <c r="L38" i="7"/>
  <c r="N37" i="7"/>
  <c r="M37" i="7"/>
  <c r="L37" i="7"/>
  <c r="N36" i="7"/>
  <c r="M36" i="7"/>
  <c r="L36" i="7"/>
  <c r="N35" i="7"/>
  <c r="M35" i="7"/>
  <c r="L35" i="7"/>
  <c r="N34" i="7"/>
  <c r="M34" i="7"/>
  <c r="L34" i="7"/>
  <c r="N33" i="7"/>
  <c r="M33" i="7"/>
  <c r="L33" i="7"/>
  <c r="N32" i="7"/>
  <c r="M32" i="7"/>
  <c r="L32" i="7"/>
  <c r="N31" i="7"/>
  <c r="M31" i="7"/>
  <c r="L31" i="7"/>
  <c r="N30" i="7"/>
  <c r="M30" i="7"/>
  <c r="L30" i="7"/>
  <c r="N29" i="7"/>
  <c r="M29" i="7"/>
  <c r="L29" i="7"/>
  <c r="N28" i="7"/>
  <c r="M28" i="7"/>
  <c r="L28" i="7"/>
  <c r="N27" i="7"/>
  <c r="M27" i="7"/>
  <c r="L27" i="7"/>
  <c r="N26" i="7"/>
  <c r="M26" i="7"/>
  <c r="L26" i="7"/>
  <c r="N25" i="7"/>
  <c r="M25" i="7"/>
  <c r="L25" i="7"/>
  <c r="N24" i="7"/>
  <c r="M24" i="7"/>
  <c r="L24" i="7"/>
  <c r="N23" i="7"/>
  <c r="M23" i="7"/>
  <c r="L23" i="7"/>
  <c r="N22" i="7"/>
  <c r="M22" i="7"/>
  <c r="L22" i="7"/>
  <c r="N21" i="7"/>
  <c r="M21" i="7"/>
  <c r="L21" i="7"/>
  <c r="N20" i="7"/>
  <c r="M20" i="7"/>
  <c r="L20" i="7"/>
  <c r="N19" i="7"/>
  <c r="M19" i="7"/>
  <c r="L19" i="7"/>
  <c r="N18" i="7"/>
  <c r="M18" i="7"/>
  <c r="L18" i="7"/>
  <c r="N17" i="7"/>
  <c r="M17" i="7"/>
  <c r="L17" i="7"/>
  <c r="N16" i="7"/>
  <c r="M16" i="7"/>
  <c r="L16" i="7"/>
  <c r="N15" i="7"/>
  <c r="M15" i="7"/>
  <c r="L15" i="7"/>
  <c r="N14" i="7"/>
  <c r="M14" i="7"/>
  <c r="L14" i="7"/>
  <c r="N13" i="7"/>
  <c r="M13" i="7"/>
  <c r="L13" i="7"/>
  <c r="N12" i="7"/>
  <c r="M12" i="7"/>
  <c r="L12" i="7"/>
  <c r="N11" i="7"/>
  <c r="M11" i="7"/>
  <c r="L11" i="7"/>
  <c r="N10" i="7"/>
  <c r="M10" i="7"/>
  <c r="L10" i="7"/>
  <c r="N9" i="7"/>
  <c r="M9" i="7"/>
  <c r="L9" i="7"/>
  <c r="N8" i="7"/>
  <c r="M8" i="7"/>
  <c r="L8" i="7"/>
  <c r="N7" i="7"/>
  <c r="M7" i="7"/>
  <c r="L7" i="7"/>
  <c r="N6" i="7"/>
  <c r="M6" i="7"/>
  <c r="L6" i="7"/>
  <c r="N5" i="7"/>
  <c r="M5" i="7"/>
  <c r="L5" i="7"/>
  <c r="N4" i="7"/>
  <c r="M4" i="7"/>
  <c r="L4" i="7"/>
  <c r="N3" i="7"/>
  <c r="M3" i="7"/>
  <c r="L3" i="7"/>
  <c r="N2" i="7"/>
  <c r="M2" i="7"/>
  <c r="L2" i="7"/>
  <c r="M1" i="7"/>
  <c r="L1" i="7"/>
  <c r="N1013" i="6"/>
  <c r="M1013" i="6"/>
  <c r="L1013" i="6"/>
  <c r="N1012" i="6"/>
  <c r="M1012" i="6"/>
  <c r="L1012" i="6"/>
  <c r="N1011" i="6"/>
  <c r="M1011" i="6"/>
  <c r="L1011" i="6"/>
  <c r="N1010" i="6"/>
  <c r="M1010" i="6"/>
  <c r="L1010" i="6"/>
  <c r="N1009" i="6"/>
  <c r="M1009" i="6"/>
  <c r="L1009" i="6"/>
  <c r="N1008" i="6"/>
  <c r="M1008" i="6"/>
  <c r="L1008" i="6"/>
  <c r="N1007" i="6"/>
  <c r="M1007" i="6"/>
  <c r="L1007" i="6"/>
  <c r="N1006" i="6"/>
  <c r="M1006" i="6"/>
  <c r="L1006" i="6"/>
  <c r="N1005" i="6"/>
  <c r="M1005" i="6"/>
  <c r="L1005" i="6"/>
  <c r="N1004" i="6"/>
  <c r="M1004" i="6"/>
  <c r="L1004" i="6"/>
  <c r="N1003" i="6"/>
  <c r="M1003" i="6"/>
  <c r="L1003" i="6"/>
  <c r="N1002" i="6"/>
  <c r="M1002" i="6"/>
  <c r="L1002" i="6"/>
  <c r="N1001" i="6"/>
  <c r="M1001" i="6"/>
  <c r="L1001" i="6"/>
  <c r="N1000" i="6"/>
  <c r="M1000" i="6"/>
  <c r="L1000" i="6"/>
  <c r="N999" i="6"/>
  <c r="M999" i="6"/>
  <c r="L999" i="6"/>
  <c r="N998" i="6"/>
  <c r="M998" i="6"/>
  <c r="L998" i="6"/>
  <c r="N997" i="6"/>
  <c r="M997" i="6"/>
  <c r="L997" i="6"/>
  <c r="N996" i="6"/>
  <c r="M996" i="6"/>
  <c r="L996" i="6"/>
  <c r="N995" i="6"/>
  <c r="M995" i="6"/>
  <c r="L995" i="6"/>
  <c r="N994" i="6"/>
  <c r="M994" i="6"/>
  <c r="L994" i="6"/>
  <c r="N993" i="6"/>
  <c r="M993" i="6"/>
  <c r="L993" i="6"/>
  <c r="N992" i="6"/>
  <c r="M992" i="6"/>
  <c r="L992" i="6"/>
  <c r="N991" i="6"/>
  <c r="M991" i="6"/>
  <c r="L991" i="6"/>
  <c r="N990" i="6"/>
  <c r="M990" i="6"/>
  <c r="L990" i="6"/>
  <c r="N989" i="6"/>
  <c r="M989" i="6"/>
  <c r="L989" i="6"/>
  <c r="N988" i="6"/>
  <c r="M988" i="6"/>
  <c r="L988" i="6"/>
  <c r="N987" i="6"/>
  <c r="M987" i="6"/>
  <c r="L987" i="6"/>
  <c r="N986" i="6"/>
  <c r="M986" i="6"/>
  <c r="L986" i="6"/>
  <c r="N985" i="6"/>
  <c r="M985" i="6"/>
  <c r="L985" i="6"/>
  <c r="N984" i="6"/>
  <c r="M984" i="6"/>
  <c r="L984" i="6"/>
  <c r="N983" i="6"/>
  <c r="M983" i="6"/>
  <c r="L983" i="6"/>
  <c r="N982" i="6"/>
  <c r="M982" i="6"/>
  <c r="L982" i="6"/>
  <c r="N981" i="6"/>
  <c r="M981" i="6"/>
  <c r="L981" i="6"/>
  <c r="N980" i="6"/>
  <c r="M980" i="6"/>
  <c r="L980" i="6"/>
  <c r="N979" i="6"/>
  <c r="M979" i="6"/>
  <c r="L979" i="6"/>
  <c r="N978" i="6"/>
  <c r="M978" i="6"/>
  <c r="L978" i="6"/>
  <c r="N977" i="6"/>
  <c r="M977" i="6"/>
  <c r="L977" i="6"/>
  <c r="N976" i="6"/>
  <c r="M976" i="6"/>
  <c r="L976" i="6"/>
  <c r="N975" i="6"/>
  <c r="M975" i="6"/>
  <c r="L975" i="6"/>
  <c r="N974" i="6"/>
  <c r="M974" i="6"/>
  <c r="L974" i="6"/>
  <c r="N973" i="6"/>
  <c r="M973" i="6"/>
  <c r="L973" i="6"/>
  <c r="N972" i="6"/>
  <c r="M972" i="6"/>
  <c r="L972" i="6"/>
  <c r="N971" i="6"/>
  <c r="M971" i="6"/>
  <c r="L971" i="6"/>
  <c r="N970" i="6"/>
  <c r="M970" i="6"/>
  <c r="L970" i="6"/>
  <c r="N969" i="6"/>
  <c r="M969" i="6"/>
  <c r="L969" i="6"/>
  <c r="N968" i="6"/>
  <c r="M968" i="6"/>
  <c r="L968" i="6"/>
  <c r="N967" i="6"/>
  <c r="M967" i="6"/>
  <c r="L967" i="6"/>
  <c r="N966" i="6"/>
  <c r="M966" i="6"/>
  <c r="L966" i="6"/>
  <c r="N965" i="6"/>
  <c r="M965" i="6"/>
  <c r="L965" i="6"/>
  <c r="N964" i="6"/>
  <c r="M964" i="6"/>
  <c r="L964" i="6"/>
  <c r="N963" i="6"/>
  <c r="M963" i="6"/>
  <c r="L963" i="6"/>
  <c r="N962" i="6"/>
  <c r="M962" i="6"/>
  <c r="L962" i="6"/>
  <c r="N961" i="6"/>
  <c r="M961" i="6"/>
  <c r="L961" i="6"/>
  <c r="N960" i="6"/>
  <c r="M960" i="6"/>
  <c r="L960" i="6"/>
  <c r="N959" i="6"/>
  <c r="M959" i="6"/>
  <c r="L959" i="6"/>
  <c r="N958" i="6"/>
  <c r="M958" i="6"/>
  <c r="L958" i="6"/>
  <c r="N957" i="6"/>
  <c r="M957" i="6"/>
  <c r="L957" i="6"/>
  <c r="N956" i="6"/>
  <c r="M956" i="6"/>
  <c r="L956" i="6"/>
  <c r="N955" i="6"/>
  <c r="M955" i="6"/>
  <c r="L955" i="6"/>
  <c r="N954" i="6"/>
  <c r="M954" i="6"/>
  <c r="L954" i="6"/>
  <c r="N953" i="6"/>
  <c r="M953" i="6"/>
  <c r="L953" i="6"/>
  <c r="N952" i="6"/>
  <c r="M952" i="6"/>
  <c r="L952" i="6"/>
  <c r="N951" i="6"/>
  <c r="M951" i="6"/>
  <c r="L951" i="6"/>
  <c r="N950" i="6"/>
  <c r="M950" i="6"/>
  <c r="L950" i="6"/>
  <c r="N949" i="6"/>
  <c r="M949" i="6"/>
  <c r="L949" i="6"/>
  <c r="N948" i="6"/>
  <c r="M948" i="6"/>
  <c r="L948" i="6"/>
  <c r="N947" i="6"/>
  <c r="M947" i="6"/>
  <c r="L947" i="6"/>
  <c r="N946" i="6"/>
  <c r="M946" i="6"/>
  <c r="L946" i="6"/>
  <c r="N945" i="6"/>
  <c r="M945" i="6"/>
  <c r="L945" i="6"/>
  <c r="N944" i="6"/>
  <c r="M944" i="6"/>
  <c r="L944" i="6"/>
  <c r="N943" i="6"/>
  <c r="M943" i="6"/>
  <c r="L943" i="6"/>
  <c r="N942" i="6"/>
  <c r="M942" i="6"/>
  <c r="L942" i="6"/>
  <c r="N941" i="6"/>
  <c r="M941" i="6"/>
  <c r="L941" i="6"/>
  <c r="N940" i="6"/>
  <c r="M940" i="6"/>
  <c r="L940" i="6"/>
  <c r="N939" i="6"/>
  <c r="M939" i="6"/>
  <c r="L939" i="6"/>
  <c r="N938" i="6"/>
  <c r="M938" i="6"/>
  <c r="L938" i="6"/>
  <c r="N937" i="6"/>
  <c r="M937" i="6"/>
  <c r="L937" i="6"/>
  <c r="N936" i="6"/>
  <c r="M936" i="6"/>
  <c r="L936" i="6"/>
  <c r="N935" i="6"/>
  <c r="M935" i="6"/>
  <c r="L935" i="6"/>
  <c r="N934" i="6"/>
  <c r="M934" i="6"/>
  <c r="L934" i="6"/>
  <c r="N933" i="6"/>
  <c r="M933" i="6"/>
  <c r="L933" i="6"/>
  <c r="N932" i="6"/>
  <c r="M932" i="6"/>
  <c r="L932" i="6"/>
  <c r="N931" i="6"/>
  <c r="M931" i="6"/>
  <c r="L931" i="6"/>
  <c r="N930" i="6"/>
  <c r="M930" i="6"/>
  <c r="L930" i="6"/>
  <c r="N929" i="6"/>
  <c r="M929" i="6"/>
  <c r="L929" i="6"/>
  <c r="N928" i="6"/>
  <c r="M928" i="6"/>
  <c r="L928" i="6"/>
  <c r="N927" i="6"/>
  <c r="M927" i="6"/>
  <c r="L927" i="6"/>
  <c r="N926" i="6"/>
  <c r="M926" i="6"/>
  <c r="L926" i="6"/>
  <c r="N925" i="6"/>
  <c r="M925" i="6"/>
  <c r="L925" i="6"/>
  <c r="N924" i="6"/>
  <c r="M924" i="6"/>
  <c r="L924" i="6"/>
  <c r="N923" i="6"/>
  <c r="M923" i="6"/>
  <c r="L923" i="6"/>
  <c r="N922" i="6"/>
  <c r="M922" i="6"/>
  <c r="L922" i="6"/>
  <c r="N921" i="6"/>
  <c r="M921" i="6"/>
  <c r="L921" i="6"/>
  <c r="N920" i="6"/>
  <c r="M920" i="6"/>
  <c r="L920" i="6"/>
  <c r="N919" i="6"/>
  <c r="M919" i="6"/>
  <c r="L919" i="6"/>
  <c r="N918" i="6"/>
  <c r="M918" i="6"/>
  <c r="L918" i="6"/>
  <c r="N917" i="6"/>
  <c r="M917" i="6"/>
  <c r="L917" i="6"/>
  <c r="N916" i="6"/>
  <c r="M916" i="6"/>
  <c r="L916" i="6"/>
  <c r="N915" i="6"/>
  <c r="M915" i="6"/>
  <c r="L915" i="6"/>
  <c r="N914" i="6"/>
  <c r="M914" i="6"/>
  <c r="L914" i="6"/>
  <c r="N913" i="6"/>
  <c r="M913" i="6"/>
  <c r="L913" i="6"/>
  <c r="N912" i="6"/>
  <c r="M912" i="6"/>
  <c r="L912" i="6"/>
  <c r="N911" i="6"/>
  <c r="M911" i="6"/>
  <c r="L911" i="6"/>
  <c r="N910" i="6"/>
  <c r="M910" i="6"/>
  <c r="L910" i="6"/>
  <c r="N909" i="6"/>
  <c r="M909" i="6"/>
  <c r="L909" i="6"/>
  <c r="N908" i="6"/>
  <c r="M908" i="6"/>
  <c r="L908" i="6"/>
  <c r="N907" i="6"/>
  <c r="M907" i="6"/>
  <c r="L907" i="6"/>
  <c r="N906" i="6"/>
  <c r="M906" i="6"/>
  <c r="L906" i="6"/>
  <c r="N905" i="6"/>
  <c r="M905" i="6"/>
  <c r="L905" i="6"/>
  <c r="N904" i="6"/>
  <c r="M904" i="6"/>
  <c r="L904" i="6"/>
  <c r="N903" i="6"/>
  <c r="M903" i="6"/>
  <c r="L903" i="6"/>
  <c r="N902" i="6"/>
  <c r="M902" i="6"/>
  <c r="L902" i="6"/>
  <c r="N901" i="6"/>
  <c r="M901" i="6"/>
  <c r="L901" i="6"/>
  <c r="N900" i="6"/>
  <c r="M900" i="6"/>
  <c r="L900" i="6"/>
  <c r="N899" i="6"/>
  <c r="M899" i="6"/>
  <c r="L899" i="6"/>
  <c r="N898" i="6"/>
  <c r="M898" i="6"/>
  <c r="L898" i="6"/>
  <c r="N897" i="6"/>
  <c r="M897" i="6"/>
  <c r="L897" i="6"/>
  <c r="N896" i="6"/>
  <c r="M896" i="6"/>
  <c r="L896" i="6"/>
  <c r="N895" i="6"/>
  <c r="M895" i="6"/>
  <c r="L895" i="6"/>
  <c r="N894" i="6"/>
  <c r="M894" i="6"/>
  <c r="L894" i="6"/>
  <c r="N893" i="6"/>
  <c r="M893" i="6"/>
  <c r="L893" i="6"/>
  <c r="N892" i="6"/>
  <c r="M892" i="6"/>
  <c r="L892" i="6"/>
  <c r="N891" i="6"/>
  <c r="M891" i="6"/>
  <c r="L891" i="6"/>
  <c r="N890" i="6"/>
  <c r="M890" i="6"/>
  <c r="L890" i="6"/>
  <c r="N889" i="6"/>
  <c r="M889" i="6"/>
  <c r="L889" i="6"/>
  <c r="N888" i="6"/>
  <c r="M888" i="6"/>
  <c r="L888" i="6"/>
  <c r="N887" i="6"/>
  <c r="M887" i="6"/>
  <c r="L887" i="6"/>
  <c r="N886" i="6"/>
  <c r="M886" i="6"/>
  <c r="L886" i="6"/>
  <c r="N885" i="6"/>
  <c r="M885" i="6"/>
  <c r="L885" i="6"/>
  <c r="N884" i="6"/>
  <c r="M884" i="6"/>
  <c r="L884" i="6"/>
  <c r="N883" i="6"/>
  <c r="M883" i="6"/>
  <c r="L883" i="6"/>
  <c r="N882" i="6"/>
  <c r="M882" i="6"/>
  <c r="L882" i="6"/>
  <c r="N881" i="6"/>
  <c r="M881" i="6"/>
  <c r="L881" i="6"/>
  <c r="N880" i="6"/>
  <c r="M880" i="6"/>
  <c r="L880" i="6"/>
  <c r="N879" i="6"/>
  <c r="M879" i="6"/>
  <c r="L879" i="6"/>
  <c r="N878" i="6"/>
  <c r="M878" i="6"/>
  <c r="L878" i="6"/>
  <c r="N877" i="6"/>
  <c r="M877" i="6"/>
  <c r="L877" i="6"/>
  <c r="N876" i="6"/>
  <c r="M876" i="6"/>
  <c r="L876" i="6"/>
  <c r="N875" i="6"/>
  <c r="M875" i="6"/>
  <c r="L875" i="6"/>
  <c r="N874" i="6"/>
  <c r="M874" i="6"/>
  <c r="L874" i="6"/>
  <c r="N873" i="6"/>
  <c r="M873" i="6"/>
  <c r="L873" i="6"/>
  <c r="N872" i="6"/>
  <c r="M872" i="6"/>
  <c r="L872" i="6"/>
  <c r="N871" i="6"/>
  <c r="M871" i="6"/>
  <c r="L871" i="6"/>
  <c r="N870" i="6"/>
  <c r="M870" i="6"/>
  <c r="L870" i="6"/>
  <c r="N869" i="6"/>
  <c r="M869" i="6"/>
  <c r="L869" i="6"/>
  <c r="N868" i="6"/>
  <c r="M868" i="6"/>
  <c r="L868" i="6"/>
  <c r="N867" i="6"/>
  <c r="M867" i="6"/>
  <c r="L867" i="6"/>
  <c r="N866" i="6"/>
  <c r="M866" i="6"/>
  <c r="L866" i="6"/>
  <c r="N865" i="6"/>
  <c r="M865" i="6"/>
  <c r="L865" i="6"/>
  <c r="N864" i="6"/>
  <c r="M864" i="6"/>
  <c r="L864" i="6"/>
  <c r="N863" i="6"/>
  <c r="M863" i="6"/>
  <c r="L863" i="6"/>
  <c r="N862" i="6"/>
  <c r="M862" i="6"/>
  <c r="L862" i="6"/>
  <c r="N861" i="6"/>
  <c r="M861" i="6"/>
  <c r="L861" i="6"/>
  <c r="N860" i="6"/>
  <c r="M860" i="6"/>
  <c r="L860" i="6"/>
  <c r="N859" i="6"/>
  <c r="M859" i="6"/>
  <c r="L859" i="6"/>
  <c r="N858" i="6"/>
  <c r="M858" i="6"/>
  <c r="L858" i="6"/>
  <c r="N857" i="6"/>
  <c r="M857" i="6"/>
  <c r="L857" i="6"/>
  <c r="N856" i="6"/>
  <c r="M856" i="6"/>
  <c r="L856" i="6"/>
  <c r="N855" i="6"/>
  <c r="M855" i="6"/>
  <c r="L855" i="6"/>
  <c r="N854" i="6"/>
  <c r="M854" i="6"/>
  <c r="L854" i="6"/>
  <c r="N853" i="6"/>
  <c r="M853" i="6"/>
  <c r="L853" i="6"/>
  <c r="N852" i="6"/>
  <c r="M852" i="6"/>
  <c r="L852" i="6"/>
  <c r="N851" i="6"/>
  <c r="M851" i="6"/>
  <c r="L851" i="6"/>
  <c r="N850" i="6"/>
  <c r="M850" i="6"/>
  <c r="L850" i="6"/>
  <c r="N849" i="6"/>
  <c r="M849" i="6"/>
  <c r="L849" i="6"/>
  <c r="N848" i="6"/>
  <c r="M848" i="6"/>
  <c r="L848" i="6"/>
  <c r="N847" i="6"/>
  <c r="M847" i="6"/>
  <c r="L847" i="6"/>
  <c r="N846" i="6"/>
  <c r="M846" i="6"/>
  <c r="L846" i="6"/>
  <c r="N845" i="6"/>
  <c r="M845" i="6"/>
  <c r="L845" i="6"/>
  <c r="N844" i="6"/>
  <c r="M844" i="6"/>
  <c r="L844" i="6"/>
  <c r="N843" i="6"/>
  <c r="M843" i="6"/>
  <c r="L843" i="6"/>
  <c r="N842" i="6"/>
  <c r="M842" i="6"/>
  <c r="L842" i="6"/>
  <c r="N841" i="6"/>
  <c r="M841" i="6"/>
  <c r="L841" i="6"/>
  <c r="N840" i="6"/>
  <c r="M840" i="6"/>
  <c r="L840" i="6"/>
  <c r="N839" i="6"/>
  <c r="M839" i="6"/>
  <c r="L839" i="6"/>
  <c r="N838" i="6"/>
  <c r="M838" i="6"/>
  <c r="L838" i="6"/>
  <c r="N837" i="6"/>
  <c r="M837" i="6"/>
  <c r="L837" i="6"/>
  <c r="N836" i="6"/>
  <c r="M836" i="6"/>
  <c r="L836" i="6"/>
  <c r="N835" i="6"/>
  <c r="M835" i="6"/>
  <c r="L835" i="6"/>
  <c r="N834" i="6"/>
  <c r="M834" i="6"/>
  <c r="L834" i="6"/>
  <c r="N833" i="6"/>
  <c r="M833" i="6"/>
  <c r="L833" i="6"/>
  <c r="N832" i="6"/>
  <c r="M832" i="6"/>
  <c r="L832" i="6"/>
  <c r="N831" i="6"/>
  <c r="M831" i="6"/>
  <c r="L831" i="6"/>
  <c r="N830" i="6"/>
  <c r="M830" i="6"/>
  <c r="L830" i="6"/>
  <c r="N829" i="6"/>
  <c r="M829" i="6"/>
  <c r="L829" i="6"/>
  <c r="N828" i="6"/>
  <c r="M828" i="6"/>
  <c r="L828" i="6"/>
  <c r="N827" i="6"/>
  <c r="M827" i="6"/>
  <c r="L827" i="6"/>
  <c r="N826" i="6"/>
  <c r="M826" i="6"/>
  <c r="L826" i="6"/>
  <c r="N825" i="6"/>
  <c r="M825" i="6"/>
  <c r="L825" i="6"/>
  <c r="N824" i="6"/>
  <c r="M824" i="6"/>
  <c r="L824" i="6"/>
  <c r="N823" i="6"/>
  <c r="M823" i="6"/>
  <c r="L823" i="6"/>
  <c r="N822" i="6"/>
  <c r="M822" i="6"/>
  <c r="L822" i="6"/>
  <c r="N821" i="6"/>
  <c r="M821" i="6"/>
  <c r="L821" i="6"/>
  <c r="N820" i="6"/>
  <c r="M820" i="6"/>
  <c r="L820" i="6"/>
  <c r="N819" i="6"/>
  <c r="M819" i="6"/>
  <c r="L819" i="6"/>
  <c r="N818" i="6"/>
  <c r="M818" i="6"/>
  <c r="L818" i="6"/>
  <c r="N817" i="6"/>
  <c r="M817" i="6"/>
  <c r="L817" i="6"/>
  <c r="N816" i="6"/>
  <c r="M816" i="6"/>
  <c r="L816" i="6"/>
  <c r="N815" i="6"/>
  <c r="M815" i="6"/>
  <c r="L815" i="6"/>
  <c r="N814" i="6"/>
  <c r="M814" i="6"/>
  <c r="L814" i="6"/>
  <c r="N813" i="6"/>
  <c r="M813" i="6"/>
  <c r="L813" i="6"/>
  <c r="N812" i="6"/>
  <c r="M812" i="6"/>
  <c r="L812" i="6"/>
  <c r="N811" i="6"/>
  <c r="M811" i="6"/>
  <c r="L811" i="6"/>
  <c r="N810" i="6"/>
  <c r="M810" i="6"/>
  <c r="L810" i="6"/>
  <c r="N809" i="6"/>
  <c r="M809" i="6"/>
  <c r="L809" i="6"/>
  <c r="N808" i="6"/>
  <c r="M808" i="6"/>
  <c r="L808" i="6"/>
  <c r="N807" i="6"/>
  <c r="M807" i="6"/>
  <c r="L807" i="6"/>
  <c r="N806" i="6"/>
  <c r="M806" i="6"/>
  <c r="L806" i="6"/>
  <c r="N805" i="6"/>
  <c r="M805" i="6"/>
  <c r="L805" i="6"/>
  <c r="N804" i="6"/>
  <c r="M804" i="6"/>
  <c r="L804" i="6"/>
  <c r="N803" i="6"/>
  <c r="M803" i="6"/>
  <c r="L803" i="6"/>
  <c r="N802" i="6"/>
  <c r="M802" i="6"/>
  <c r="L802" i="6"/>
  <c r="N801" i="6"/>
  <c r="M801" i="6"/>
  <c r="L801" i="6"/>
  <c r="N800" i="6"/>
  <c r="M800" i="6"/>
  <c r="L800" i="6"/>
  <c r="N799" i="6"/>
  <c r="M799" i="6"/>
  <c r="L799" i="6"/>
  <c r="N798" i="6"/>
  <c r="M798" i="6"/>
  <c r="L798" i="6"/>
  <c r="N797" i="6"/>
  <c r="M797" i="6"/>
  <c r="L797" i="6"/>
  <c r="N796" i="6"/>
  <c r="M796" i="6"/>
  <c r="L796" i="6"/>
  <c r="N795" i="6"/>
  <c r="M795" i="6"/>
  <c r="L795" i="6"/>
  <c r="N794" i="6"/>
  <c r="M794" i="6"/>
  <c r="L794" i="6"/>
  <c r="N793" i="6"/>
  <c r="M793" i="6"/>
  <c r="L793" i="6"/>
  <c r="N792" i="6"/>
  <c r="M792" i="6"/>
  <c r="L792" i="6"/>
  <c r="N791" i="6"/>
  <c r="M791" i="6"/>
  <c r="L791" i="6"/>
  <c r="N790" i="6"/>
  <c r="M790" i="6"/>
  <c r="L790" i="6"/>
  <c r="N789" i="6"/>
  <c r="M789" i="6"/>
  <c r="L789" i="6"/>
  <c r="N788" i="6"/>
  <c r="M788" i="6"/>
  <c r="L788" i="6"/>
  <c r="N787" i="6"/>
  <c r="M787" i="6"/>
  <c r="L787" i="6"/>
  <c r="N786" i="6"/>
  <c r="M786" i="6"/>
  <c r="L786" i="6"/>
  <c r="N785" i="6"/>
  <c r="M785" i="6"/>
  <c r="L785" i="6"/>
  <c r="N784" i="6"/>
  <c r="M784" i="6"/>
  <c r="L784" i="6"/>
  <c r="N783" i="6"/>
  <c r="M783" i="6"/>
  <c r="L783" i="6"/>
  <c r="N782" i="6"/>
  <c r="M782" i="6"/>
  <c r="L782" i="6"/>
  <c r="N781" i="6"/>
  <c r="M781" i="6"/>
  <c r="L781" i="6"/>
  <c r="N780" i="6"/>
  <c r="M780" i="6"/>
  <c r="L780" i="6"/>
  <c r="N779" i="6"/>
  <c r="M779" i="6"/>
  <c r="L779" i="6"/>
  <c r="N778" i="6"/>
  <c r="M778" i="6"/>
  <c r="L778" i="6"/>
  <c r="N777" i="6"/>
  <c r="M777" i="6"/>
  <c r="L777" i="6"/>
  <c r="N776" i="6"/>
  <c r="M776" i="6"/>
  <c r="L776" i="6"/>
  <c r="N775" i="6"/>
  <c r="M775" i="6"/>
  <c r="L775" i="6"/>
  <c r="N774" i="6"/>
  <c r="M774" i="6"/>
  <c r="L774" i="6"/>
  <c r="N773" i="6"/>
  <c r="M773" i="6"/>
  <c r="L773" i="6"/>
  <c r="N772" i="6"/>
  <c r="M772" i="6"/>
  <c r="L772" i="6"/>
  <c r="N771" i="6"/>
  <c r="M771" i="6"/>
  <c r="L771" i="6"/>
  <c r="N770" i="6"/>
  <c r="M770" i="6"/>
  <c r="L770" i="6"/>
  <c r="N769" i="6"/>
  <c r="M769" i="6"/>
  <c r="L769" i="6"/>
  <c r="N768" i="6"/>
  <c r="M768" i="6"/>
  <c r="L768" i="6"/>
  <c r="N767" i="6"/>
  <c r="M767" i="6"/>
  <c r="L767" i="6"/>
  <c r="N766" i="6"/>
  <c r="M766" i="6"/>
  <c r="L766" i="6"/>
  <c r="N765" i="6"/>
  <c r="M765" i="6"/>
  <c r="L765" i="6"/>
  <c r="N764" i="6"/>
  <c r="M764" i="6"/>
  <c r="L764" i="6"/>
  <c r="N763" i="6"/>
  <c r="M763" i="6"/>
  <c r="L763" i="6"/>
  <c r="N762" i="6"/>
  <c r="M762" i="6"/>
  <c r="L762" i="6"/>
  <c r="N761" i="6"/>
  <c r="M761" i="6"/>
  <c r="L761" i="6"/>
  <c r="N760" i="6"/>
  <c r="M760" i="6"/>
  <c r="L760" i="6"/>
  <c r="N759" i="6"/>
  <c r="M759" i="6"/>
  <c r="L759" i="6"/>
  <c r="N758" i="6"/>
  <c r="M758" i="6"/>
  <c r="L758" i="6"/>
  <c r="N757" i="6"/>
  <c r="M757" i="6"/>
  <c r="L757" i="6"/>
  <c r="N756" i="6"/>
  <c r="M756" i="6"/>
  <c r="L756" i="6"/>
  <c r="N755" i="6"/>
  <c r="M755" i="6"/>
  <c r="L755" i="6"/>
  <c r="N754" i="6"/>
  <c r="M754" i="6"/>
  <c r="L754" i="6"/>
  <c r="N753" i="6"/>
  <c r="M753" i="6"/>
  <c r="L753" i="6"/>
  <c r="N752" i="6"/>
  <c r="M752" i="6"/>
  <c r="L752" i="6"/>
  <c r="N751" i="6"/>
  <c r="M751" i="6"/>
  <c r="L751" i="6"/>
  <c r="N750" i="6"/>
  <c r="M750" i="6"/>
  <c r="L750" i="6"/>
  <c r="N749" i="6"/>
  <c r="M749" i="6"/>
  <c r="L749" i="6"/>
  <c r="N748" i="6"/>
  <c r="M748" i="6"/>
  <c r="L748" i="6"/>
  <c r="N747" i="6"/>
  <c r="M747" i="6"/>
  <c r="L747" i="6"/>
  <c r="N746" i="6"/>
  <c r="M746" i="6"/>
  <c r="L746" i="6"/>
  <c r="N745" i="6"/>
  <c r="M745" i="6"/>
  <c r="L745" i="6"/>
  <c r="N744" i="6"/>
  <c r="M744" i="6"/>
  <c r="L744" i="6"/>
  <c r="N743" i="6"/>
  <c r="M743" i="6"/>
  <c r="L743" i="6"/>
  <c r="N742" i="6"/>
  <c r="M742" i="6"/>
  <c r="L742" i="6"/>
  <c r="N741" i="6"/>
  <c r="M741" i="6"/>
  <c r="L741" i="6"/>
  <c r="N740" i="6"/>
  <c r="M740" i="6"/>
  <c r="L740" i="6"/>
  <c r="N739" i="6"/>
  <c r="M739" i="6"/>
  <c r="L739" i="6"/>
  <c r="N738" i="6"/>
  <c r="M738" i="6"/>
  <c r="L738" i="6"/>
  <c r="N737" i="6"/>
  <c r="M737" i="6"/>
  <c r="L737" i="6"/>
  <c r="N736" i="6"/>
  <c r="M736" i="6"/>
  <c r="L736" i="6"/>
  <c r="N735" i="6"/>
  <c r="M735" i="6"/>
  <c r="L735" i="6"/>
  <c r="N734" i="6"/>
  <c r="M734" i="6"/>
  <c r="L734" i="6"/>
  <c r="N733" i="6"/>
  <c r="M733" i="6"/>
  <c r="L733" i="6"/>
  <c r="N732" i="6"/>
  <c r="M732" i="6"/>
  <c r="L732" i="6"/>
  <c r="N731" i="6"/>
  <c r="M731" i="6"/>
  <c r="L731" i="6"/>
  <c r="N730" i="6"/>
  <c r="M730" i="6"/>
  <c r="L730" i="6"/>
  <c r="N729" i="6"/>
  <c r="M729" i="6"/>
  <c r="L729" i="6"/>
  <c r="N728" i="6"/>
  <c r="M728" i="6"/>
  <c r="L728" i="6"/>
  <c r="N727" i="6"/>
  <c r="M727" i="6"/>
  <c r="L727" i="6"/>
  <c r="N726" i="6"/>
  <c r="M726" i="6"/>
  <c r="L726" i="6"/>
  <c r="N725" i="6"/>
  <c r="M725" i="6"/>
  <c r="L725" i="6"/>
  <c r="N724" i="6"/>
  <c r="M724" i="6"/>
  <c r="L724" i="6"/>
  <c r="N723" i="6"/>
  <c r="M723" i="6"/>
  <c r="L723" i="6"/>
  <c r="N722" i="6"/>
  <c r="M722" i="6"/>
  <c r="L722" i="6"/>
  <c r="N721" i="6"/>
  <c r="M721" i="6"/>
  <c r="L721" i="6"/>
  <c r="N720" i="6"/>
  <c r="M720" i="6"/>
  <c r="L720" i="6"/>
  <c r="N719" i="6"/>
  <c r="M719" i="6"/>
  <c r="L719" i="6"/>
  <c r="N718" i="6"/>
  <c r="M718" i="6"/>
  <c r="L718" i="6"/>
  <c r="N717" i="6"/>
  <c r="M717" i="6"/>
  <c r="L717" i="6"/>
  <c r="N716" i="6"/>
  <c r="M716" i="6"/>
  <c r="L716" i="6"/>
  <c r="N715" i="6"/>
  <c r="M715" i="6"/>
  <c r="L715" i="6"/>
  <c r="N714" i="6"/>
  <c r="M714" i="6"/>
  <c r="L714" i="6"/>
  <c r="N713" i="6"/>
  <c r="M713" i="6"/>
  <c r="L713" i="6"/>
  <c r="N712" i="6"/>
  <c r="M712" i="6"/>
  <c r="L712" i="6"/>
  <c r="N711" i="6"/>
  <c r="M711" i="6"/>
  <c r="L711" i="6"/>
  <c r="N710" i="6"/>
  <c r="M710" i="6"/>
  <c r="L710" i="6"/>
  <c r="N709" i="6"/>
  <c r="M709" i="6"/>
  <c r="L709" i="6"/>
  <c r="N708" i="6"/>
  <c r="M708" i="6"/>
  <c r="L708" i="6"/>
  <c r="N707" i="6"/>
  <c r="M707" i="6"/>
  <c r="L707" i="6"/>
  <c r="N706" i="6"/>
  <c r="M706" i="6"/>
  <c r="L706" i="6"/>
  <c r="N705" i="6"/>
  <c r="M705" i="6"/>
  <c r="L705" i="6"/>
  <c r="N704" i="6"/>
  <c r="M704" i="6"/>
  <c r="L704" i="6"/>
  <c r="N703" i="6"/>
  <c r="M703" i="6"/>
  <c r="L703" i="6"/>
  <c r="N702" i="6"/>
  <c r="M702" i="6"/>
  <c r="L702" i="6"/>
  <c r="N701" i="6"/>
  <c r="M701" i="6"/>
  <c r="L701" i="6"/>
  <c r="N700" i="6"/>
  <c r="M700" i="6"/>
  <c r="L700" i="6"/>
  <c r="N699" i="6"/>
  <c r="M699" i="6"/>
  <c r="L699" i="6"/>
  <c r="N698" i="6"/>
  <c r="M698" i="6"/>
  <c r="L698" i="6"/>
  <c r="N697" i="6"/>
  <c r="M697" i="6"/>
  <c r="L697" i="6"/>
  <c r="N696" i="6"/>
  <c r="M696" i="6"/>
  <c r="L696" i="6"/>
  <c r="N695" i="6"/>
  <c r="M695" i="6"/>
  <c r="L695" i="6"/>
  <c r="N694" i="6"/>
  <c r="M694" i="6"/>
  <c r="L694" i="6"/>
  <c r="N693" i="6"/>
  <c r="M693" i="6"/>
  <c r="L693" i="6"/>
  <c r="N692" i="6"/>
  <c r="M692" i="6"/>
  <c r="L692" i="6"/>
  <c r="N691" i="6"/>
  <c r="M691" i="6"/>
  <c r="L691" i="6"/>
  <c r="N690" i="6"/>
  <c r="M690" i="6"/>
  <c r="L690" i="6"/>
  <c r="N689" i="6"/>
  <c r="M689" i="6"/>
  <c r="L689" i="6"/>
  <c r="N688" i="6"/>
  <c r="M688" i="6"/>
  <c r="L688" i="6"/>
  <c r="N687" i="6"/>
  <c r="M687" i="6"/>
  <c r="L687" i="6"/>
  <c r="N686" i="6"/>
  <c r="M686" i="6"/>
  <c r="L686" i="6"/>
  <c r="N685" i="6"/>
  <c r="M685" i="6"/>
  <c r="L685" i="6"/>
  <c r="N684" i="6"/>
  <c r="M684" i="6"/>
  <c r="L684" i="6"/>
  <c r="N683" i="6"/>
  <c r="M683" i="6"/>
  <c r="L683" i="6"/>
  <c r="N682" i="6"/>
  <c r="M682" i="6"/>
  <c r="L682" i="6"/>
  <c r="N681" i="6"/>
  <c r="M681" i="6"/>
  <c r="L681" i="6"/>
  <c r="N680" i="6"/>
  <c r="M680" i="6"/>
  <c r="L680" i="6"/>
  <c r="N679" i="6"/>
  <c r="M679" i="6"/>
  <c r="L679" i="6"/>
  <c r="N678" i="6"/>
  <c r="M678" i="6"/>
  <c r="L678" i="6"/>
  <c r="N677" i="6"/>
  <c r="M677" i="6"/>
  <c r="L677" i="6"/>
  <c r="N676" i="6"/>
  <c r="M676" i="6"/>
  <c r="L676" i="6"/>
  <c r="N675" i="6"/>
  <c r="M675" i="6"/>
  <c r="L675" i="6"/>
  <c r="N674" i="6"/>
  <c r="M674" i="6"/>
  <c r="L674" i="6"/>
  <c r="N673" i="6"/>
  <c r="M673" i="6"/>
  <c r="L673" i="6"/>
  <c r="N672" i="6"/>
  <c r="M672" i="6"/>
  <c r="L672" i="6"/>
  <c r="N671" i="6"/>
  <c r="M671" i="6"/>
  <c r="L671" i="6"/>
  <c r="N670" i="6"/>
  <c r="M670" i="6"/>
  <c r="L670" i="6"/>
  <c r="N669" i="6"/>
  <c r="M669" i="6"/>
  <c r="L669" i="6"/>
  <c r="N668" i="6"/>
  <c r="M668" i="6"/>
  <c r="L668" i="6"/>
  <c r="N667" i="6"/>
  <c r="M667" i="6"/>
  <c r="L667" i="6"/>
  <c r="N666" i="6"/>
  <c r="M666" i="6"/>
  <c r="L666" i="6"/>
  <c r="N665" i="6"/>
  <c r="M665" i="6"/>
  <c r="L665" i="6"/>
  <c r="N664" i="6"/>
  <c r="M664" i="6"/>
  <c r="L664" i="6"/>
  <c r="N663" i="6"/>
  <c r="M663" i="6"/>
  <c r="L663" i="6"/>
  <c r="N662" i="6"/>
  <c r="M662" i="6"/>
  <c r="L662" i="6"/>
  <c r="N661" i="6"/>
  <c r="M661" i="6"/>
  <c r="L661" i="6"/>
  <c r="N660" i="6"/>
  <c r="M660" i="6"/>
  <c r="L660" i="6"/>
  <c r="N659" i="6"/>
  <c r="M659" i="6"/>
  <c r="L659" i="6"/>
  <c r="N658" i="6"/>
  <c r="M658" i="6"/>
  <c r="L658" i="6"/>
  <c r="N657" i="6"/>
  <c r="M657" i="6"/>
  <c r="L657" i="6"/>
  <c r="N656" i="6"/>
  <c r="M656" i="6"/>
  <c r="L656" i="6"/>
  <c r="N655" i="6"/>
  <c r="M655" i="6"/>
  <c r="L655" i="6"/>
  <c r="N654" i="6"/>
  <c r="M654" i="6"/>
  <c r="L654" i="6"/>
  <c r="N653" i="6"/>
  <c r="M653" i="6"/>
  <c r="L653" i="6"/>
  <c r="N652" i="6"/>
  <c r="M652" i="6"/>
  <c r="L652" i="6"/>
  <c r="N651" i="6"/>
  <c r="M651" i="6"/>
  <c r="L651" i="6"/>
  <c r="N650" i="6"/>
  <c r="M650" i="6"/>
  <c r="L650" i="6"/>
  <c r="N649" i="6"/>
  <c r="M649" i="6"/>
  <c r="L649" i="6"/>
  <c r="N648" i="6"/>
  <c r="M648" i="6"/>
  <c r="L648" i="6"/>
  <c r="N647" i="6"/>
  <c r="M647" i="6"/>
  <c r="L647" i="6"/>
  <c r="N646" i="6"/>
  <c r="M646" i="6"/>
  <c r="L646" i="6"/>
  <c r="N645" i="6"/>
  <c r="M645" i="6"/>
  <c r="L645" i="6"/>
  <c r="N644" i="6"/>
  <c r="M644" i="6"/>
  <c r="L644" i="6"/>
  <c r="N643" i="6"/>
  <c r="M643" i="6"/>
  <c r="L643" i="6"/>
  <c r="N642" i="6"/>
  <c r="M642" i="6"/>
  <c r="L642" i="6"/>
  <c r="N641" i="6"/>
  <c r="M641" i="6"/>
  <c r="L641" i="6"/>
  <c r="N640" i="6"/>
  <c r="M640" i="6"/>
  <c r="L640" i="6"/>
  <c r="N639" i="6"/>
  <c r="M639" i="6"/>
  <c r="L639" i="6"/>
  <c r="N638" i="6"/>
  <c r="M638" i="6"/>
  <c r="L638" i="6"/>
  <c r="N637" i="6"/>
  <c r="M637" i="6"/>
  <c r="L637" i="6"/>
  <c r="N636" i="6"/>
  <c r="M636" i="6"/>
  <c r="L636" i="6"/>
  <c r="N635" i="6"/>
  <c r="M635" i="6"/>
  <c r="L635" i="6"/>
  <c r="N634" i="6"/>
  <c r="M634" i="6"/>
  <c r="L634" i="6"/>
  <c r="N633" i="6"/>
  <c r="M633" i="6"/>
  <c r="L633" i="6"/>
  <c r="N632" i="6"/>
  <c r="M632" i="6"/>
  <c r="L632" i="6"/>
  <c r="N631" i="6"/>
  <c r="M631" i="6"/>
  <c r="L631" i="6"/>
  <c r="N630" i="6"/>
  <c r="M630" i="6"/>
  <c r="L630" i="6"/>
  <c r="N629" i="6"/>
  <c r="M629" i="6"/>
  <c r="L629" i="6"/>
  <c r="N628" i="6"/>
  <c r="M628" i="6"/>
  <c r="L628" i="6"/>
  <c r="N627" i="6"/>
  <c r="M627" i="6"/>
  <c r="L627" i="6"/>
  <c r="N626" i="6"/>
  <c r="M626" i="6"/>
  <c r="L626" i="6"/>
  <c r="N625" i="6"/>
  <c r="M625" i="6"/>
  <c r="L625" i="6"/>
  <c r="N624" i="6"/>
  <c r="M624" i="6"/>
  <c r="L624" i="6"/>
  <c r="N623" i="6"/>
  <c r="M623" i="6"/>
  <c r="L623" i="6"/>
  <c r="N622" i="6"/>
  <c r="M622" i="6"/>
  <c r="L622" i="6"/>
  <c r="N621" i="6"/>
  <c r="M621" i="6"/>
  <c r="L621" i="6"/>
  <c r="N620" i="6"/>
  <c r="M620" i="6"/>
  <c r="L620" i="6"/>
  <c r="N619" i="6"/>
  <c r="M619" i="6"/>
  <c r="L619" i="6"/>
  <c r="N618" i="6"/>
  <c r="M618" i="6"/>
  <c r="L618" i="6"/>
  <c r="N617" i="6"/>
  <c r="M617" i="6"/>
  <c r="L617" i="6"/>
  <c r="N616" i="6"/>
  <c r="M616" i="6"/>
  <c r="L616" i="6"/>
  <c r="N615" i="6"/>
  <c r="M615" i="6"/>
  <c r="L615" i="6"/>
  <c r="N614" i="6"/>
  <c r="M614" i="6"/>
  <c r="L614" i="6"/>
  <c r="N613" i="6"/>
  <c r="M613" i="6"/>
  <c r="L613" i="6"/>
  <c r="N612" i="6"/>
  <c r="M612" i="6"/>
  <c r="L612" i="6"/>
  <c r="N611" i="6"/>
  <c r="M611" i="6"/>
  <c r="L611" i="6"/>
  <c r="N610" i="6"/>
  <c r="M610" i="6"/>
  <c r="L610" i="6"/>
  <c r="N609" i="6"/>
  <c r="M609" i="6"/>
  <c r="L609" i="6"/>
  <c r="N608" i="6"/>
  <c r="M608" i="6"/>
  <c r="L608" i="6"/>
  <c r="N607" i="6"/>
  <c r="M607" i="6"/>
  <c r="L607" i="6"/>
  <c r="N606" i="6"/>
  <c r="M606" i="6"/>
  <c r="L606" i="6"/>
  <c r="N605" i="6"/>
  <c r="M605" i="6"/>
  <c r="L605" i="6"/>
  <c r="N604" i="6"/>
  <c r="M604" i="6"/>
  <c r="L604" i="6"/>
  <c r="N603" i="6"/>
  <c r="M603" i="6"/>
  <c r="L603" i="6"/>
  <c r="N602" i="6"/>
  <c r="M602" i="6"/>
  <c r="L602" i="6"/>
  <c r="N601" i="6"/>
  <c r="M601" i="6"/>
  <c r="L601" i="6"/>
  <c r="N600" i="6"/>
  <c r="M600" i="6"/>
  <c r="L600" i="6"/>
  <c r="N599" i="6"/>
  <c r="M599" i="6"/>
  <c r="L599" i="6"/>
  <c r="N598" i="6"/>
  <c r="M598" i="6"/>
  <c r="L598" i="6"/>
  <c r="N597" i="6"/>
  <c r="M597" i="6"/>
  <c r="L597" i="6"/>
  <c r="N596" i="6"/>
  <c r="M596" i="6"/>
  <c r="L596" i="6"/>
  <c r="N595" i="6"/>
  <c r="M595" i="6"/>
  <c r="L595" i="6"/>
  <c r="N594" i="6"/>
  <c r="M594" i="6"/>
  <c r="L594" i="6"/>
  <c r="N593" i="6"/>
  <c r="M593" i="6"/>
  <c r="L593" i="6"/>
  <c r="N592" i="6"/>
  <c r="M592" i="6"/>
  <c r="L592" i="6"/>
  <c r="N591" i="6"/>
  <c r="M591" i="6"/>
  <c r="L591" i="6"/>
  <c r="N590" i="6"/>
  <c r="M590" i="6"/>
  <c r="L590" i="6"/>
  <c r="N589" i="6"/>
  <c r="M589" i="6"/>
  <c r="L589" i="6"/>
  <c r="N588" i="6"/>
  <c r="M588" i="6"/>
  <c r="L588" i="6"/>
  <c r="N587" i="6"/>
  <c r="M587" i="6"/>
  <c r="L587" i="6"/>
  <c r="N586" i="6"/>
  <c r="M586" i="6"/>
  <c r="L586" i="6"/>
  <c r="N585" i="6"/>
  <c r="M585" i="6"/>
  <c r="L585" i="6"/>
  <c r="N584" i="6"/>
  <c r="M584" i="6"/>
  <c r="L584" i="6"/>
  <c r="N583" i="6"/>
  <c r="M583" i="6"/>
  <c r="L583" i="6"/>
  <c r="N582" i="6"/>
  <c r="M582" i="6"/>
  <c r="L582" i="6"/>
  <c r="N581" i="6"/>
  <c r="M581" i="6"/>
  <c r="L581" i="6"/>
  <c r="N580" i="6"/>
  <c r="M580" i="6"/>
  <c r="L580" i="6"/>
  <c r="N579" i="6"/>
  <c r="M579" i="6"/>
  <c r="L579" i="6"/>
  <c r="N578" i="6"/>
  <c r="M578" i="6"/>
  <c r="L578" i="6"/>
  <c r="N577" i="6"/>
  <c r="M577" i="6"/>
  <c r="L577" i="6"/>
  <c r="N576" i="6"/>
  <c r="M576" i="6"/>
  <c r="L576" i="6"/>
  <c r="N575" i="6"/>
  <c r="M575" i="6"/>
  <c r="L575" i="6"/>
  <c r="N574" i="6"/>
  <c r="M574" i="6"/>
  <c r="L574" i="6"/>
  <c r="N573" i="6"/>
  <c r="M573" i="6"/>
  <c r="L573" i="6"/>
  <c r="N572" i="6"/>
  <c r="M572" i="6"/>
  <c r="L572" i="6"/>
  <c r="N571" i="6"/>
  <c r="M571" i="6"/>
  <c r="L571" i="6"/>
  <c r="N570" i="6"/>
  <c r="M570" i="6"/>
  <c r="L570" i="6"/>
  <c r="N569" i="6"/>
  <c r="M569" i="6"/>
  <c r="L569" i="6"/>
  <c r="N568" i="6"/>
  <c r="M568" i="6"/>
  <c r="L568" i="6"/>
  <c r="N567" i="6"/>
  <c r="M567" i="6"/>
  <c r="L567" i="6"/>
  <c r="N566" i="6"/>
  <c r="M566" i="6"/>
  <c r="L566" i="6"/>
  <c r="N565" i="6"/>
  <c r="M565" i="6"/>
  <c r="L565" i="6"/>
  <c r="N564" i="6"/>
  <c r="M564" i="6"/>
  <c r="L564" i="6"/>
  <c r="N563" i="6"/>
  <c r="M563" i="6"/>
  <c r="L563" i="6"/>
  <c r="N562" i="6"/>
  <c r="M562" i="6"/>
  <c r="L562" i="6"/>
  <c r="N561" i="6"/>
  <c r="M561" i="6"/>
  <c r="L561" i="6"/>
  <c r="N560" i="6"/>
  <c r="M560" i="6"/>
  <c r="L560" i="6"/>
  <c r="N559" i="6"/>
  <c r="M559" i="6"/>
  <c r="L559" i="6"/>
  <c r="N558" i="6"/>
  <c r="M558" i="6"/>
  <c r="L558" i="6"/>
  <c r="N557" i="6"/>
  <c r="M557" i="6"/>
  <c r="L557" i="6"/>
  <c r="N556" i="6"/>
  <c r="M556" i="6"/>
  <c r="L556" i="6"/>
  <c r="N555" i="6"/>
  <c r="M555" i="6"/>
  <c r="L555" i="6"/>
  <c r="N554" i="6"/>
  <c r="M554" i="6"/>
  <c r="L554" i="6"/>
  <c r="N553" i="6"/>
  <c r="M553" i="6"/>
  <c r="L553" i="6"/>
  <c r="N552" i="6"/>
  <c r="M552" i="6"/>
  <c r="L552" i="6"/>
  <c r="N551" i="6"/>
  <c r="M551" i="6"/>
  <c r="L551" i="6"/>
  <c r="N550" i="6"/>
  <c r="M550" i="6"/>
  <c r="L550" i="6"/>
  <c r="N549" i="6"/>
  <c r="M549" i="6"/>
  <c r="L549" i="6"/>
  <c r="N548" i="6"/>
  <c r="M548" i="6"/>
  <c r="L548" i="6"/>
  <c r="N547" i="6"/>
  <c r="M547" i="6"/>
  <c r="L547" i="6"/>
  <c r="N546" i="6"/>
  <c r="M546" i="6"/>
  <c r="L546" i="6"/>
  <c r="N545" i="6"/>
  <c r="M545" i="6"/>
  <c r="L545" i="6"/>
  <c r="N544" i="6"/>
  <c r="M544" i="6"/>
  <c r="L544" i="6"/>
  <c r="N543" i="6"/>
  <c r="M543" i="6"/>
  <c r="L543" i="6"/>
  <c r="N542" i="6"/>
  <c r="M542" i="6"/>
  <c r="L542" i="6"/>
  <c r="N541" i="6"/>
  <c r="M541" i="6"/>
  <c r="L541" i="6"/>
  <c r="N540" i="6"/>
  <c r="M540" i="6"/>
  <c r="L540" i="6"/>
  <c r="N539" i="6"/>
  <c r="M539" i="6"/>
  <c r="L539" i="6"/>
  <c r="N538" i="6"/>
  <c r="M538" i="6"/>
  <c r="L538" i="6"/>
  <c r="N537" i="6"/>
  <c r="M537" i="6"/>
  <c r="L537" i="6"/>
  <c r="N536" i="6"/>
  <c r="M536" i="6"/>
  <c r="L536" i="6"/>
  <c r="N535" i="6"/>
  <c r="M535" i="6"/>
  <c r="L535" i="6"/>
  <c r="N534" i="6"/>
  <c r="M534" i="6"/>
  <c r="L534" i="6"/>
  <c r="N533" i="6"/>
  <c r="M533" i="6"/>
  <c r="L533" i="6"/>
  <c r="N532" i="6"/>
  <c r="M532" i="6"/>
  <c r="L532" i="6"/>
  <c r="N531" i="6"/>
  <c r="M531" i="6"/>
  <c r="L531" i="6"/>
  <c r="N530" i="6"/>
  <c r="M530" i="6"/>
  <c r="L530" i="6"/>
  <c r="N529" i="6"/>
  <c r="M529" i="6"/>
  <c r="L529" i="6"/>
  <c r="N528" i="6"/>
  <c r="M528" i="6"/>
  <c r="L528" i="6"/>
  <c r="N527" i="6"/>
  <c r="M527" i="6"/>
  <c r="L527" i="6"/>
  <c r="N526" i="6"/>
  <c r="M526" i="6"/>
  <c r="L526" i="6"/>
  <c r="N525" i="6"/>
  <c r="M525" i="6"/>
  <c r="L525" i="6"/>
  <c r="N524" i="6"/>
  <c r="M524" i="6"/>
  <c r="L524" i="6"/>
  <c r="N523" i="6"/>
  <c r="M523" i="6"/>
  <c r="L523" i="6"/>
  <c r="N522" i="6"/>
  <c r="M522" i="6"/>
  <c r="L522" i="6"/>
  <c r="N521" i="6"/>
  <c r="M521" i="6"/>
  <c r="L521" i="6"/>
  <c r="N520" i="6"/>
  <c r="M520" i="6"/>
  <c r="L520" i="6"/>
  <c r="N519" i="6"/>
  <c r="M519" i="6"/>
  <c r="L519" i="6"/>
  <c r="N518" i="6"/>
  <c r="M518" i="6"/>
  <c r="L518" i="6"/>
  <c r="N517" i="6"/>
  <c r="M517" i="6"/>
  <c r="L517" i="6"/>
  <c r="N516" i="6"/>
  <c r="M516" i="6"/>
  <c r="L516" i="6"/>
  <c r="N515" i="6"/>
  <c r="M515" i="6"/>
  <c r="L515" i="6"/>
  <c r="N514" i="6"/>
  <c r="M514" i="6"/>
  <c r="L514" i="6"/>
  <c r="N513" i="6"/>
  <c r="M513" i="6"/>
  <c r="L513" i="6"/>
  <c r="N512" i="6"/>
  <c r="M512" i="6"/>
  <c r="L512" i="6"/>
  <c r="N511" i="6"/>
  <c r="M511" i="6"/>
  <c r="L511" i="6"/>
  <c r="N510" i="6"/>
  <c r="M510" i="6"/>
  <c r="L510" i="6"/>
  <c r="N509" i="6"/>
  <c r="M509" i="6"/>
  <c r="L509" i="6"/>
  <c r="N508" i="6"/>
  <c r="M508" i="6"/>
  <c r="L508" i="6"/>
  <c r="N507" i="6"/>
  <c r="M507" i="6"/>
  <c r="L507" i="6"/>
  <c r="N506" i="6"/>
  <c r="M506" i="6"/>
  <c r="L506" i="6"/>
  <c r="N505" i="6"/>
  <c r="M505" i="6"/>
  <c r="L505" i="6"/>
  <c r="N504" i="6"/>
  <c r="M504" i="6"/>
  <c r="L504" i="6"/>
  <c r="N503" i="6"/>
  <c r="M503" i="6"/>
  <c r="L503" i="6"/>
  <c r="N502" i="6"/>
  <c r="M502" i="6"/>
  <c r="L502" i="6"/>
  <c r="N501" i="6"/>
  <c r="M501" i="6"/>
  <c r="L501" i="6"/>
  <c r="N500" i="6"/>
  <c r="M500" i="6"/>
  <c r="L500" i="6"/>
  <c r="N499" i="6"/>
  <c r="M499" i="6"/>
  <c r="L499" i="6"/>
  <c r="N498" i="6"/>
  <c r="M498" i="6"/>
  <c r="L498" i="6"/>
  <c r="N497" i="6"/>
  <c r="M497" i="6"/>
  <c r="L497" i="6"/>
  <c r="N496" i="6"/>
  <c r="M496" i="6"/>
  <c r="L496" i="6"/>
  <c r="N495" i="6"/>
  <c r="M495" i="6"/>
  <c r="L495" i="6"/>
  <c r="N494" i="6"/>
  <c r="M494" i="6"/>
  <c r="L494" i="6"/>
  <c r="N493" i="6"/>
  <c r="M493" i="6"/>
  <c r="L493" i="6"/>
  <c r="N492" i="6"/>
  <c r="M492" i="6"/>
  <c r="L492" i="6"/>
  <c r="N491" i="6"/>
  <c r="M491" i="6"/>
  <c r="L491" i="6"/>
  <c r="N490" i="6"/>
  <c r="M490" i="6"/>
  <c r="L490" i="6"/>
  <c r="N489" i="6"/>
  <c r="M489" i="6"/>
  <c r="L489" i="6"/>
  <c r="N488" i="6"/>
  <c r="M488" i="6"/>
  <c r="L488" i="6"/>
  <c r="N487" i="6"/>
  <c r="M487" i="6"/>
  <c r="L487" i="6"/>
  <c r="N486" i="6"/>
  <c r="M486" i="6"/>
  <c r="L486" i="6"/>
  <c r="N485" i="6"/>
  <c r="M485" i="6"/>
  <c r="L485" i="6"/>
  <c r="N484" i="6"/>
  <c r="M484" i="6"/>
  <c r="L484" i="6"/>
  <c r="N483" i="6"/>
  <c r="M483" i="6"/>
  <c r="L483" i="6"/>
  <c r="N482" i="6"/>
  <c r="M482" i="6"/>
  <c r="L482" i="6"/>
  <c r="N481" i="6"/>
  <c r="M481" i="6"/>
  <c r="L481" i="6"/>
  <c r="N480" i="6"/>
  <c r="M480" i="6"/>
  <c r="L480" i="6"/>
  <c r="N479" i="6"/>
  <c r="M479" i="6"/>
  <c r="L479" i="6"/>
  <c r="N478" i="6"/>
  <c r="M478" i="6"/>
  <c r="L478" i="6"/>
  <c r="N477" i="6"/>
  <c r="M477" i="6"/>
  <c r="L477" i="6"/>
  <c r="N476" i="6"/>
  <c r="M476" i="6"/>
  <c r="L476" i="6"/>
  <c r="N475" i="6"/>
  <c r="M475" i="6"/>
  <c r="L475" i="6"/>
  <c r="N474" i="6"/>
  <c r="M474" i="6"/>
  <c r="L474" i="6"/>
  <c r="N473" i="6"/>
  <c r="M473" i="6"/>
  <c r="L473" i="6"/>
  <c r="N472" i="6"/>
  <c r="M472" i="6"/>
  <c r="L472" i="6"/>
  <c r="N471" i="6"/>
  <c r="M471" i="6"/>
  <c r="L471" i="6"/>
  <c r="N470" i="6"/>
  <c r="M470" i="6"/>
  <c r="L470" i="6"/>
  <c r="N469" i="6"/>
  <c r="M469" i="6"/>
  <c r="L469" i="6"/>
  <c r="N468" i="6"/>
  <c r="M468" i="6"/>
  <c r="L468" i="6"/>
  <c r="N467" i="6"/>
  <c r="M467" i="6"/>
  <c r="L467" i="6"/>
  <c r="N466" i="6"/>
  <c r="M466" i="6"/>
  <c r="L466" i="6"/>
  <c r="N465" i="6"/>
  <c r="M465" i="6"/>
  <c r="L465" i="6"/>
  <c r="N464" i="6"/>
  <c r="M464" i="6"/>
  <c r="L464" i="6"/>
  <c r="N463" i="6"/>
  <c r="M463" i="6"/>
  <c r="L463" i="6"/>
  <c r="N462" i="6"/>
  <c r="M462" i="6"/>
  <c r="L462" i="6"/>
  <c r="N461" i="6"/>
  <c r="M461" i="6"/>
  <c r="L461" i="6"/>
  <c r="N460" i="6"/>
  <c r="M460" i="6"/>
  <c r="L460" i="6"/>
  <c r="N459" i="6"/>
  <c r="M459" i="6"/>
  <c r="L459" i="6"/>
  <c r="N458" i="6"/>
  <c r="M458" i="6"/>
  <c r="L458" i="6"/>
  <c r="N457" i="6"/>
  <c r="M457" i="6"/>
  <c r="L457" i="6"/>
  <c r="N456" i="6"/>
  <c r="M456" i="6"/>
  <c r="L456" i="6"/>
  <c r="N455" i="6"/>
  <c r="M455" i="6"/>
  <c r="L455" i="6"/>
  <c r="N454" i="6"/>
  <c r="M454" i="6"/>
  <c r="L454" i="6"/>
  <c r="N453" i="6"/>
  <c r="M453" i="6"/>
  <c r="L453" i="6"/>
  <c r="N452" i="6"/>
  <c r="M452" i="6"/>
  <c r="L452" i="6"/>
  <c r="N451" i="6"/>
  <c r="M451" i="6"/>
  <c r="L451" i="6"/>
  <c r="N450" i="6"/>
  <c r="M450" i="6"/>
  <c r="L450" i="6"/>
  <c r="N449" i="6"/>
  <c r="M449" i="6"/>
  <c r="L449" i="6"/>
  <c r="N448" i="6"/>
  <c r="M448" i="6"/>
  <c r="L448" i="6"/>
  <c r="N447" i="6"/>
  <c r="M447" i="6"/>
  <c r="L447" i="6"/>
  <c r="N446" i="6"/>
  <c r="M446" i="6"/>
  <c r="L446" i="6"/>
  <c r="N445" i="6"/>
  <c r="M445" i="6"/>
  <c r="L445" i="6"/>
  <c r="N444" i="6"/>
  <c r="M444" i="6"/>
  <c r="L444" i="6"/>
  <c r="N443" i="6"/>
  <c r="M443" i="6"/>
  <c r="L443" i="6"/>
  <c r="N442" i="6"/>
  <c r="M442" i="6"/>
  <c r="L442" i="6"/>
  <c r="N441" i="6"/>
  <c r="M441" i="6"/>
  <c r="L441" i="6"/>
  <c r="N440" i="6"/>
  <c r="M440" i="6"/>
  <c r="L440" i="6"/>
  <c r="N439" i="6"/>
  <c r="M439" i="6"/>
  <c r="L439" i="6"/>
  <c r="N438" i="6"/>
  <c r="M438" i="6"/>
  <c r="L438" i="6"/>
  <c r="N437" i="6"/>
  <c r="M437" i="6"/>
  <c r="L437" i="6"/>
  <c r="N436" i="6"/>
  <c r="M436" i="6"/>
  <c r="L436" i="6"/>
  <c r="N435" i="6"/>
  <c r="M435" i="6"/>
  <c r="L435" i="6"/>
  <c r="N434" i="6"/>
  <c r="M434" i="6"/>
  <c r="L434" i="6"/>
  <c r="N433" i="6"/>
  <c r="M433" i="6"/>
  <c r="L433" i="6"/>
  <c r="N432" i="6"/>
  <c r="M432" i="6"/>
  <c r="L432" i="6"/>
  <c r="N431" i="6"/>
  <c r="M431" i="6"/>
  <c r="L431" i="6"/>
  <c r="N430" i="6"/>
  <c r="M430" i="6"/>
  <c r="L430" i="6"/>
  <c r="N429" i="6"/>
  <c r="M429" i="6"/>
  <c r="L429" i="6"/>
  <c r="N428" i="6"/>
  <c r="M428" i="6"/>
  <c r="L428" i="6"/>
  <c r="N427" i="6"/>
  <c r="M427" i="6"/>
  <c r="L427" i="6"/>
  <c r="N426" i="6"/>
  <c r="M426" i="6"/>
  <c r="L426" i="6"/>
  <c r="N425" i="6"/>
  <c r="M425" i="6"/>
  <c r="L425" i="6"/>
  <c r="N424" i="6"/>
  <c r="M424" i="6"/>
  <c r="L424" i="6"/>
  <c r="N423" i="6"/>
  <c r="M423" i="6"/>
  <c r="L423" i="6"/>
  <c r="N422" i="6"/>
  <c r="M422" i="6"/>
  <c r="L422" i="6"/>
  <c r="N421" i="6"/>
  <c r="M421" i="6"/>
  <c r="L421" i="6"/>
  <c r="N420" i="6"/>
  <c r="M420" i="6"/>
  <c r="L420" i="6"/>
  <c r="N419" i="6"/>
  <c r="M419" i="6"/>
  <c r="L419" i="6"/>
  <c r="N418" i="6"/>
  <c r="M418" i="6"/>
  <c r="L418" i="6"/>
  <c r="N417" i="6"/>
  <c r="M417" i="6"/>
  <c r="L417" i="6"/>
  <c r="N416" i="6"/>
  <c r="M416" i="6"/>
  <c r="L416" i="6"/>
  <c r="N415" i="6"/>
  <c r="M415" i="6"/>
  <c r="L415" i="6"/>
  <c r="N414" i="6"/>
  <c r="M414" i="6"/>
  <c r="L414" i="6"/>
  <c r="N413" i="6"/>
  <c r="M413" i="6"/>
  <c r="L413" i="6"/>
  <c r="N412" i="6"/>
  <c r="M412" i="6"/>
  <c r="L412" i="6"/>
  <c r="N411" i="6"/>
  <c r="M411" i="6"/>
  <c r="L411" i="6"/>
  <c r="N410" i="6"/>
  <c r="M410" i="6"/>
  <c r="L410" i="6"/>
  <c r="N409" i="6"/>
  <c r="M409" i="6"/>
  <c r="L409" i="6"/>
  <c r="N408" i="6"/>
  <c r="M408" i="6"/>
  <c r="L408" i="6"/>
  <c r="N407" i="6"/>
  <c r="M407" i="6"/>
  <c r="L407" i="6"/>
  <c r="N406" i="6"/>
  <c r="M406" i="6"/>
  <c r="L406" i="6"/>
  <c r="N405" i="6"/>
  <c r="M405" i="6"/>
  <c r="L405" i="6"/>
  <c r="N404" i="6"/>
  <c r="M404" i="6"/>
  <c r="L404" i="6"/>
  <c r="N403" i="6"/>
  <c r="M403" i="6"/>
  <c r="L403" i="6"/>
  <c r="N402" i="6"/>
  <c r="M402" i="6"/>
  <c r="L402" i="6"/>
  <c r="N401" i="6"/>
  <c r="M401" i="6"/>
  <c r="L401" i="6"/>
  <c r="N400" i="6"/>
  <c r="M400" i="6"/>
  <c r="L400" i="6"/>
  <c r="N399" i="6"/>
  <c r="M399" i="6"/>
  <c r="L399" i="6"/>
  <c r="N398" i="6"/>
  <c r="M398" i="6"/>
  <c r="L398" i="6"/>
  <c r="N397" i="6"/>
  <c r="M397" i="6"/>
  <c r="L397" i="6"/>
  <c r="N396" i="6"/>
  <c r="M396" i="6"/>
  <c r="L396" i="6"/>
  <c r="N395" i="6"/>
  <c r="M395" i="6"/>
  <c r="L395" i="6"/>
  <c r="N394" i="6"/>
  <c r="M394" i="6"/>
  <c r="L394" i="6"/>
  <c r="N393" i="6"/>
  <c r="M393" i="6"/>
  <c r="L393" i="6"/>
  <c r="N392" i="6"/>
  <c r="M392" i="6"/>
  <c r="L392" i="6"/>
  <c r="N391" i="6"/>
  <c r="M391" i="6"/>
  <c r="L391" i="6"/>
  <c r="N390" i="6"/>
  <c r="M390" i="6"/>
  <c r="L390" i="6"/>
  <c r="N389" i="6"/>
  <c r="M389" i="6"/>
  <c r="L389" i="6"/>
  <c r="N388" i="6"/>
  <c r="M388" i="6"/>
  <c r="L388" i="6"/>
  <c r="N387" i="6"/>
  <c r="M387" i="6"/>
  <c r="L387" i="6"/>
  <c r="N386" i="6"/>
  <c r="M386" i="6"/>
  <c r="L386" i="6"/>
  <c r="N385" i="6"/>
  <c r="M385" i="6"/>
  <c r="L385" i="6"/>
  <c r="N384" i="6"/>
  <c r="M384" i="6"/>
  <c r="L384" i="6"/>
  <c r="N383" i="6"/>
  <c r="M383" i="6"/>
  <c r="L383" i="6"/>
  <c r="N382" i="6"/>
  <c r="M382" i="6"/>
  <c r="L382" i="6"/>
  <c r="N381" i="6"/>
  <c r="M381" i="6"/>
  <c r="L381" i="6"/>
  <c r="N380" i="6"/>
  <c r="M380" i="6"/>
  <c r="L380" i="6"/>
  <c r="N379" i="6"/>
  <c r="M379" i="6"/>
  <c r="L379" i="6"/>
  <c r="N378" i="6"/>
  <c r="M378" i="6"/>
  <c r="L378" i="6"/>
  <c r="N377" i="6"/>
  <c r="M377" i="6"/>
  <c r="L377" i="6"/>
  <c r="N376" i="6"/>
  <c r="M376" i="6"/>
  <c r="L376" i="6"/>
  <c r="N375" i="6"/>
  <c r="M375" i="6"/>
  <c r="L375" i="6"/>
  <c r="N374" i="6"/>
  <c r="M374" i="6"/>
  <c r="L374" i="6"/>
  <c r="N373" i="6"/>
  <c r="M373" i="6"/>
  <c r="L373" i="6"/>
  <c r="N372" i="6"/>
  <c r="M372" i="6"/>
  <c r="L372" i="6"/>
  <c r="N371" i="6"/>
  <c r="M371" i="6"/>
  <c r="L371" i="6"/>
  <c r="N370" i="6"/>
  <c r="M370" i="6"/>
  <c r="L370" i="6"/>
  <c r="N369" i="6"/>
  <c r="M369" i="6"/>
  <c r="L369" i="6"/>
  <c r="N368" i="6"/>
  <c r="M368" i="6"/>
  <c r="L368" i="6"/>
  <c r="N367" i="6"/>
  <c r="M367" i="6"/>
  <c r="L367" i="6"/>
  <c r="N366" i="6"/>
  <c r="M366" i="6"/>
  <c r="L366" i="6"/>
  <c r="N365" i="6"/>
  <c r="M365" i="6"/>
  <c r="L365" i="6"/>
  <c r="N364" i="6"/>
  <c r="M364" i="6"/>
  <c r="L364" i="6"/>
  <c r="N363" i="6"/>
  <c r="M363" i="6"/>
  <c r="L363" i="6"/>
  <c r="N362" i="6"/>
  <c r="M362" i="6"/>
  <c r="L362" i="6"/>
  <c r="N361" i="6"/>
  <c r="M361" i="6"/>
  <c r="L361" i="6"/>
  <c r="N360" i="6"/>
  <c r="M360" i="6"/>
  <c r="L360" i="6"/>
  <c r="N359" i="6"/>
  <c r="M359" i="6"/>
  <c r="L359" i="6"/>
  <c r="N358" i="6"/>
  <c r="M358" i="6"/>
  <c r="L358" i="6"/>
  <c r="N357" i="6"/>
  <c r="M357" i="6"/>
  <c r="L357" i="6"/>
  <c r="N356" i="6"/>
  <c r="M356" i="6"/>
  <c r="L356" i="6"/>
  <c r="N355" i="6"/>
  <c r="M355" i="6"/>
  <c r="L355" i="6"/>
  <c r="N354" i="6"/>
  <c r="M354" i="6"/>
  <c r="L354" i="6"/>
  <c r="N353" i="6"/>
  <c r="M353" i="6"/>
  <c r="L353" i="6"/>
  <c r="N352" i="6"/>
  <c r="M352" i="6"/>
  <c r="L352" i="6"/>
  <c r="N351" i="6"/>
  <c r="M351" i="6"/>
  <c r="L351" i="6"/>
  <c r="N350" i="6"/>
  <c r="M350" i="6"/>
  <c r="L350" i="6"/>
  <c r="N349" i="6"/>
  <c r="M349" i="6"/>
  <c r="L349" i="6"/>
  <c r="N348" i="6"/>
  <c r="M348" i="6"/>
  <c r="L348" i="6"/>
  <c r="N347" i="6"/>
  <c r="M347" i="6"/>
  <c r="L347" i="6"/>
  <c r="N346" i="6"/>
  <c r="M346" i="6"/>
  <c r="L346" i="6"/>
  <c r="N345" i="6"/>
  <c r="M345" i="6"/>
  <c r="L345" i="6"/>
  <c r="N344" i="6"/>
  <c r="M344" i="6"/>
  <c r="L344" i="6"/>
  <c r="N343" i="6"/>
  <c r="M343" i="6"/>
  <c r="L343" i="6"/>
  <c r="N342" i="6"/>
  <c r="M342" i="6"/>
  <c r="L342" i="6"/>
  <c r="N341" i="6"/>
  <c r="M341" i="6"/>
  <c r="L341" i="6"/>
  <c r="N340" i="6"/>
  <c r="M340" i="6"/>
  <c r="L340" i="6"/>
  <c r="N339" i="6"/>
  <c r="M339" i="6"/>
  <c r="L339" i="6"/>
  <c r="N338" i="6"/>
  <c r="M338" i="6"/>
  <c r="L338" i="6"/>
  <c r="N337" i="6"/>
  <c r="M337" i="6"/>
  <c r="L337" i="6"/>
  <c r="N336" i="6"/>
  <c r="M336" i="6"/>
  <c r="L336" i="6"/>
  <c r="N335" i="6"/>
  <c r="M335" i="6"/>
  <c r="L335" i="6"/>
  <c r="N334" i="6"/>
  <c r="M334" i="6"/>
  <c r="L334" i="6"/>
  <c r="N333" i="6"/>
  <c r="M333" i="6"/>
  <c r="L333" i="6"/>
  <c r="N332" i="6"/>
  <c r="M332" i="6"/>
  <c r="L332" i="6"/>
  <c r="N331" i="6"/>
  <c r="M331" i="6"/>
  <c r="L331" i="6"/>
  <c r="N330" i="6"/>
  <c r="M330" i="6"/>
  <c r="L330" i="6"/>
  <c r="N329" i="6"/>
  <c r="M329" i="6"/>
  <c r="L329" i="6"/>
  <c r="N328" i="6"/>
  <c r="M328" i="6"/>
  <c r="L328" i="6"/>
  <c r="N327" i="6"/>
  <c r="M327" i="6"/>
  <c r="L327" i="6"/>
  <c r="N326" i="6"/>
  <c r="M326" i="6"/>
  <c r="L326" i="6"/>
  <c r="N325" i="6"/>
  <c r="M325" i="6"/>
  <c r="L325" i="6"/>
  <c r="N324" i="6"/>
  <c r="M324" i="6"/>
  <c r="L324" i="6"/>
  <c r="N323" i="6"/>
  <c r="M323" i="6"/>
  <c r="L323" i="6"/>
  <c r="N322" i="6"/>
  <c r="M322" i="6"/>
  <c r="L322" i="6"/>
  <c r="N321" i="6"/>
  <c r="M321" i="6"/>
  <c r="L321" i="6"/>
  <c r="N320" i="6"/>
  <c r="M320" i="6"/>
  <c r="L320" i="6"/>
  <c r="N319" i="6"/>
  <c r="M319" i="6"/>
  <c r="L319" i="6"/>
  <c r="N318" i="6"/>
  <c r="M318" i="6"/>
  <c r="L318" i="6"/>
  <c r="N317" i="6"/>
  <c r="M317" i="6"/>
  <c r="L317" i="6"/>
  <c r="N316" i="6"/>
  <c r="M316" i="6"/>
  <c r="L316" i="6"/>
  <c r="N315" i="6"/>
  <c r="M315" i="6"/>
  <c r="L315" i="6"/>
  <c r="N314" i="6"/>
  <c r="M314" i="6"/>
  <c r="L314" i="6"/>
  <c r="N313" i="6"/>
  <c r="M313" i="6"/>
  <c r="L313" i="6"/>
  <c r="N312" i="6"/>
  <c r="M312" i="6"/>
  <c r="L312" i="6"/>
  <c r="N311" i="6"/>
  <c r="M311" i="6"/>
  <c r="L311" i="6"/>
  <c r="N310" i="6"/>
  <c r="M310" i="6"/>
  <c r="L310" i="6"/>
  <c r="N309" i="6"/>
  <c r="M309" i="6"/>
  <c r="L309" i="6"/>
  <c r="N308" i="6"/>
  <c r="M308" i="6"/>
  <c r="L308" i="6"/>
  <c r="N307" i="6"/>
  <c r="M307" i="6"/>
  <c r="L307" i="6"/>
  <c r="N306" i="6"/>
  <c r="M306" i="6"/>
  <c r="L306" i="6"/>
  <c r="N305" i="6"/>
  <c r="M305" i="6"/>
  <c r="L305" i="6"/>
  <c r="N304" i="6"/>
  <c r="M304" i="6"/>
  <c r="L304" i="6"/>
  <c r="N303" i="6"/>
  <c r="M303" i="6"/>
  <c r="L303" i="6"/>
  <c r="N302" i="6"/>
  <c r="M302" i="6"/>
  <c r="L302" i="6"/>
  <c r="N301" i="6"/>
  <c r="M301" i="6"/>
  <c r="L301" i="6"/>
  <c r="N300" i="6"/>
  <c r="M300" i="6"/>
  <c r="L300" i="6"/>
  <c r="N299" i="6"/>
  <c r="M299" i="6"/>
  <c r="L299" i="6"/>
  <c r="N298" i="6"/>
  <c r="M298" i="6"/>
  <c r="L298" i="6"/>
  <c r="N297" i="6"/>
  <c r="M297" i="6"/>
  <c r="L297" i="6"/>
  <c r="N296" i="6"/>
  <c r="M296" i="6"/>
  <c r="L296" i="6"/>
  <c r="N295" i="6"/>
  <c r="M295" i="6"/>
  <c r="L295" i="6"/>
  <c r="N294" i="6"/>
  <c r="M294" i="6"/>
  <c r="L294" i="6"/>
  <c r="N293" i="6"/>
  <c r="M293" i="6"/>
  <c r="L293" i="6"/>
  <c r="N292" i="6"/>
  <c r="M292" i="6"/>
  <c r="L292" i="6"/>
  <c r="N291" i="6"/>
  <c r="M291" i="6"/>
  <c r="L291" i="6"/>
  <c r="N290" i="6"/>
  <c r="M290" i="6"/>
  <c r="L290" i="6"/>
  <c r="N289" i="6"/>
  <c r="M289" i="6"/>
  <c r="L289" i="6"/>
  <c r="N288" i="6"/>
  <c r="M288" i="6"/>
  <c r="L288" i="6"/>
  <c r="N287" i="6"/>
  <c r="M287" i="6"/>
  <c r="L287" i="6"/>
  <c r="N286" i="6"/>
  <c r="M286" i="6"/>
  <c r="L286" i="6"/>
  <c r="N285" i="6"/>
  <c r="M285" i="6"/>
  <c r="L285" i="6"/>
  <c r="N284" i="6"/>
  <c r="M284" i="6"/>
  <c r="L284" i="6"/>
  <c r="N283" i="6"/>
  <c r="M283" i="6"/>
  <c r="L283" i="6"/>
  <c r="N282" i="6"/>
  <c r="M282" i="6"/>
  <c r="L282" i="6"/>
  <c r="N281" i="6"/>
  <c r="M281" i="6"/>
  <c r="L281" i="6"/>
  <c r="N280" i="6"/>
  <c r="M280" i="6"/>
  <c r="L280" i="6"/>
  <c r="N279" i="6"/>
  <c r="M279" i="6"/>
  <c r="L279" i="6"/>
  <c r="N278" i="6"/>
  <c r="M278" i="6"/>
  <c r="L278" i="6"/>
  <c r="N277" i="6"/>
  <c r="M277" i="6"/>
  <c r="L277" i="6"/>
  <c r="N276" i="6"/>
  <c r="M276" i="6"/>
  <c r="L276" i="6"/>
  <c r="N275" i="6"/>
  <c r="M275" i="6"/>
  <c r="L275" i="6"/>
  <c r="N274" i="6"/>
  <c r="M274" i="6"/>
  <c r="L274" i="6"/>
  <c r="N273" i="6"/>
  <c r="M273" i="6"/>
  <c r="L273" i="6"/>
  <c r="N272" i="6"/>
  <c r="M272" i="6"/>
  <c r="L272" i="6"/>
  <c r="N271" i="6"/>
  <c r="M271" i="6"/>
  <c r="L271" i="6"/>
  <c r="N270" i="6"/>
  <c r="M270" i="6"/>
  <c r="L270" i="6"/>
  <c r="N269" i="6"/>
  <c r="M269" i="6"/>
  <c r="L269" i="6"/>
  <c r="N268" i="6"/>
  <c r="M268" i="6"/>
  <c r="L268" i="6"/>
  <c r="N267" i="6"/>
  <c r="M267" i="6"/>
  <c r="L267" i="6"/>
  <c r="N266" i="6"/>
  <c r="M266" i="6"/>
  <c r="L266" i="6"/>
  <c r="N265" i="6"/>
  <c r="M265" i="6"/>
  <c r="L265" i="6"/>
  <c r="N264" i="6"/>
  <c r="M264" i="6"/>
  <c r="L264" i="6"/>
  <c r="N263" i="6"/>
  <c r="M263" i="6"/>
  <c r="L263" i="6"/>
  <c r="N262" i="6"/>
  <c r="M262" i="6"/>
  <c r="L262" i="6"/>
  <c r="N261" i="6"/>
  <c r="M261" i="6"/>
  <c r="L261" i="6"/>
  <c r="N260" i="6"/>
  <c r="M260" i="6"/>
  <c r="L260" i="6"/>
  <c r="N259" i="6"/>
  <c r="M259" i="6"/>
  <c r="L259" i="6"/>
  <c r="N258" i="6"/>
  <c r="M258" i="6"/>
  <c r="L258" i="6"/>
  <c r="N257" i="6"/>
  <c r="M257" i="6"/>
  <c r="L257" i="6"/>
  <c r="N256" i="6"/>
  <c r="M256" i="6"/>
  <c r="L256" i="6"/>
  <c r="N255" i="6"/>
  <c r="M255" i="6"/>
  <c r="L255" i="6"/>
  <c r="N254" i="6"/>
  <c r="M254" i="6"/>
  <c r="L254" i="6"/>
  <c r="N253" i="6"/>
  <c r="M253" i="6"/>
  <c r="L253" i="6"/>
  <c r="N252" i="6"/>
  <c r="M252" i="6"/>
  <c r="L252" i="6"/>
  <c r="N251" i="6"/>
  <c r="M251" i="6"/>
  <c r="L251" i="6"/>
  <c r="N250" i="6"/>
  <c r="M250" i="6"/>
  <c r="L250" i="6"/>
  <c r="N249" i="6"/>
  <c r="M249" i="6"/>
  <c r="L249" i="6"/>
  <c r="N248" i="6"/>
  <c r="M248" i="6"/>
  <c r="L248" i="6"/>
  <c r="N247" i="6"/>
  <c r="M247" i="6"/>
  <c r="L247" i="6"/>
  <c r="N246" i="6"/>
  <c r="M246" i="6"/>
  <c r="L246" i="6"/>
  <c r="N245" i="6"/>
  <c r="M245" i="6"/>
  <c r="L245" i="6"/>
  <c r="N244" i="6"/>
  <c r="M244" i="6"/>
  <c r="L244" i="6"/>
  <c r="N243" i="6"/>
  <c r="M243" i="6"/>
  <c r="L243" i="6"/>
  <c r="N242" i="6"/>
  <c r="M242" i="6"/>
  <c r="L242" i="6"/>
  <c r="N241" i="6"/>
  <c r="M241" i="6"/>
  <c r="L241" i="6"/>
  <c r="N240" i="6"/>
  <c r="M240" i="6"/>
  <c r="L240" i="6"/>
  <c r="N239" i="6"/>
  <c r="M239" i="6"/>
  <c r="L239" i="6"/>
  <c r="N238" i="6"/>
  <c r="M238" i="6"/>
  <c r="L238" i="6"/>
  <c r="N237" i="6"/>
  <c r="M237" i="6"/>
  <c r="L237" i="6"/>
  <c r="N236" i="6"/>
  <c r="M236" i="6"/>
  <c r="L236" i="6"/>
  <c r="N235" i="6"/>
  <c r="M235" i="6"/>
  <c r="L235" i="6"/>
  <c r="N234" i="6"/>
  <c r="M234" i="6"/>
  <c r="L234" i="6"/>
  <c r="N233" i="6"/>
  <c r="M233" i="6"/>
  <c r="L233" i="6"/>
  <c r="N232" i="6"/>
  <c r="M232" i="6"/>
  <c r="L232" i="6"/>
  <c r="N231" i="6"/>
  <c r="M231" i="6"/>
  <c r="L231" i="6"/>
  <c r="N230" i="6"/>
  <c r="M230" i="6"/>
  <c r="L230" i="6"/>
  <c r="N229" i="6"/>
  <c r="M229" i="6"/>
  <c r="L229" i="6"/>
  <c r="N228" i="6"/>
  <c r="M228" i="6"/>
  <c r="L228" i="6"/>
  <c r="N227" i="6"/>
  <c r="M227" i="6"/>
  <c r="L227" i="6"/>
  <c r="N226" i="6"/>
  <c r="M226" i="6"/>
  <c r="L226" i="6"/>
  <c r="N225" i="6"/>
  <c r="M225" i="6"/>
  <c r="L225" i="6"/>
  <c r="N224" i="6"/>
  <c r="M224" i="6"/>
  <c r="L224" i="6"/>
  <c r="N223" i="6"/>
  <c r="M223" i="6"/>
  <c r="L223" i="6"/>
  <c r="N222" i="6"/>
  <c r="M222" i="6"/>
  <c r="L222" i="6"/>
  <c r="N221" i="6"/>
  <c r="M221" i="6"/>
  <c r="L221" i="6"/>
  <c r="N220" i="6"/>
  <c r="M220" i="6"/>
  <c r="L220" i="6"/>
  <c r="N219" i="6"/>
  <c r="M219" i="6"/>
  <c r="L219" i="6"/>
  <c r="N218" i="6"/>
  <c r="M218" i="6"/>
  <c r="L218" i="6"/>
  <c r="N217" i="6"/>
  <c r="M217" i="6"/>
  <c r="L217" i="6"/>
  <c r="N216" i="6"/>
  <c r="M216" i="6"/>
  <c r="L216" i="6"/>
  <c r="N215" i="6"/>
  <c r="M215" i="6"/>
  <c r="L215" i="6"/>
  <c r="N214" i="6"/>
  <c r="M214" i="6"/>
  <c r="L214" i="6"/>
  <c r="N213" i="6"/>
  <c r="M213" i="6"/>
  <c r="L213" i="6"/>
  <c r="N212" i="6"/>
  <c r="M212" i="6"/>
  <c r="L212" i="6"/>
  <c r="N211" i="6"/>
  <c r="M211" i="6"/>
  <c r="L211" i="6"/>
  <c r="N210" i="6"/>
  <c r="M210" i="6"/>
  <c r="L210" i="6"/>
  <c r="N209" i="6"/>
  <c r="M209" i="6"/>
  <c r="L209" i="6"/>
  <c r="N208" i="6"/>
  <c r="M208" i="6"/>
  <c r="L208" i="6"/>
  <c r="N207" i="6"/>
  <c r="M207" i="6"/>
  <c r="L207" i="6"/>
  <c r="N206" i="6"/>
  <c r="M206" i="6"/>
  <c r="L206" i="6"/>
  <c r="N205" i="6"/>
  <c r="M205" i="6"/>
  <c r="L205" i="6"/>
  <c r="N204" i="6"/>
  <c r="M204" i="6"/>
  <c r="L204" i="6"/>
  <c r="N203" i="6"/>
  <c r="M203" i="6"/>
  <c r="L203" i="6"/>
  <c r="N202" i="6"/>
  <c r="M202" i="6"/>
  <c r="L202" i="6"/>
  <c r="N201" i="6"/>
  <c r="M201" i="6"/>
  <c r="L201" i="6"/>
  <c r="N200" i="6"/>
  <c r="M200" i="6"/>
  <c r="L200" i="6"/>
  <c r="N199" i="6"/>
  <c r="M199" i="6"/>
  <c r="L199" i="6"/>
  <c r="N198" i="6"/>
  <c r="M198" i="6"/>
  <c r="L198" i="6"/>
  <c r="N197" i="6"/>
  <c r="M197" i="6"/>
  <c r="L197" i="6"/>
  <c r="N196" i="6"/>
  <c r="M196" i="6"/>
  <c r="L196" i="6"/>
  <c r="N195" i="6"/>
  <c r="M195" i="6"/>
  <c r="L195" i="6"/>
  <c r="N194" i="6"/>
  <c r="M194" i="6"/>
  <c r="L194" i="6"/>
  <c r="N193" i="6"/>
  <c r="M193" i="6"/>
  <c r="L193" i="6"/>
  <c r="N192" i="6"/>
  <c r="M192" i="6"/>
  <c r="L192" i="6"/>
  <c r="N191" i="6"/>
  <c r="M191" i="6"/>
  <c r="L191" i="6"/>
  <c r="N190" i="6"/>
  <c r="M190" i="6"/>
  <c r="L190" i="6"/>
  <c r="N189" i="6"/>
  <c r="M189" i="6"/>
  <c r="L189" i="6"/>
  <c r="N188" i="6"/>
  <c r="M188" i="6"/>
  <c r="L188" i="6"/>
  <c r="N187" i="6"/>
  <c r="M187" i="6"/>
  <c r="L187" i="6"/>
  <c r="N186" i="6"/>
  <c r="M186" i="6"/>
  <c r="L186" i="6"/>
  <c r="N185" i="6"/>
  <c r="M185" i="6"/>
  <c r="L185" i="6"/>
  <c r="N184" i="6"/>
  <c r="M184" i="6"/>
  <c r="L184" i="6"/>
  <c r="N183" i="6"/>
  <c r="M183" i="6"/>
  <c r="L183" i="6"/>
  <c r="N182" i="6"/>
  <c r="M182" i="6"/>
  <c r="L182" i="6"/>
  <c r="N181" i="6"/>
  <c r="M181" i="6"/>
  <c r="L181" i="6"/>
  <c r="N180" i="6"/>
  <c r="M180" i="6"/>
  <c r="L180" i="6"/>
  <c r="N179" i="6"/>
  <c r="M179" i="6"/>
  <c r="L179" i="6"/>
  <c r="N178" i="6"/>
  <c r="M178" i="6"/>
  <c r="L178" i="6"/>
  <c r="N177" i="6"/>
  <c r="M177" i="6"/>
  <c r="L177" i="6"/>
  <c r="N176" i="6"/>
  <c r="M176" i="6"/>
  <c r="L176" i="6"/>
  <c r="N175" i="6"/>
  <c r="M175" i="6"/>
  <c r="L175" i="6"/>
  <c r="N174" i="6"/>
  <c r="M174" i="6"/>
  <c r="L174" i="6"/>
  <c r="N173" i="6"/>
  <c r="M173" i="6"/>
  <c r="L173" i="6"/>
  <c r="N172" i="6"/>
  <c r="M172" i="6"/>
  <c r="L172" i="6"/>
  <c r="N171" i="6"/>
  <c r="M171" i="6"/>
  <c r="L171" i="6"/>
  <c r="N170" i="6"/>
  <c r="M170" i="6"/>
  <c r="L170" i="6"/>
  <c r="N169" i="6"/>
  <c r="M169" i="6"/>
  <c r="L169" i="6"/>
  <c r="N168" i="6"/>
  <c r="M168" i="6"/>
  <c r="L168" i="6"/>
  <c r="N167" i="6"/>
  <c r="M167" i="6"/>
  <c r="L167" i="6"/>
  <c r="N166" i="6"/>
  <c r="M166" i="6"/>
  <c r="L166" i="6"/>
  <c r="N165" i="6"/>
  <c r="M165" i="6"/>
  <c r="L165" i="6"/>
  <c r="N164" i="6"/>
  <c r="M164" i="6"/>
  <c r="L164" i="6"/>
  <c r="N163" i="6"/>
  <c r="M163" i="6"/>
  <c r="L163" i="6"/>
  <c r="N162" i="6"/>
  <c r="M162" i="6"/>
  <c r="L162" i="6"/>
  <c r="N161" i="6"/>
  <c r="M161" i="6"/>
  <c r="L161" i="6"/>
  <c r="N160" i="6"/>
  <c r="M160" i="6"/>
  <c r="L160" i="6"/>
  <c r="N159" i="6"/>
  <c r="M159" i="6"/>
  <c r="L159" i="6"/>
  <c r="N158" i="6"/>
  <c r="M158" i="6"/>
  <c r="L158" i="6"/>
  <c r="N157" i="6"/>
  <c r="M157" i="6"/>
  <c r="L157" i="6"/>
  <c r="N156" i="6"/>
  <c r="M156" i="6"/>
  <c r="L156" i="6"/>
  <c r="N155" i="6"/>
  <c r="M155" i="6"/>
  <c r="L155" i="6"/>
  <c r="N154" i="6"/>
  <c r="M154" i="6"/>
  <c r="L154" i="6"/>
  <c r="N153" i="6"/>
  <c r="M153" i="6"/>
  <c r="L153" i="6"/>
  <c r="N152" i="6"/>
  <c r="M152" i="6"/>
  <c r="L152" i="6"/>
  <c r="N151" i="6"/>
  <c r="M151" i="6"/>
  <c r="L151" i="6"/>
  <c r="N150" i="6"/>
  <c r="M150" i="6"/>
  <c r="L150" i="6"/>
  <c r="N149" i="6"/>
  <c r="M149" i="6"/>
  <c r="L149" i="6"/>
  <c r="N148" i="6"/>
  <c r="M148" i="6"/>
  <c r="L148" i="6"/>
  <c r="N147" i="6"/>
  <c r="M147" i="6"/>
  <c r="L147" i="6"/>
  <c r="N146" i="6"/>
  <c r="M146" i="6"/>
  <c r="L146" i="6"/>
  <c r="N145" i="6"/>
  <c r="M145" i="6"/>
  <c r="L145" i="6"/>
  <c r="N144" i="6"/>
  <c r="M144" i="6"/>
  <c r="L144" i="6"/>
  <c r="N143" i="6"/>
  <c r="M143" i="6"/>
  <c r="L143" i="6"/>
  <c r="N142" i="6"/>
  <c r="M142" i="6"/>
  <c r="L142" i="6"/>
  <c r="N141" i="6"/>
  <c r="M141" i="6"/>
  <c r="L141" i="6"/>
  <c r="N140" i="6"/>
  <c r="M140" i="6"/>
  <c r="L140" i="6"/>
  <c r="N139" i="6"/>
  <c r="M139" i="6"/>
  <c r="L139" i="6"/>
  <c r="N138" i="6"/>
  <c r="M138" i="6"/>
  <c r="L138" i="6"/>
  <c r="N137" i="6"/>
  <c r="M137" i="6"/>
  <c r="L137" i="6"/>
  <c r="N136" i="6"/>
  <c r="M136" i="6"/>
  <c r="L136" i="6"/>
  <c r="N135" i="6"/>
  <c r="M135" i="6"/>
  <c r="L135" i="6"/>
  <c r="N134" i="6"/>
  <c r="M134" i="6"/>
  <c r="L134" i="6"/>
  <c r="N133" i="6"/>
  <c r="M133" i="6"/>
  <c r="L133" i="6"/>
  <c r="N132" i="6"/>
  <c r="M132" i="6"/>
  <c r="L132" i="6"/>
  <c r="N131" i="6"/>
  <c r="M131" i="6"/>
  <c r="L131" i="6"/>
  <c r="N130" i="6"/>
  <c r="M130" i="6"/>
  <c r="L130" i="6"/>
  <c r="N129" i="6"/>
  <c r="M129" i="6"/>
  <c r="L129" i="6"/>
  <c r="N128" i="6"/>
  <c r="M128" i="6"/>
  <c r="L128" i="6"/>
  <c r="N127" i="6"/>
  <c r="M127" i="6"/>
  <c r="L127" i="6"/>
  <c r="N126" i="6"/>
  <c r="M126" i="6"/>
  <c r="L126" i="6"/>
  <c r="N125" i="6"/>
  <c r="M125" i="6"/>
  <c r="L125" i="6"/>
  <c r="N124" i="6"/>
  <c r="M124" i="6"/>
  <c r="L124" i="6"/>
  <c r="N123" i="6"/>
  <c r="M123" i="6"/>
  <c r="L123" i="6"/>
  <c r="N122" i="6"/>
  <c r="M122" i="6"/>
  <c r="L122" i="6"/>
  <c r="N121" i="6"/>
  <c r="M121" i="6"/>
  <c r="L121" i="6"/>
  <c r="N120" i="6"/>
  <c r="M120" i="6"/>
  <c r="L120" i="6"/>
  <c r="N119" i="6"/>
  <c r="M119" i="6"/>
  <c r="L119" i="6"/>
  <c r="N118" i="6"/>
  <c r="M118" i="6"/>
  <c r="L118" i="6"/>
  <c r="N117" i="6"/>
  <c r="M117" i="6"/>
  <c r="L117" i="6"/>
  <c r="N116" i="6"/>
  <c r="M116" i="6"/>
  <c r="L116" i="6"/>
  <c r="N115" i="6"/>
  <c r="M115" i="6"/>
  <c r="L115" i="6"/>
  <c r="N114" i="6"/>
  <c r="M114" i="6"/>
  <c r="L114" i="6"/>
  <c r="N113" i="6"/>
  <c r="M113" i="6"/>
  <c r="L113" i="6"/>
  <c r="N112" i="6"/>
  <c r="M112" i="6"/>
  <c r="L112" i="6"/>
  <c r="N111" i="6"/>
  <c r="M111" i="6"/>
  <c r="L111" i="6"/>
  <c r="N110" i="6"/>
  <c r="M110" i="6"/>
  <c r="L110" i="6"/>
  <c r="N109" i="6"/>
  <c r="M109" i="6"/>
  <c r="L109" i="6"/>
  <c r="N108" i="6"/>
  <c r="M108" i="6"/>
  <c r="L108" i="6"/>
  <c r="N107" i="6"/>
  <c r="M107" i="6"/>
  <c r="L107" i="6"/>
  <c r="N106" i="6"/>
  <c r="M106" i="6"/>
  <c r="L106" i="6"/>
  <c r="N105" i="6"/>
  <c r="M105" i="6"/>
  <c r="L105" i="6"/>
  <c r="N104" i="6"/>
  <c r="M104" i="6"/>
  <c r="L104" i="6"/>
  <c r="N103" i="6"/>
  <c r="M103" i="6"/>
  <c r="L103" i="6"/>
  <c r="N102" i="6"/>
  <c r="M102" i="6"/>
  <c r="L102" i="6"/>
  <c r="N101" i="6"/>
  <c r="M101" i="6"/>
  <c r="L101" i="6"/>
  <c r="N100" i="6"/>
  <c r="M100" i="6"/>
  <c r="L100" i="6"/>
  <c r="N99" i="6"/>
  <c r="M99" i="6"/>
  <c r="L99" i="6"/>
  <c r="N98" i="6"/>
  <c r="M98" i="6"/>
  <c r="L98" i="6"/>
  <c r="N97" i="6"/>
  <c r="M97" i="6"/>
  <c r="L97" i="6"/>
  <c r="N96" i="6"/>
  <c r="M96" i="6"/>
  <c r="L96" i="6"/>
  <c r="N95" i="6"/>
  <c r="M95" i="6"/>
  <c r="L95" i="6"/>
  <c r="N94" i="6"/>
  <c r="M94" i="6"/>
  <c r="L94" i="6"/>
  <c r="N93" i="6"/>
  <c r="M93" i="6"/>
  <c r="L93" i="6"/>
  <c r="N92" i="6"/>
  <c r="M92" i="6"/>
  <c r="L92" i="6"/>
  <c r="N91" i="6"/>
  <c r="M91" i="6"/>
  <c r="L91" i="6"/>
  <c r="N90" i="6"/>
  <c r="M90" i="6"/>
  <c r="L90" i="6"/>
  <c r="N89" i="6"/>
  <c r="M89" i="6"/>
  <c r="L89" i="6"/>
  <c r="N88" i="6"/>
  <c r="M88" i="6"/>
  <c r="L88" i="6"/>
  <c r="N87" i="6"/>
  <c r="M87" i="6"/>
  <c r="L87" i="6"/>
  <c r="N86" i="6"/>
  <c r="M86" i="6"/>
  <c r="L86" i="6"/>
  <c r="N85" i="6"/>
  <c r="M85" i="6"/>
  <c r="L85" i="6"/>
  <c r="N84" i="6"/>
  <c r="M84" i="6"/>
  <c r="L84" i="6"/>
  <c r="N83" i="6"/>
  <c r="M83" i="6"/>
  <c r="L83" i="6"/>
  <c r="N82" i="6"/>
  <c r="M82" i="6"/>
  <c r="L82" i="6"/>
  <c r="N81" i="6"/>
  <c r="M81" i="6"/>
  <c r="L81" i="6"/>
  <c r="N80" i="6"/>
  <c r="M80" i="6"/>
  <c r="L80" i="6"/>
  <c r="N79" i="6"/>
  <c r="M79" i="6"/>
  <c r="L79" i="6"/>
  <c r="N78" i="6"/>
  <c r="M78" i="6"/>
  <c r="L78" i="6"/>
  <c r="N77" i="6"/>
  <c r="M77" i="6"/>
  <c r="L77" i="6"/>
  <c r="N76" i="6"/>
  <c r="M76" i="6"/>
  <c r="L76" i="6"/>
  <c r="N75" i="6"/>
  <c r="M75" i="6"/>
  <c r="L75" i="6"/>
  <c r="N74" i="6"/>
  <c r="M74" i="6"/>
  <c r="L74" i="6"/>
  <c r="N73" i="6"/>
  <c r="M73" i="6"/>
  <c r="L73" i="6"/>
  <c r="N72" i="6"/>
  <c r="M72" i="6"/>
  <c r="L72" i="6"/>
  <c r="N71" i="6"/>
  <c r="M71" i="6"/>
  <c r="L71" i="6"/>
  <c r="N70" i="6"/>
  <c r="M70" i="6"/>
  <c r="L70" i="6"/>
  <c r="N69" i="6"/>
  <c r="M69" i="6"/>
  <c r="L69" i="6"/>
  <c r="N68" i="6"/>
  <c r="M68" i="6"/>
  <c r="L68" i="6"/>
  <c r="N67" i="6"/>
  <c r="M67" i="6"/>
  <c r="L67" i="6"/>
  <c r="N66" i="6"/>
  <c r="M66" i="6"/>
  <c r="L66" i="6"/>
  <c r="N65" i="6"/>
  <c r="M65" i="6"/>
  <c r="L65" i="6"/>
  <c r="N64" i="6"/>
  <c r="M64" i="6"/>
  <c r="L64" i="6"/>
  <c r="N63" i="6"/>
  <c r="M63" i="6"/>
  <c r="L63" i="6"/>
  <c r="N62" i="6"/>
  <c r="M62" i="6"/>
  <c r="L62" i="6"/>
  <c r="N61" i="6"/>
  <c r="M61" i="6"/>
  <c r="L61" i="6"/>
  <c r="N60" i="6"/>
  <c r="M60" i="6"/>
  <c r="L60" i="6"/>
  <c r="N59" i="6"/>
  <c r="M59" i="6"/>
  <c r="L59" i="6"/>
  <c r="N58" i="6"/>
  <c r="M58" i="6"/>
  <c r="L58" i="6"/>
  <c r="N57" i="6"/>
  <c r="M57" i="6"/>
  <c r="L57" i="6"/>
  <c r="N56" i="6"/>
  <c r="M56" i="6"/>
  <c r="L56" i="6"/>
  <c r="N55" i="6"/>
  <c r="M55" i="6"/>
  <c r="L55" i="6"/>
  <c r="N54" i="6"/>
  <c r="M54" i="6"/>
  <c r="L54" i="6"/>
  <c r="N53" i="6"/>
  <c r="M53" i="6"/>
  <c r="L53" i="6"/>
  <c r="N52" i="6"/>
  <c r="M52" i="6"/>
  <c r="L52" i="6"/>
  <c r="N51" i="6"/>
  <c r="M51" i="6"/>
  <c r="L51" i="6"/>
  <c r="N50" i="6"/>
  <c r="M50" i="6"/>
  <c r="L50" i="6"/>
  <c r="N49" i="6"/>
  <c r="M49" i="6"/>
  <c r="L49" i="6"/>
  <c r="N48" i="6"/>
  <c r="M48" i="6"/>
  <c r="L48" i="6"/>
  <c r="N47" i="6"/>
  <c r="M47" i="6"/>
  <c r="L47" i="6"/>
  <c r="N46" i="6"/>
  <c r="M46" i="6"/>
  <c r="L46" i="6"/>
  <c r="N45" i="6"/>
  <c r="M45" i="6"/>
  <c r="L45" i="6"/>
  <c r="N44" i="6"/>
  <c r="M44" i="6"/>
  <c r="L44" i="6"/>
  <c r="N43" i="6"/>
  <c r="M43" i="6"/>
  <c r="L43" i="6"/>
  <c r="N42" i="6"/>
  <c r="M42" i="6"/>
  <c r="L42" i="6"/>
  <c r="N41" i="6"/>
  <c r="M41" i="6"/>
  <c r="L41" i="6"/>
  <c r="N40" i="6"/>
  <c r="M40" i="6"/>
  <c r="L40" i="6"/>
  <c r="N39" i="6"/>
  <c r="M39" i="6"/>
  <c r="L39" i="6"/>
  <c r="N38" i="6"/>
  <c r="M38" i="6"/>
  <c r="L38" i="6"/>
  <c r="N37" i="6"/>
  <c r="M37" i="6"/>
  <c r="L37" i="6"/>
  <c r="N36" i="6"/>
  <c r="M36" i="6"/>
  <c r="L36" i="6"/>
  <c r="N35" i="6"/>
  <c r="M35" i="6"/>
  <c r="L35" i="6"/>
  <c r="N34" i="6"/>
  <c r="M34" i="6"/>
  <c r="L34" i="6"/>
  <c r="N33" i="6"/>
  <c r="M33" i="6"/>
  <c r="L33" i="6"/>
  <c r="N32" i="6"/>
  <c r="M32" i="6"/>
  <c r="L32" i="6"/>
  <c r="N31" i="6"/>
  <c r="M31" i="6"/>
  <c r="L31" i="6"/>
  <c r="N30" i="6"/>
  <c r="M30" i="6"/>
  <c r="L30" i="6"/>
  <c r="N29" i="6"/>
  <c r="M29" i="6"/>
  <c r="L29" i="6"/>
  <c r="N28" i="6"/>
  <c r="M28" i="6"/>
  <c r="L28" i="6"/>
  <c r="N27" i="6"/>
  <c r="M27" i="6"/>
  <c r="L27" i="6"/>
  <c r="N26" i="6"/>
  <c r="M26" i="6"/>
  <c r="L26" i="6"/>
  <c r="N25" i="6"/>
  <c r="M25" i="6"/>
  <c r="L25" i="6"/>
  <c r="N24" i="6"/>
  <c r="M24" i="6"/>
  <c r="L24" i="6"/>
  <c r="N23" i="6"/>
  <c r="M23" i="6"/>
  <c r="L23" i="6"/>
  <c r="N22" i="6"/>
  <c r="M22" i="6"/>
  <c r="L22" i="6"/>
  <c r="N21" i="6"/>
  <c r="M21" i="6"/>
  <c r="L21" i="6"/>
  <c r="N20" i="6"/>
  <c r="M20" i="6"/>
  <c r="L20" i="6"/>
  <c r="N19" i="6"/>
  <c r="M19" i="6"/>
  <c r="L19" i="6"/>
  <c r="N18" i="6"/>
  <c r="M18" i="6"/>
  <c r="L18" i="6"/>
  <c r="N17" i="6"/>
  <c r="M17" i="6"/>
  <c r="L17" i="6"/>
  <c r="N16" i="6"/>
  <c r="M16" i="6"/>
  <c r="L16" i="6"/>
  <c r="N15" i="6"/>
  <c r="M15" i="6"/>
  <c r="L15" i="6"/>
  <c r="N14" i="6"/>
  <c r="M14" i="6"/>
  <c r="L14" i="6"/>
  <c r="N13" i="6"/>
  <c r="M13" i="6"/>
  <c r="L13" i="6"/>
  <c r="N12" i="6"/>
  <c r="M12" i="6"/>
  <c r="L12" i="6"/>
  <c r="N11" i="6"/>
  <c r="M11" i="6"/>
  <c r="L11" i="6"/>
  <c r="N10" i="6"/>
  <c r="M10" i="6"/>
  <c r="L10" i="6"/>
  <c r="N9" i="6"/>
  <c r="M9" i="6"/>
  <c r="L9" i="6"/>
  <c r="N8" i="6"/>
  <c r="M8" i="6"/>
  <c r="L8" i="6"/>
  <c r="N7" i="6"/>
  <c r="M7" i="6"/>
  <c r="L7" i="6"/>
  <c r="N6" i="6"/>
  <c r="M6" i="6"/>
  <c r="L6" i="6"/>
  <c r="N5" i="6"/>
  <c r="M5" i="6"/>
  <c r="L5" i="6"/>
  <c r="N4" i="6"/>
  <c r="M4" i="6"/>
  <c r="L4" i="6"/>
  <c r="N3" i="6"/>
  <c r="M3" i="6"/>
  <c r="L3" i="6"/>
  <c r="N2" i="6"/>
  <c r="M2" i="6"/>
  <c r="L2" i="6"/>
  <c r="M1" i="6"/>
  <c r="L1" i="6"/>
  <c r="N1013" i="4"/>
  <c r="M1013" i="4"/>
  <c r="L1013" i="4"/>
  <c r="N1012" i="4"/>
  <c r="M1012" i="4"/>
  <c r="L1012" i="4"/>
  <c r="N1011" i="4"/>
  <c r="M1011" i="4"/>
  <c r="L1011" i="4"/>
  <c r="N1010" i="4"/>
  <c r="M1010" i="4"/>
  <c r="L1010" i="4"/>
  <c r="N1009" i="4"/>
  <c r="M1009" i="4"/>
  <c r="L1009" i="4"/>
  <c r="N1008" i="4"/>
  <c r="M1008" i="4"/>
  <c r="L1008" i="4"/>
  <c r="N1007" i="4"/>
  <c r="M1007" i="4"/>
  <c r="L1007" i="4"/>
  <c r="N1006" i="4"/>
  <c r="M1006" i="4"/>
  <c r="L1006" i="4"/>
  <c r="N1005" i="4"/>
  <c r="M1005" i="4"/>
  <c r="L1005" i="4"/>
  <c r="N1004" i="4"/>
  <c r="M1004" i="4"/>
  <c r="L1004" i="4"/>
  <c r="N1003" i="4"/>
  <c r="M1003" i="4"/>
  <c r="L1003" i="4"/>
  <c r="N1002" i="4"/>
  <c r="M1002" i="4"/>
  <c r="L1002" i="4"/>
  <c r="N1001" i="4"/>
  <c r="M1001" i="4"/>
  <c r="L1001" i="4"/>
  <c r="N1000" i="4"/>
  <c r="M1000" i="4"/>
  <c r="L1000" i="4"/>
  <c r="N999" i="4"/>
  <c r="M999" i="4"/>
  <c r="L999" i="4"/>
  <c r="N998" i="4"/>
  <c r="M998" i="4"/>
  <c r="L998" i="4"/>
  <c r="N997" i="4"/>
  <c r="M997" i="4"/>
  <c r="L997" i="4"/>
  <c r="N996" i="4"/>
  <c r="M996" i="4"/>
  <c r="L996" i="4"/>
  <c r="N995" i="4"/>
  <c r="M995" i="4"/>
  <c r="L995" i="4"/>
  <c r="N994" i="4"/>
  <c r="M994" i="4"/>
  <c r="L994" i="4"/>
  <c r="N993" i="4"/>
  <c r="M993" i="4"/>
  <c r="L993" i="4"/>
  <c r="N992" i="4"/>
  <c r="M992" i="4"/>
  <c r="L992" i="4"/>
  <c r="N991" i="4"/>
  <c r="M991" i="4"/>
  <c r="L991" i="4"/>
  <c r="N990" i="4"/>
  <c r="M990" i="4"/>
  <c r="L990" i="4"/>
  <c r="N989" i="4"/>
  <c r="M989" i="4"/>
  <c r="L989" i="4"/>
  <c r="N988" i="4"/>
  <c r="M988" i="4"/>
  <c r="L988" i="4"/>
  <c r="N987" i="4"/>
  <c r="M987" i="4"/>
  <c r="L987" i="4"/>
  <c r="N986" i="4"/>
  <c r="M986" i="4"/>
  <c r="L986" i="4"/>
  <c r="N985" i="4"/>
  <c r="M985" i="4"/>
  <c r="L985" i="4"/>
  <c r="N984" i="4"/>
  <c r="M984" i="4"/>
  <c r="L984" i="4"/>
  <c r="N983" i="4"/>
  <c r="M983" i="4"/>
  <c r="L983" i="4"/>
  <c r="N982" i="4"/>
  <c r="M982" i="4"/>
  <c r="L982" i="4"/>
  <c r="N981" i="4"/>
  <c r="M981" i="4"/>
  <c r="L981" i="4"/>
  <c r="N980" i="4"/>
  <c r="M980" i="4"/>
  <c r="L980" i="4"/>
  <c r="N979" i="4"/>
  <c r="M979" i="4"/>
  <c r="L979" i="4"/>
  <c r="N978" i="4"/>
  <c r="M978" i="4"/>
  <c r="L978" i="4"/>
  <c r="N977" i="4"/>
  <c r="M977" i="4"/>
  <c r="L977" i="4"/>
  <c r="N976" i="4"/>
  <c r="M976" i="4"/>
  <c r="L976" i="4"/>
  <c r="N975" i="4"/>
  <c r="M975" i="4"/>
  <c r="L975" i="4"/>
  <c r="N974" i="4"/>
  <c r="M974" i="4"/>
  <c r="L974" i="4"/>
  <c r="N973" i="4"/>
  <c r="M973" i="4"/>
  <c r="L973" i="4"/>
  <c r="N972" i="4"/>
  <c r="M972" i="4"/>
  <c r="L972" i="4"/>
  <c r="N971" i="4"/>
  <c r="M971" i="4"/>
  <c r="L971" i="4"/>
  <c r="N970" i="4"/>
  <c r="M970" i="4"/>
  <c r="L970" i="4"/>
  <c r="N969" i="4"/>
  <c r="M969" i="4"/>
  <c r="L969" i="4"/>
  <c r="N968" i="4"/>
  <c r="M968" i="4"/>
  <c r="L968" i="4"/>
  <c r="N967" i="4"/>
  <c r="M967" i="4"/>
  <c r="L967" i="4"/>
  <c r="N966" i="4"/>
  <c r="M966" i="4"/>
  <c r="L966" i="4"/>
  <c r="N965" i="4"/>
  <c r="M965" i="4"/>
  <c r="L965" i="4"/>
  <c r="N964" i="4"/>
  <c r="M964" i="4"/>
  <c r="L964" i="4"/>
  <c r="N963" i="4"/>
  <c r="M963" i="4"/>
  <c r="L963" i="4"/>
  <c r="N962" i="4"/>
  <c r="M962" i="4"/>
  <c r="L962" i="4"/>
  <c r="N961" i="4"/>
  <c r="M961" i="4"/>
  <c r="L961" i="4"/>
  <c r="N960" i="4"/>
  <c r="M960" i="4"/>
  <c r="L960" i="4"/>
  <c r="N959" i="4"/>
  <c r="M959" i="4"/>
  <c r="L959" i="4"/>
  <c r="N958" i="4"/>
  <c r="M958" i="4"/>
  <c r="L958" i="4"/>
  <c r="N957" i="4"/>
  <c r="M957" i="4"/>
  <c r="L957" i="4"/>
  <c r="N956" i="4"/>
  <c r="M956" i="4"/>
  <c r="L956" i="4"/>
  <c r="N955" i="4"/>
  <c r="M955" i="4"/>
  <c r="L955" i="4"/>
  <c r="N954" i="4"/>
  <c r="M954" i="4"/>
  <c r="L954" i="4"/>
  <c r="N953" i="4"/>
  <c r="M953" i="4"/>
  <c r="L953" i="4"/>
  <c r="N952" i="4"/>
  <c r="M952" i="4"/>
  <c r="L952" i="4"/>
  <c r="N951" i="4"/>
  <c r="M951" i="4"/>
  <c r="L951" i="4"/>
  <c r="N950" i="4"/>
  <c r="M950" i="4"/>
  <c r="L950" i="4"/>
  <c r="N949" i="4"/>
  <c r="M949" i="4"/>
  <c r="L949" i="4"/>
  <c r="N948" i="4"/>
  <c r="M948" i="4"/>
  <c r="L948" i="4"/>
  <c r="N947" i="4"/>
  <c r="M947" i="4"/>
  <c r="L947" i="4"/>
  <c r="N946" i="4"/>
  <c r="M946" i="4"/>
  <c r="L946" i="4"/>
  <c r="N945" i="4"/>
  <c r="M945" i="4"/>
  <c r="L945" i="4"/>
  <c r="N944" i="4"/>
  <c r="M944" i="4"/>
  <c r="L944" i="4"/>
  <c r="N943" i="4"/>
  <c r="M943" i="4"/>
  <c r="L943" i="4"/>
  <c r="N942" i="4"/>
  <c r="M942" i="4"/>
  <c r="L942" i="4"/>
  <c r="N941" i="4"/>
  <c r="M941" i="4"/>
  <c r="L941" i="4"/>
  <c r="N940" i="4"/>
  <c r="M940" i="4"/>
  <c r="L940" i="4"/>
  <c r="N939" i="4"/>
  <c r="M939" i="4"/>
  <c r="L939" i="4"/>
  <c r="N938" i="4"/>
  <c r="M938" i="4"/>
  <c r="L938" i="4"/>
  <c r="N937" i="4"/>
  <c r="M937" i="4"/>
  <c r="L937" i="4"/>
  <c r="N936" i="4"/>
  <c r="M936" i="4"/>
  <c r="L936" i="4"/>
  <c r="N935" i="4"/>
  <c r="M935" i="4"/>
  <c r="L935" i="4"/>
  <c r="N934" i="4"/>
  <c r="M934" i="4"/>
  <c r="L934" i="4"/>
  <c r="N933" i="4"/>
  <c r="M933" i="4"/>
  <c r="L933" i="4"/>
  <c r="N932" i="4"/>
  <c r="M932" i="4"/>
  <c r="L932" i="4"/>
  <c r="N931" i="4"/>
  <c r="M931" i="4"/>
  <c r="L931" i="4"/>
  <c r="N930" i="4"/>
  <c r="M930" i="4"/>
  <c r="L930" i="4"/>
  <c r="N929" i="4"/>
  <c r="M929" i="4"/>
  <c r="L929" i="4"/>
  <c r="N928" i="4"/>
  <c r="M928" i="4"/>
  <c r="L928" i="4"/>
  <c r="N927" i="4"/>
  <c r="M927" i="4"/>
  <c r="L927" i="4"/>
  <c r="N926" i="4"/>
  <c r="M926" i="4"/>
  <c r="L926" i="4"/>
  <c r="N925" i="4"/>
  <c r="M925" i="4"/>
  <c r="L925" i="4"/>
  <c r="N924" i="4"/>
  <c r="M924" i="4"/>
  <c r="L924" i="4"/>
  <c r="N923" i="4"/>
  <c r="M923" i="4"/>
  <c r="L923" i="4"/>
  <c r="N922" i="4"/>
  <c r="M922" i="4"/>
  <c r="L922" i="4"/>
  <c r="N921" i="4"/>
  <c r="M921" i="4"/>
  <c r="L921" i="4"/>
  <c r="N920" i="4"/>
  <c r="M920" i="4"/>
  <c r="L920" i="4"/>
  <c r="N919" i="4"/>
  <c r="M919" i="4"/>
  <c r="L919" i="4"/>
  <c r="N918" i="4"/>
  <c r="M918" i="4"/>
  <c r="L918" i="4"/>
  <c r="N917" i="4"/>
  <c r="M917" i="4"/>
  <c r="L917" i="4"/>
  <c r="N916" i="4"/>
  <c r="M916" i="4"/>
  <c r="L916" i="4"/>
  <c r="N915" i="4"/>
  <c r="M915" i="4"/>
  <c r="L915" i="4"/>
  <c r="N914" i="4"/>
  <c r="M914" i="4"/>
  <c r="L914" i="4"/>
  <c r="N913" i="4"/>
  <c r="M913" i="4"/>
  <c r="L913" i="4"/>
  <c r="N912" i="4"/>
  <c r="M912" i="4"/>
  <c r="L912" i="4"/>
  <c r="N911" i="4"/>
  <c r="M911" i="4"/>
  <c r="L911" i="4"/>
  <c r="N910" i="4"/>
  <c r="M910" i="4"/>
  <c r="L910" i="4"/>
  <c r="N909" i="4"/>
  <c r="M909" i="4"/>
  <c r="L909" i="4"/>
  <c r="N908" i="4"/>
  <c r="M908" i="4"/>
  <c r="L908" i="4"/>
  <c r="N907" i="4"/>
  <c r="M907" i="4"/>
  <c r="L907" i="4"/>
  <c r="N906" i="4"/>
  <c r="M906" i="4"/>
  <c r="L906" i="4"/>
  <c r="N905" i="4"/>
  <c r="M905" i="4"/>
  <c r="L905" i="4"/>
  <c r="N904" i="4"/>
  <c r="M904" i="4"/>
  <c r="L904" i="4"/>
  <c r="N903" i="4"/>
  <c r="M903" i="4"/>
  <c r="L903" i="4"/>
  <c r="N902" i="4"/>
  <c r="M902" i="4"/>
  <c r="L902" i="4"/>
  <c r="N901" i="4"/>
  <c r="M901" i="4"/>
  <c r="L901" i="4"/>
  <c r="N900" i="4"/>
  <c r="M900" i="4"/>
  <c r="L900" i="4"/>
  <c r="N899" i="4"/>
  <c r="M899" i="4"/>
  <c r="L899" i="4"/>
  <c r="N898" i="4"/>
  <c r="M898" i="4"/>
  <c r="L898" i="4"/>
  <c r="N897" i="4"/>
  <c r="M897" i="4"/>
  <c r="L897" i="4"/>
  <c r="N896" i="4"/>
  <c r="M896" i="4"/>
  <c r="L896" i="4"/>
  <c r="N895" i="4"/>
  <c r="M895" i="4"/>
  <c r="L895" i="4"/>
  <c r="N894" i="4"/>
  <c r="M894" i="4"/>
  <c r="L894" i="4"/>
  <c r="N893" i="4"/>
  <c r="M893" i="4"/>
  <c r="L893" i="4"/>
  <c r="N892" i="4"/>
  <c r="M892" i="4"/>
  <c r="L892" i="4"/>
  <c r="N891" i="4"/>
  <c r="M891" i="4"/>
  <c r="L891" i="4"/>
  <c r="N890" i="4"/>
  <c r="M890" i="4"/>
  <c r="L890" i="4"/>
  <c r="N889" i="4"/>
  <c r="M889" i="4"/>
  <c r="L889" i="4"/>
  <c r="N888" i="4"/>
  <c r="M888" i="4"/>
  <c r="L888" i="4"/>
  <c r="N887" i="4"/>
  <c r="M887" i="4"/>
  <c r="L887" i="4"/>
  <c r="N886" i="4"/>
  <c r="M886" i="4"/>
  <c r="L886" i="4"/>
  <c r="N885" i="4"/>
  <c r="M885" i="4"/>
  <c r="L885" i="4"/>
  <c r="N884" i="4"/>
  <c r="M884" i="4"/>
  <c r="L884" i="4"/>
  <c r="N883" i="4"/>
  <c r="M883" i="4"/>
  <c r="L883" i="4"/>
  <c r="N882" i="4"/>
  <c r="M882" i="4"/>
  <c r="L882" i="4"/>
  <c r="N881" i="4"/>
  <c r="M881" i="4"/>
  <c r="L881" i="4"/>
  <c r="N880" i="4"/>
  <c r="M880" i="4"/>
  <c r="L880" i="4"/>
  <c r="N879" i="4"/>
  <c r="M879" i="4"/>
  <c r="L879" i="4"/>
  <c r="N878" i="4"/>
  <c r="M878" i="4"/>
  <c r="L878" i="4"/>
  <c r="N877" i="4"/>
  <c r="M877" i="4"/>
  <c r="L877" i="4"/>
  <c r="N876" i="4"/>
  <c r="M876" i="4"/>
  <c r="L876" i="4"/>
  <c r="N875" i="4"/>
  <c r="M875" i="4"/>
  <c r="L875" i="4"/>
  <c r="N874" i="4"/>
  <c r="M874" i="4"/>
  <c r="L874" i="4"/>
  <c r="N873" i="4"/>
  <c r="M873" i="4"/>
  <c r="L873" i="4"/>
  <c r="N872" i="4"/>
  <c r="M872" i="4"/>
  <c r="L872" i="4"/>
  <c r="N871" i="4"/>
  <c r="M871" i="4"/>
  <c r="L871" i="4"/>
  <c r="N870" i="4"/>
  <c r="M870" i="4"/>
  <c r="L870" i="4"/>
  <c r="N869" i="4"/>
  <c r="M869" i="4"/>
  <c r="L869" i="4"/>
  <c r="N868" i="4"/>
  <c r="M868" i="4"/>
  <c r="L868" i="4"/>
  <c r="N867" i="4"/>
  <c r="M867" i="4"/>
  <c r="L867" i="4"/>
  <c r="N866" i="4"/>
  <c r="M866" i="4"/>
  <c r="L866" i="4"/>
  <c r="N865" i="4"/>
  <c r="M865" i="4"/>
  <c r="L865" i="4"/>
  <c r="N864" i="4"/>
  <c r="M864" i="4"/>
  <c r="L864" i="4"/>
  <c r="N863" i="4"/>
  <c r="M863" i="4"/>
  <c r="L863" i="4"/>
  <c r="N862" i="4"/>
  <c r="M862" i="4"/>
  <c r="L862" i="4"/>
  <c r="N861" i="4"/>
  <c r="M861" i="4"/>
  <c r="L861" i="4"/>
  <c r="N860" i="4"/>
  <c r="M860" i="4"/>
  <c r="L860" i="4"/>
  <c r="N859" i="4"/>
  <c r="M859" i="4"/>
  <c r="L859" i="4"/>
  <c r="N858" i="4"/>
  <c r="M858" i="4"/>
  <c r="L858" i="4"/>
  <c r="N857" i="4"/>
  <c r="M857" i="4"/>
  <c r="L857" i="4"/>
  <c r="N856" i="4"/>
  <c r="M856" i="4"/>
  <c r="L856" i="4"/>
  <c r="N855" i="4"/>
  <c r="M855" i="4"/>
  <c r="L855" i="4"/>
  <c r="N854" i="4"/>
  <c r="M854" i="4"/>
  <c r="L854" i="4"/>
  <c r="N853" i="4"/>
  <c r="M853" i="4"/>
  <c r="L853" i="4"/>
  <c r="N852" i="4"/>
  <c r="M852" i="4"/>
  <c r="L852" i="4"/>
  <c r="N851" i="4"/>
  <c r="M851" i="4"/>
  <c r="L851" i="4"/>
  <c r="N850" i="4"/>
  <c r="M850" i="4"/>
  <c r="L850" i="4"/>
  <c r="N849" i="4"/>
  <c r="M849" i="4"/>
  <c r="L849" i="4"/>
  <c r="N848" i="4"/>
  <c r="M848" i="4"/>
  <c r="L848" i="4"/>
  <c r="N847" i="4"/>
  <c r="M847" i="4"/>
  <c r="L847" i="4"/>
  <c r="N846" i="4"/>
  <c r="M846" i="4"/>
  <c r="L846" i="4"/>
  <c r="N845" i="4"/>
  <c r="M845" i="4"/>
  <c r="L845" i="4"/>
  <c r="N844" i="4"/>
  <c r="M844" i="4"/>
  <c r="L844" i="4"/>
  <c r="N843" i="4"/>
  <c r="M843" i="4"/>
  <c r="L843" i="4"/>
  <c r="N842" i="4"/>
  <c r="M842" i="4"/>
  <c r="L842" i="4"/>
  <c r="N841" i="4"/>
  <c r="M841" i="4"/>
  <c r="L841" i="4"/>
  <c r="N840" i="4"/>
  <c r="M840" i="4"/>
  <c r="L840" i="4"/>
  <c r="N839" i="4"/>
  <c r="M839" i="4"/>
  <c r="L839" i="4"/>
  <c r="N838" i="4"/>
  <c r="M838" i="4"/>
  <c r="L838" i="4"/>
  <c r="N837" i="4"/>
  <c r="M837" i="4"/>
  <c r="L837" i="4"/>
  <c r="N836" i="4"/>
  <c r="M836" i="4"/>
  <c r="L836" i="4"/>
  <c r="N835" i="4"/>
  <c r="M835" i="4"/>
  <c r="L835" i="4"/>
  <c r="N834" i="4"/>
  <c r="M834" i="4"/>
  <c r="L834" i="4"/>
  <c r="N833" i="4"/>
  <c r="M833" i="4"/>
  <c r="L833" i="4"/>
  <c r="N832" i="4"/>
  <c r="M832" i="4"/>
  <c r="L832" i="4"/>
  <c r="N831" i="4"/>
  <c r="M831" i="4"/>
  <c r="L831" i="4"/>
  <c r="N830" i="4"/>
  <c r="M830" i="4"/>
  <c r="L830" i="4"/>
  <c r="N829" i="4"/>
  <c r="M829" i="4"/>
  <c r="L829" i="4"/>
  <c r="N828" i="4"/>
  <c r="M828" i="4"/>
  <c r="L828" i="4"/>
  <c r="N827" i="4"/>
  <c r="M827" i="4"/>
  <c r="L827" i="4"/>
  <c r="N826" i="4"/>
  <c r="M826" i="4"/>
  <c r="L826" i="4"/>
  <c r="N825" i="4"/>
  <c r="M825" i="4"/>
  <c r="L825" i="4"/>
  <c r="N824" i="4"/>
  <c r="M824" i="4"/>
  <c r="L824" i="4"/>
  <c r="N823" i="4"/>
  <c r="M823" i="4"/>
  <c r="L823" i="4"/>
  <c r="N822" i="4"/>
  <c r="M822" i="4"/>
  <c r="L822" i="4"/>
  <c r="N821" i="4"/>
  <c r="M821" i="4"/>
  <c r="L821" i="4"/>
  <c r="N820" i="4"/>
  <c r="M820" i="4"/>
  <c r="L820" i="4"/>
  <c r="N819" i="4"/>
  <c r="M819" i="4"/>
  <c r="L819" i="4"/>
  <c r="N818" i="4"/>
  <c r="M818" i="4"/>
  <c r="L818" i="4"/>
  <c r="N817" i="4"/>
  <c r="M817" i="4"/>
  <c r="L817" i="4"/>
  <c r="N816" i="4"/>
  <c r="M816" i="4"/>
  <c r="L816" i="4"/>
  <c r="N815" i="4"/>
  <c r="M815" i="4"/>
  <c r="L815" i="4"/>
  <c r="N814" i="4"/>
  <c r="M814" i="4"/>
  <c r="L814" i="4"/>
  <c r="N813" i="4"/>
  <c r="M813" i="4"/>
  <c r="L813" i="4"/>
  <c r="N812" i="4"/>
  <c r="M812" i="4"/>
  <c r="L812" i="4"/>
  <c r="N811" i="4"/>
  <c r="M811" i="4"/>
  <c r="L811" i="4"/>
  <c r="N810" i="4"/>
  <c r="M810" i="4"/>
  <c r="L810" i="4"/>
  <c r="N809" i="4"/>
  <c r="M809" i="4"/>
  <c r="L809" i="4"/>
  <c r="N808" i="4"/>
  <c r="M808" i="4"/>
  <c r="L808" i="4"/>
  <c r="N807" i="4"/>
  <c r="M807" i="4"/>
  <c r="L807" i="4"/>
  <c r="N806" i="4"/>
  <c r="M806" i="4"/>
  <c r="L806" i="4"/>
  <c r="N805" i="4"/>
  <c r="M805" i="4"/>
  <c r="L805" i="4"/>
  <c r="N804" i="4"/>
  <c r="M804" i="4"/>
  <c r="L804" i="4"/>
  <c r="N803" i="4"/>
  <c r="M803" i="4"/>
  <c r="L803" i="4"/>
  <c r="N802" i="4"/>
  <c r="M802" i="4"/>
  <c r="L802" i="4"/>
  <c r="N801" i="4"/>
  <c r="M801" i="4"/>
  <c r="L801" i="4"/>
  <c r="N800" i="4"/>
  <c r="M800" i="4"/>
  <c r="L800" i="4"/>
  <c r="N799" i="4"/>
  <c r="M799" i="4"/>
  <c r="L799" i="4"/>
  <c r="N798" i="4"/>
  <c r="M798" i="4"/>
  <c r="L798" i="4"/>
  <c r="N797" i="4"/>
  <c r="M797" i="4"/>
  <c r="L797" i="4"/>
  <c r="N796" i="4"/>
  <c r="M796" i="4"/>
  <c r="L796" i="4"/>
  <c r="N795" i="4"/>
  <c r="M795" i="4"/>
  <c r="L795" i="4"/>
  <c r="N794" i="4"/>
  <c r="M794" i="4"/>
  <c r="L794" i="4"/>
  <c r="N793" i="4"/>
  <c r="M793" i="4"/>
  <c r="L793" i="4"/>
  <c r="N792" i="4"/>
  <c r="M792" i="4"/>
  <c r="L792" i="4"/>
  <c r="N791" i="4"/>
  <c r="M791" i="4"/>
  <c r="L791" i="4"/>
  <c r="N790" i="4"/>
  <c r="M790" i="4"/>
  <c r="L790" i="4"/>
  <c r="N789" i="4"/>
  <c r="M789" i="4"/>
  <c r="L789" i="4"/>
  <c r="N788" i="4"/>
  <c r="M788" i="4"/>
  <c r="L788" i="4"/>
  <c r="N787" i="4"/>
  <c r="M787" i="4"/>
  <c r="L787" i="4"/>
  <c r="N786" i="4"/>
  <c r="M786" i="4"/>
  <c r="L786" i="4"/>
  <c r="N785" i="4"/>
  <c r="M785" i="4"/>
  <c r="L785" i="4"/>
  <c r="N784" i="4"/>
  <c r="M784" i="4"/>
  <c r="L784" i="4"/>
  <c r="N783" i="4"/>
  <c r="M783" i="4"/>
  <c r="L783" i="4"/>
  <c r="N782" i="4"/>
  <c r="M782" i="4"/>
  <c r="L782" i="4"/>
  <c r="N781" i="4"/>
  <c r="M781" i="4"/>
  <c r="L781" i="4"/>
  <c r="N780" i="4"/>
  <c r="M780" i="4"/>
  <c r="L780" i="4"/>
  <c r="N779" i="4"/>
  <c r="M779" i="4"/>
  <c r="L779" i="4"/>
  <c r="N778" i="4"/>
  <c r="M778" i="4"/>
  <c r="L778" i="4"/>
  <c r="N777" i="4"/>
  <c r="M777" i="4"/>
  <c r="L777" i="4"/>
  <c r="N776" i="4"/>
  <c r="M776" i="4"/>
  <c r="L776" i="4"/>
  <c r="N775" i="4"/>
  <c r="M775" i="4"/>
  <c r="L775" i="4"/>
  <c r="N774" i="4"/>
  <c r="M774" i="4"/>
  <c r="L774" i="4"/>
  <c r="N773" i="4"/>
  <c r="M773" i="4"/>
  <c r="L773" i="4"/>
  <c r="N772" i="4"/>
  <c r="M772" i="4"/>
  <c r="L772" i="4"/>
  <c r="N771" i="4"/>
  <c r="M771" i="4"/>
  <c r="L771" i="4"/>
  <c r="N770" i="4"/>
  <c r="M770" i="4"/>
  <c r="L770" i="4"/>
  <c r="N769" i="4"/>
  <c r="M769" i="4"/>
  <c r="L769" i="4"/>
  <c r="N768" i="4"/>
  <c r="M768" i="4"/>
  <c r="L768" i="4"/>
  <c r="N767" i="4"/>
  <c r="M767" i="4"/>
  <c r="L767" i="4"/>
  <c r="N766" i="4"/>
  <c r="M766" i="4"/>
  <c r="L766" i="4"/>
  <c r="N765" i="4"/>
  <c r="M765" i="4"/>
  <c r="L765" i="4"/>
  <c r="N764" i="4"/>
  <c r="M764" i="4"/>
  <c r="L764" i="4"/>
  <c r="N763" i="4"/>
  <c r="M763" i="4"/>
  <c r="L763" i="4"/>
  <c r="N762" i="4"/>
  <c r="M762" i="4"/>
  <c r="L762" i="4"/>
  <c r="N761" i="4"/>
  <c r="M761" i="4"/>
  <c r="L761" i="4"/>
  <c r="N760" i="4"/>
  <c r="M760" i="4"/>
  <c r="L760" i="4"/>
  <c r="N759" i="4"/>
  <c r="M759" i="4"/>
  <c r="L759" i="4"/>
  <c r="N758" i="4"/>
  <c r="M758" i="4"/>
  <c r="L758" i="4"/>
  <c r="N757" i="4"/>
  <c r="M757" i="4"/>
  <c r="L757" i="4"/>
  <c r="N756" i="4"/>
  <c r="M756" i="4"/>
  <c r="L756" i="4"/>
  <c r="N755" i="4"/>
  <c r="M755" i="4"/>
  <c r="L755" i="4"/>
  <c r="N754" i="4"/>
  <c r="M754" i="4"/>
  <c r="L754" i="4"/>
  <c r="N753" i="4"/>
  <c r="M753" i="4"/>
  <c r="L753" i="4"/>
  <c r="N752" i="4"/>
  <c r="M752" i="4"/>
  <c r="L752" i="4"/>
  <c r="N751" i="4"/>
  <c r="M751" i="4"/>
  <c r="L751" i="4"/>
  <c r="N750" i="4"/>
  <c r="M750" i="4"/>
  <c r="L750" i="4"/>
  <c r="N749" i="4"/>
  <c r="M749" i="4"/>
  <c r="L749" i="4"/>
  <c r="N748" i="4"/>
  <c r="M748" i="4"/>
  <c r="L748" i="4"/>
  <c r="N747" i="4"/>
  <c r="M747" i="4"/>
  <c r="L747" i="4"/>
  <c r="N746" i="4"/>
  <c r="M746" i="4"/>
  <c r="L746" i="4"/>
  <c r="N745" i="4"/>
  <c r="M745" i="4"/>
  <c r="L745" i="4"/>
  <c r="N744" i="4"/>
  <c r="M744" i="4"/>
  <c r="L744" i="4"/>
  <c r="N743" i="4"/>
  <c r="M743" i="4"/>
  <c r="L743" i="4"/>
  <c r="N742" i="4"/>
  <c r="M742" i="4"/>
  <c r="L742" i="4"/>
  <c r="N741" i="4"/>
  <c r="M741" i="4"/>
  <c r="L741" i="4"/>
  <c r="N740" i="4"/>
  <c r="M740" i="4"/>
  <c r="L740" i="4"/>
  <c r="N739" i="4"/>
  <c r="M739" i="4"/>
  <c r="L739" i="4"/>
  <c r="N738" i="4"/>
  <c r="M738" i="4"/>
  <c r="L738" i="4"/>
  <c r="N737" i="4"/>
  <c r="M737" i="4"/>
  <c r="L737" i="4"/>
  <c r="N736" i="4"/>
  <c r="M736" i="4"/>
  <c r="L736" i="4"/>
  <c r="N735" i="4"/>
  <c r="M735" i="4"/>
  <c r="L735" i="4"/>
  <c r="N734" i="4"/>
  <c r="M734" i="4"/>
  <c r="L734" i="4"/>
  <c r="N733" i="4"/>
  <c r="M733" i="4"/>
  <c r="L733" i="4"/>
  <c r="N732" i="4"/>
  <c r="M732" i="4"/>
  <c r="L732" i="4"/>
  <c r="N731" i="4"/>
  <c r="M731" i="4"/>
  <c r="L731" i="4"/>
  <c r="N730" i="4"/>
  <c r="M730" i="4"/>
  <c r="L730" i="4"/>
  <c r="N729" i="4"/>
  <c r="M729" i="4"/>
  <c r="L729" i="4"/>
  <c r="N728" i="4"/>
  <c r="M728" i="4"/>
  <c r="L728" i="4"/>
  <c r="N727" i="4"/>
  <c r="M727" i="4"/>
  <c r="L727" i="4"/>
  <c r="N726" i="4"/>
  <c r="M726" i="4"/>
  <c r="L726" i="4"/>
  <c r="N725" i="4"/>
  <c r="M725" i="4"/>
  <c r="L725" i="4"/>
  <c r="N724" i="4"/>
  <c r="M724" i="4"/>
  <c r="L724" i="4"/>
  <c r="N723" i="4"/>
  <c r="M723" i="4"/>
  <c r="L723" i="4"/>
  <c r="N722" i="4"/>
  <c r="M722" i="4"/>
  <c r="L722" i="4"/>
  <c r="N721" i="4"/>
  <c r="M721" i="4"/>
  <c r="L721" i="4"/>
  <c r="N720" i="4"/>
  <c r="M720" i="4"/>
  <c r="L720" i="4"/>
  <c r="N719" i="4"/>
  <c r="M719" i="4"/>
  <c r="L719" i="4"/>
  <c r="N718" i="4"/>
  <c r="M718" i="4"/>
  <c r="L718" i="4"/>
  <c r="N717" i="4"/>
  <c r="M717" i="4"/>
  <c r="L717" i="4"/>
  <c r="N716" i="4"/>
  <c r="M716" i="4"/>
  <c r="L716" i="4"/>
  <c r="N715" i="4"/>
  <c r="M715" i="4"/>
  <c r="L715" i="4"/>
  <c r="N714" i="4"/>
  <c r="M714" i="4"/>
  <c r="L714" i="4"/>
  <c r="N713" i="4"/>
  <c r="M713" i="4"/>
  <c r="L713" i="4"/>
  <c r="N712" i="4"/>
  <c r="M712" i="4"/>
  <c r="L712" i="4"/>
  <c r="N711" i="4"/>
  <c r="M711" i="4"/>
  <c r="L711" i="4"/>
  <c r="N710" i="4"/>
  <c r="M710" i="4"/>
  <c r="L710" i="4"/>
  <c r="N709" i="4"/>
  <c r="M709" i="4"/>
  <c r="L709" i="4"/>
  <c r="N708" i="4"/>
  <c r="M708" i="4"/>
  <c r="L708" i="4"/>
  <c r="N707" i="4"/>
  <c r="M707" i="4"/>
  <c r="L707" i="4"/>
  <c r="N706" i="4"/>
  <c r="M706" i="4"/>
  <c r="L706" i="4"/>
  <c r="N705" i="4"/>
  <c r="M705" i="4"/>
  <c r="L705" i="4"/>
  <c r="N704" i="4"/>
  <c r="M704" i="4"/>
  <c r="L704" i="4"/>
  <c r="N703" i="4"/>
  <c r="M703" i="4"/>
  <c r="L703" i="4"/>
  <c r="N702" i="4"/>
  <c r="M702" i="4"/>
  <c r="L702" i="4"/>
  <c r="N701" i="4"/>
  <c r="M701" i="4"/>
  <c r="L701" i="4"/>
  <c r="N700" i="4"/>
  <c r="M700" i="4"/>
  <c r="L700" i="4"/>
  <c r="N699" i="4"/>
  <c r="M699" i="4"/>
  <c r="L699" i="4"/>
  <c r="N698" i="4"/>
  <c r="M698" i="4"/>
  <c r="L698" i="4"/>
  <c r="N697" i="4"/>
  <c r="M697" i="4"/>
  <c r="L697" i="4"/>
  <c r="N696" i="4"/>
  <c r="M696" i="4"/>
  <c r="L696" i="4"/>
  <c r="N695" i="4"/>
  <c r="M695" i="4"/>
  <c r="L695" i="4"/>
  <c r="N694" i="4"/>
  <c r="M694" i="4"/>
  <c r="L694" i="4"/>
  <c r="N693" i="4"/>
  <c r="M693" i="4"/>
  <c r="L693" i="4"/>
  <c r="N692" i="4"/>
  <c r="M692" i="4"/>
  <c r="L692" i="4"/>
  <c r="N691" i="4"/>
  <c r="M691" i="4"/>
  <c r="L691" i="4"/>
  <c r="N690" i="4"/>
  <c r="M690" i="4"/>
  <c r="L690" i="4"/>
  <c r="N689" i="4"/>
  <c r="M689" i="4"/>
  <c r="L689" i="4"/>
  <c r="N688" i="4"/>
  <c r="M688" i="4"/>
  <c r="L688" i="4"/>
  <c r="N687" i="4"/>
  <c r="M687" i="4"/>
  <c r="L687" i="4"/>
  <c r="N686" i="4"/>
  <c r="M686" i="4"/>
  <c r="L686" i="4"/>
  <c r="N685" i="4"/>
  <c r="M685" i="4"/>
  <c r="L685" i="4"/>
  <c r="N684" i="4"/>
  <c r="M684" i="4"/>
  <c r="L684" i="4"/>
  <c r="N683" i="4"/>
  <c r="M683" i="4"/>
  <c r="L683" i="4"/>
  <c r="N682" i="4"/>
  <c r="M682" i="4"/>
  <c r="L682" i="4"/>
  <c r="N681" i="4"/>
  <c r="M681" i="4"/>
  <c r="L681" i="4"/>
  <c r="N680" i="4"/>
  <c r="M680" i="4"/>
  <c r="L680" i="4"/>
  <c r="N679" i="4"/>
  <c r="M679" i="4"/>
  <c r="L679" i="4"/>
  <c r="N678" i="4"/>
  <c r="M678" i="4"/>
  <c r="L678" i="4"/>
  <c r="N677" i="4"/>
  <c r="M677" i="4"/>
  <c r="L677" i="4"/>
  <c r="N676" i="4"/>
  <c r="M676" i="4"/>
  <c r="L676" i="4"/>
  <c r="N675" i="4"/>
  <c r="M675" i="4"/>
  <c r="L675" i="4"/>
  <c r="N674" i="4"/>
  <c r="M674" i="4"/>
  <c r="L674" i="4"/>
  <c r="N673" i="4"/>
  <c r="M673" i="4"/>
  <c r="L673" i="4"/>
  <c r="N672" i="4"/>
  <c r="M672" i="4"/>
  <c r="L672" i="4"/>
  <c r="N671" i="4"/>
  <c r="M671" i="4"/>
  <c r="L671" i="4"/>
  <c r="N670" i="4"/>
  <c r="M670" i="4"/>
  <c r="L670" i="4"/>
  <c r="N669" i="4"/>
  <c r="M669" i="4"/>
  <c r="L669" i="4"/>
  <c r="N668" i="4"/>
  <c r="M668" i="4"/>
  <c r="L668" i="4"/>
  <c r="N667" i="4"/>
  <c r="M667" i="4"/>
  <c r="L667" i="4"/>
  <c r="N666" i="4"/>
  <c r="M666" i="4"/>
  <c r="L666" i="4"/>
  <c r="N665" i="4"/>
  <c r="M665" i="4"/>
  <c r="L665" i="4"/>
  <c r="N664" i="4"/>
  <c r="M664" i="4"/>
  <c r="L664" i="4"/>
  <c r="N663" i="4"/>
  <c r="M663" i="4"/>
  <c r="L663" i="4"/>
  <c r="N662" i="4"/>
  <c r="M662" i="4"/>
  <c r="L662" i="4"/>
  <c r="N661" i="4"/>
  <c r="M661" i="4"/>
  <c r="L661" i="4"/>
  <c r="N660" i="4"/>
  <c r="M660" i="4"/>
  <c r="L660" i="4"/>
  <c r="N659" i="4"/>
  <c r="M659" i="4"/>
  <c r="L659" i="4"/>
  <c r="N658" i="4"/>
  <c r="M658" i="4"/>
  <c r="L658" i="4"/>
  <c r="N657" i="4"/>
  <c r="M657" i="4"/>
  <c r="L657" i="4"/>
  <c r="N656" i="4"/>
  <c r="M656" i="4"/>
  <c r="L656" i="4"/>
  <c r="N655" i="4"/>
  <c r="M655" i="4"/>
  <c r="L655" i="4"/>
  <c r="N654" i="4"/>
  <c r="M654" i="4"/>
  <c r="L654" i="4"/>
  <c r="N653" i="4"/>
  <c r="M653" i="4"/>
  <c r="L653" i="4"/>
  <c r="N652" i="4"/>
  <c r="M652" i="4"/>
  <c r="L652" i="4"/>
  <c r="N651" i="4"/>
  <c r="M651" i="4"/>
  <c r="L651" i="4"/>
  <c r="N650" i="4"/>
  <c r="M650" i="4"/>
  <c r="L650" i="4"/>
  <c r="N649" i="4"/>
  <c r="M649" i="4"/>
  <c r="L649" i="4"/>
  <c r="N648" i="4"/>
  <c r="M648" i="4"/>
  <c r="L648" i="4"/>
  <c r="N647" i="4"/>
  <c r="M647" i="4"/>
  <c r="L647" i="4"/>
  <c r="N646" i="4"/>
  <c r="M646" i="4"/>
  <c r="L646" i="4"/>
  <c r="N645" i="4"/>
  <c r="M645" i="4"/>
  <c r="L645" i="4"/>
  <c r="N644" i="4"/>
  <c r="M644" i="4"/>
  <c r="L644" i="4"/>
  <c r="N643" i="4"/>
  <c r="M643" i="4"/>
  <c r="L643" i="4"/>
  <c r="N642" i="4"/>
  <c r="M642" i="4"/>
  <c r="L642" i="4"/>
  <c r="N641" i="4"/>
  <c r="M641" i="4"/>
  <c r="L641" i="4"/>
  <c r="N640" i="4"/>
  <c r="M640" i="4"/>
  <c r="L640" i="4"/>
  <c r="N639" i="4"/>
  <c r="M639" i="4"/>
  <c r="L639" i="4"/>
  <c r="N638" i="4"/>
  <c r="M638" i="4"/>
  <c r="L638" i="4"/>
  <c r="N637" i="4"/>
  <c r="M637" i="4"/>
  <c r="L637" i="4"/>
  <c r="N636" i="4"/>
  <c r="M636" i="4"/>
  <c r="L636" i="4"/>
  <c r="N635" i="4"/>
  <c r="M635" i="4"/>
  <c r="L635" i="4"/>
  <c r="N634" i="4"/>
  <c r="M634" i="4"/>
  <c r="L634" i="4"/>
  <c r="N633" i="4"/>
  <c r="M633" i="4"/>
  <c r="L633" i="4"/>
  <c r="N632" i="4"/>
  <c r="M632" i="4"/>
  <c r="L632" i="4"/>
  <c r="N631" i="4"/>
  <c r="M631" i="4"/>
  <c r="L631" i="4"/>
  <c r="N630" i="4"/>
  <c r="M630" i="4"/>
  <c r="L630" i="4"/>
  <c r="N629" i="4"/>
  <c r="M629" i="4"/>
  <c r="L629" i="4"/>
  <c r="N628" i="4"/>
  <c r="M628" i="4"/>
  <c r="L628" i="4"/>
  <c r="N627" i="4"/>
  <c r="M627" i="4"/>
  <c r="L627" i="4"/>
  <c r="N626" i="4"/>
  <c r="M626" i="4"/>
  <c r="L626" i="4"/>
  <c r="N625" i="4"/>
  <c r="M625" i="4"/>
  <c r="L625" i="4"/>
  <c r="N624" i="4"/>
  <c r="M624" i="4"/>
  <c r="L624" i="4"/>
  <c r="N623" i="4"/>
  <c r="M623" i="4"/>
  <c r="L623" i="4"/>
  <c r="N622" i="4"/>
  <c r="M622" i="4"/>
  <c r="L622" i="4"/>
  <c r="N621" i="4"/>
  <c r="M621" i="4"/>
  <c r="L621" i="4"/>
  <c r="N620" i="4"/>
  <c r="M620" i="4"/>
  <c r="L620" i="4"/>
  <c r="N619" i="4"/>
  <c r="M619" i="4"/>
  <c r="L619" i="4"/>
  <c r="N618" i="4"/>
  <c r="M618" i="4"/>
  <c r="L618" i="4"/>
  <c r="N617" i="4"/>
  <c r="M617" i="4"/>
  <c r="L617" i="4"/>
  <c r="N616" i="4"/>
  <c r="M616" i="4"/>
  <c r="L616" i="4"/>
  <c r="N615" i="4"/>
  <c r="M615" i="4"/>
  <c r="L615" i="4"/>
  <c r="N614" i="4"/>
  <c r="M614" i="4"/>
  <c r="L614" i="4"/>
  <c r="N613" i="4"/>
  <c r="M613" i="4"/>
  <c r="L613" i="4"/>
  <c r="N612" i="4"/>
  <c r="M612" i="4"/>
  <c r="L612" i="4"/>
  <c r="N611" i="4"/>
  <c r="M611" i="4"/>
  <c r="L611" i="4"/>
  <c r="N610" i="4"/>
  <c r="M610" i="4"/>
  <c r="L610" i="4"/>
  <c r="N609" i="4"/>
  <c r="M609" i="4"/>
  <c r="L609" i="4"/>
  <c r="N608" i="4"/>
  <c r="M608" i="4"/>
  <c r="L608" i="4"/>
  <c r="N607" i="4"/>
  <c r="M607" i="4"/>
  <c r="L607" i="4"/>
  <c r="N606" i="4"/>
  <c r="M606" i="4"/>
  <c r="L606" i="4"/>
  <c r="N605" i="4"/>
  <c r="M605" i="4"/>
  <c r="L605" i="4"/>
  <c r="N604" i="4"/>
  <c r="M604" i="4"/>
  <c r="L604" i="4"/>
  <c r="N603" i="4"/>
  <c r="M603" i="4"/>
  <c r="L603" i="4"/>
  <c r="N602" i="4"/>
  <c r="M602" i="4"/>
  <c r="L602" i="4"/>
  <c r="N601" i="4"/>
  <c r="M601" i="4"/>
  <c r="L601" i="4"/>
  <c r="N600" i="4"/>
  <c r="M600" i="4"/>
  <c r="L600" i="4"/>
  <c r="N599" i="4"/>
  <c r="M599" i="4"/>
  <c r="L599" i="4"/>
  <c r="N598" i="4"/>
  <c r="M598" i="4"/>
  <c r="L598" i="4"/>
  <c r="N597" i="4"/>
  <c r="M597" i="4"/>
  <c r="L597" i="4"/>
  <c r="N596" i="4"/>
  <c r="M596" i="4"/>
  <c r="L596" i="4"/>
  <c r="N595" i="4"/>
  <c r="M595" i="4"/>
  <c r="L595" i="4"/>
  <c r="N594" i="4"/>
  <c r="M594" i="4"/>
  <c r="L594" i="4"/>
  <c r="N593" i="4"/>
  <c r="M593" i="4"/>
  <c r="L593" i="4"/>
  <c r="N592" i="4"/>
  <c r="M592" i="4"/>
  <c r="L592" i="4"/>
  <c r="N591" i="4"/>
  <c r="M591" i="4"/>
  <c r="L591" i="4"/>
  <c r="N590" i="4"/>
  <c r="M590" i="4"/>
  <c r="L590" i="4"/>
  <c r="N589" i="4"/>
  <c r="M589" i="4"/>
  <c r="L589" i="4"/>
  <c r="N588" i="4"/>
  <c r="M588" i="4"/>
  <c r="L588" i="4"/>
  <c r="N587" i="4"/>
  <c r="M587" i="4"/>
  <c r="L587" i="4"/>
  <c r="N586" i="4"/>
  <c r="M586" i="4"/>
  <c r="L586" i="4"/>
  <c r="N585" i="4"/>
  <c r="M585" i="4"/>
  <c r="L585" i="4"/>
  <c r="N584" i="4"/>
  <c r="M584" i="4"/>
  <c r="L584" i="4"/>
  <c r="N583" i="4"/>
  <c r="M583" i="4"/>
  <c r="L583" i="4"/>
  <c r="N582" i="4"/>
  <c r="M582" i="4"/>
  <c r="L582" i="4"/>
  <c r="N581" i="4"/>
  <c r="M581" i="4"/>
  <c r="L581" i="4"/>
  <c r="N580" i="4"/>
  <c r="M580" i="4"/>
  <c r="L580" i="4"/>
  <c r="N579" i="4"/>
  <c r="M579" i="4"/>
  <c r="L579" i="4"/>
  <c r="N578" i="4"/>
  <c r="M578" i="4"/>
  <c r="L578" i="4"/>
  <c r="N577" i="4"/>
  <c r="M577" i="4"/>
  <c r="L577" i="4"/>
  <c r="N576" i="4"/>
  <c r="M576" i="4"/>
  <c r="L576" i="4"/>
  <c r="N575" i="4"/>
  <c r="M575" i="4"/>
  <c r="L575" i="4"/>
  <c r="N574" i="4"/>
  <c r="M574" i="4"/>
  <c r="L574" i="4"/>
  <c r="N573" i="4"/>
  <c r="M573" i="4"/>
  <c r="L573" i="4"/>
  <c r="N572" i="4"/>
  <c r="M572" i="4"/>
  <c r="L572" i="4"/>
  <c r="N571" i="4"/>
  <c r="M571" i="4"/>
  <c r="L571" i="4"/>
  <c r="N570" i="4"/>
  <c r="M570" i="4"/>
  <c r="L570" i="4"/>
  <c r="N569" i="4"/>
  <c r="M569" i="4"/>
  <c r="L569" i="4"/>
  <c r="N568" i="4"/>
  <c r="M568" i="4"/>
  <c r="L568" i="4"/>
  <c r="N567" i="4"/>
  <c r="M567" i="4"/>
  <c r="L567" i="4"/>
  <c r="N566" i="4"/>
  <c r="M566" i="4"/>
  <c r="L566" i="4"/>
  <c r="N565" i="4"/>
  <c r="M565" i="4"/>
  <c r="L565" i="4"/>
  <c r="N564" i="4"/>
  <c r="M564" i="4"/>
  <c r="L564" i="4"/>
  <c r="N563" i="4"/>
  <c r="M563" i="4"/>
  <c r="L563" i="4"/>
  <c r="N562" i="4"/>
  <c r="M562" i="4"/>
  <c r="L562" i="4"/>
  <c r="N561" i="4"/>
  <c r="M561" i="4"/>
  <c r="L561" i="4"/>
  <c r="N560" i="4"/>
  <c r="M560" i="4"/>
  <c r="L560" i="4"/>
  <c r="N559" i="4"/>
  <c r="M559" i="4"/>
  <c r="L559" i="4"/>
  <c r="N558" i="4"/>
  <c r="M558" i="4"/>
  <c r="L558" i="4"/>
  <c r="N557" i="4"/>
  <c r="M557" i="4"/>
  <c r="L557" i="4"/>
  <c r="N556" i="4"/>
  <c r="M556" i="4"/>
  <c r="L556" i="4"/>
  <c r="N555" i="4"/>
  <c r="M555" i="4"/>
  <c r="L555" i="4"/>
  <c r="N554" i="4"/>
  <c r="M554" i="4"/>
  <c r="L554" i="4"/>
  <c r="N553" i="4"/>
  <c r="M553" i="4"/>
  <c r="L553" i="4"/>
  <c r="N552" i="4"/>
  <c r="M552" i="4"/>
  <c r="L552" i="4"/>
  <c r="N551" i="4"/>
  <c r="M551" i="4"/>
  <c r="L551" i="4"/>
  <c r="N550" i="4"/>
  <c r="M550" i="4"/>
  <c r="L550" i="4"/>
  <c r="N549" i="4"/>
  <c r="M549" i="4"/>
  <c r="L549" i="4"/>
  <c r="N548" i="4"/>
  <c r="M548" i="4"/>
  <c r="L548" i="4"/>
  <c r="N547" i="4"/>
  <c r="M547" i="4"/>
  <c r="L547" i="4"/>
  <c r="N546" i="4"/>
  <c r="M546" i="4"/>
  <c r="L546" i="4"/>
  <c r="N545" i="4"/>
  <c r="M545" i="4"/>
  <c r="L545" i="4"/>
  <c r="N544" i="4"/>
  <c r="M544" i="4"/>
  <c r="L544" i="4"/>
  <c r="N543" i="4"/>
  <c r="M543" i="4"/>
  <c r="L543" i="4"/>
  <c r="N542" i="4"/>
  <c r="M542" i="4"/>
  <c r="L542" i="4"/>
  <c r="N541" i="4"/>
  <c r="M541" i="4"/>
  <c r="L541" i="4"/>
  <c r="N540" i="4"/>
  <c r="M540" i="4"/>
  <c r="L540" i="4"/>
  <c r="N539" i="4"/>
  <c r="M539" i="4"/>
  <c r="L539" i="4"/>
  <c r="N538" i="4"/>
  <c r="M538" i="4"/>
  <c r="L538" i="4"/>
  <c r="N537" i="4"/>
  <c r="M537" i="4"/>
  <c r="L537" i="4"/>
  <c r="N536" i="4"/>
  <c r="M536" i="4"/>
  <c r="L536" i="4"/>
  <c r="N535" i="4"/>
  <c r="M535" i="4"/>
  <c r="L535" i="4"/>
  <c r="N534" i="4"/>
  <c r="M534" i="4"/>
  <c r="L534" i="4"/>
  <c r="N533" i="4"/>
  <c r="M533" i="4"/>
  <c r="L533" i="4"/>
  <c r="N532" i="4"/>
  <c r="M532" i="4"/>
  <c r="L532" i="4"/>
  <c r="N531" i="4"/>
  <c r="M531" i="4"/>
  <c r="L531" i="4"/>
  <c r="N530" i="4"/>
  <c r="M530" i="4"/>
  <c r="L530" i="4"/>
  <c r="N529" i="4"/>
  <c r="M529" i="4"/>
  <c r="L529" i="4"/>
  <c r="N528" i="4"/>
  <c r="M528" i="4"/>
  <c r="L528" i="4"/>
  <c r="N527" i="4"/>
  <c r="M527" i="4"/>
  <c r="L527" i="4"/>
  <c r="N526" i="4"/>
  <c r="M526" i="4"/>
  <c r="L526" i="4"/>
  <c r="N525" i="4"/>
  <c r="M525" i="4"/>
  <c r="L525" i="4"/>
  <c r="N524" i="4"/>
  <c r="M524" i="4"/>
  <c r="L524" i="4"/>
  <c r="N523" i="4"/>
  <c r="M523" i="4"/>
  <c r="L523" i="4"/>
  <c r="N522" i="4"/>
  <c r="M522" i="4"/>
  <c r="L522" i="4"/>
  <c r="N521" i="4"/>
  <c r="M521" i="4"/>
  <c r="L521" i="4"/>
  <c r="N520" i="4"/>
  <c r="M520" i="4"/>
  <c r="L520" i="4"/>
  <c r="N519" i="4"/>
  <c r="M519" i="4"/>
  <c r="L519" i="4"/>
  <c r="N518" i="4"/>
  <c r="M518" i="4"/>
  <c r="L518" i="4"/>
  <c r="N517" i="4"/>
  <c r="M517" i="4"/>
  <c r="L517" i="4"/>
  <c r="N516" i="4"/>
  <c r="M516" i="4"/>
  <c r="L516" i="4"/>
  <c r="N515" i="4"/>
  <c r="M515" i="4"/>
  <c r="L515" i="4"/>
  <c r="N514" i="4"/>
  <c r="M514" i="4"/>
  <c r="L514" i="4"/>
  <c r="N513" i="4"/>
  <c r="M513" i="4"/>
  <c r="L513" i="4"/>
  <c r="N512" i="4"/>
  <c r="M512" i="4"/>
  <c r="L512" i="4"/>
  <c r="N511" i="4"/>
  <c r="M511" i="4"/>
  <c r="L511" i="4"/>
  <c r="N510" i="4"/>
  <c r="M510" i="4"/>
  <c r="L510" i="4"/>
  <c r="N509" i="4"/>
  <c r="M509" i="4"/>
  <c r="L509" i="4"/>
  <c r="N508" i="4"/>
  <c r="M508" i="4"/>
  <c r="L508" i="4"/>
  <c r="N507" i="4"/>
  <c r="M507" i="4"/>
  <c r="L507" i="4"/>
  <c r="N506" i="4"/>
  <c r="M506" i="4"/>
  <c r="L506" i="4"/>
  <c r="N505" i="4"/>
  <c r="M505" i="4"/>
  <c r="L505" i="4"/>
  <c r="N504" i="4"/>
  <c r="M504" i="4"/>
  <c r="L504" i="4"/>
  <c r="N503" i="4"/>
  <c r="M503" i="4"/>
  <c r="L503" i="4"/>
  <c r="N502" i="4"/>
  <c r="M502" i="4"/>
  <c r="L502" i="4"/>
  <c r="N501" i="4"/>
  <c r="M501" i="4"/>
  <c r="L501" i="4"/>
  <c r="N500" i="4"/>
  <c r="M500" i="4"/>
  <c r="L500" i="4"/>
  <c r="N499" i="4"/>
  <c r="M499" i="4"/>
  <c r="L499" i="4"/>
  <c r="N498" i="4"/>
  <c r="M498" i="4"/>
  <c r="L498" i="4"/>
  <c r="N497" i="4"/>
  <c r="M497" i="4"/>
  <c r="L497" i="4"/>
  <c r="N496" i="4"/>
  <c r="M496" i="4"/>
  <c r="L496" i="4"/>
  <c r="N495" i="4"/>
  <c r="M495" i="4"/>
  <c r="L495" i="4"/>
  <c r="N494" i="4"/>
  <c r="M494" i="4"/>
  <c r="L494" i="4"/>
  <c r="N493" i="4"/>
  <c r="M493" i="4"/>
  <c r="L493" i="4"/>
  <c r="N492" i="4"/>
  <c r="M492" i="4"/>
  <c r="L492" i="4"/>
  <c r="N491" i="4"/>
  <c r="M491" i="4"/>
  <c r="L491" i="4"/>
  <c r="N490" i="4"/>
  <c r="M490" i="4"/>
  <c r="L490" i="4"/>
  <c r="N489" i="4"/>
  <c r="M489" i="4"/>
  <c r="L489" i="4"/>
  <c r="N488" i="4"/>
  <c r="M488" i="4"/>
  <c r="L488" i="4"/>
  <c r="N487" i="4"/>
  <c r="M487" i="4"/>
  <c r="L487" i="4"/>
  <c r="N486" i="4"/>
  <c r="M486" i="4"/>
  <c r="L486" i="4"/>
  <c r="N485" i="4"/>
  <c r="M485" i="4"/>
  <c r="L485" i="4"/>
  <c r="N484" i="4"/>
  <c r="M484" i="4"/>
  <c r="L484" i="4"/>
  <c r="N483" i="4"/>
  <c r="M483" i="4"/>
  <c r="L483" i="4"/>
  <c r="N482" i="4"/>
  <c r="M482" i="4"/>
  <c r="L482" i="4"/>
  <c r="N481" i="4"/>
  <c r="M481" i="4"/>
  <c r="L481" i="4"/>
  <c r="N480" i="4"/>
  <c r="M480" i="4"/>
  <c r="L480" i="4"/>
  <c r="N479" i="4"/>
  <c r="M479" i="4"/>
  <c r="L479" i="4"/>
  <c r="N478" i="4"/>
  <c r="M478" i="4"/>
  <c r="L478" i="4"/>
  <c r="N477" i="4"/>
  <c r="M477" i="4"/>
  <c r="L477" i="4"/>
  <c r="N476" i="4"/>
  <c r="M476" i="4"/>
  <c r="L476" i="4"/>
  <c r="N475" i="4"/>
  <c r="M475" i="4"/>
  <c r="L475" i="4"/>
  <c r="N474" i="4"/>
  <c r="M474" i="4"/>
  <c r="L474" i="4"/>
  <c r="N473" i="4"/>
  <c r="M473" i="4"/>
  <c r="L473" i="4"/>
  <c r="N472" i="4"/>
  <c r="M472" i="4"/>
  <c r="L472" i="4"/>
  <c r="N471" i="4"/>
  <c r="M471" i="4"/>
  <c r="L471" i="4"/>
  <c r="N470" i="4"/>
  <c r="M470" i="4"/>
  <c r="L470" i="4"/>
  <c r="N469" i="4"/>
  <c r="M469" i="4"/>
  <c r="L469" i="4"/>
  <c r="N468" i="4"/>
  <c r="M468" i="4"/>
  <c r="L468" i="4"/>
  <c r="N467" i="4"/>
  <c r="M467" i="4"/>
  <c r="L467" i="4"/>
  <c r="N466" i="4"/>
  <c r="M466" i="4"/>
  <c r="L466" i="4"/>
  <c r="N465" i="4"/>
  <c r="M465" i="4"/>
  <c r="L465" i="4"/>
  <c r="N464" i="4"/>
  <c r="M464" i="4"/>
  <c r="L464" i="4"/>
  <c r="N463" i="4"/>
  <c r="M463" i="4"/>
  <c r="L463" i="4"/>
  <c r="N462" i="4"/>
  <c r="M462" i="4"/>
  <c r="L462" i="4"/>
  <c r="N461" i="4"/>
  <c r="M461" i="4"/>
  <c r="L461" i="4"/>
  <c r="N460" i="4"/>
  <c r="M460" i="4"/>
  <c r="L460" i="4"/>
  <c r="N459" i="4"/>
  <c r="M459" i="4"/>
  <c r="L459" i="4"/>
  <c r="N458" i="4"/>
  <c r="M458" i="4"/>
  <c r="L458" i="4"/>
  <c r="N457" i="4"/>
  <c r="M457" i="4"/>
  <c r="L457" i="4"/>
  <c r="N456" i="4"/>
  <c r="M456" i="4"/>
  <c r="L456" i="4"/>
  <c r="N455" i="4"/>
  <c r="M455" i="4"/>
  <c r="L455" i="4"/>
  <c r="N454" i="4"/>
  <c r="M454" i="4"/>
  <c r="L454" i="4"/>
  <c r="N453" i="4"/>
  <c r="M453" i="4"/>
  <c r="L453" i="4"/>
  <c r="N452" i="4"/>
  <c r="M452" i="4"/>
  <c r="L452" i="4"/>
  <c r="N451" i="4"/>
  <c r="M451" i="4"/>
  <c r="L451" i="4"/>
  <c r="N450" i="4"/>
  <c r="M450" i="4"/>
  <c r="L450" i="4"/>
  <c r="N449" i="4"/>
  <c r="M449" i="4"/>
  <c r="L449" i="4"/>
  <c r="N448" i="4"/>
  <c r="M448" i="4"/>
  <c r="L448" i="4"/>
  <c r="N447" i="4"/>
  <c r="M447" i="4"/>
  <c r="L447" i="4"/>
  <c r="N446" i="4"/>
  <c r="M446" i="4"/>
  <c r="L446" i="4"/>
  <c r="N445" i="4"/>
  <c r="M445" i="4"/>
  <c r="L445" i="4"/>
  <c r="N444" i="4"/>
  <c r="M444" i="4"/>
  <c r="L444" i="4"/>
  <c r="N443" i="4"/>
  <c r="M443" i="4"/>
  <c r="L443" i="4"/>
  <c r="N442" i="4"/>
  <c r="M442" i="4"/>
  <c r="L442" i="4"/>
  <c r="N441" i="4"/>
  <c r="M441" i="4"/>
  <c r="L441" i="4"/>
  <c r="N440" i="4"/>
  <c r="M440" i="4"/>
  <c r="L440" i="4"/>
  <c r="N439" i="4"/>
  <c r="M439" i="4"/>
  <c r="L439" i="4"/>
  <c r="N438" i="4"/>
  <c r="M438" i="4"/>
  <c r="L438" i="4"/>
  <c r="N437" i="4"/>
  <c r="M437" i="4"/>
  <c r="L437" i="4"/>
  <c r="N436" i="4"/>
  <c r="M436" i="4"/>
  <c r="L436" i="4"/>
  <c r="N435" i="4"/>
  <c r="M435" i="4"/>
  <c r="L435" i="4"/>
  <c r="N434" i="4"/>
  <c r="M434" i="4"/>
  <c r="L434" i="4"/>
  <c r="N433" i="4"/>
  <c r="M433" i="4"/>
  <c r="L433" i="4"/>
  <c r="N432" i="4"/>
  <c r="M432" i="4"/>
  <c r="L432" i="4"/>
  <c r="N431" i="4"/>
  <c r="M431" i="4"/>
  <c r="L431" i="4"/>
  <c r="N430" i="4"/>
  <c r="M430" i="4"/>
  <c r="L430" i="4"/>
  <c r="N429" i="4"/>
  <c r="M429" i="4"/>
  <c r="L429" i="4"/>
  <c r="N428" i="4"/>
  <c r="M428" i="4"/>
  <c r="L428" i="4"/>
  <c r="N427" i="4"/>
  <c r="M427" i="4"/>
  <c r="L427" i="4"/>
  <c r="N426" i="4"/>
  <c r="M426" i="4"/>
  <c r="L426" i="4"/>
  <c r="N425" i="4"/>
  <c r="M425" i="4"/>
  <c r="L425" i="4"/>
  <c r="N424" i="4"/>
  <c r="M424" i="4"/>
  <c r="L424" i="4"/>
  <c r="N423" i="4"/>
  <c r="M423" i="4"/>
  <c r="L423" i="4"/>
  <c r="N422" i="4"/>
  <c r="M422" i="4"/>
  <c r="L422" i="4"/>
  <c r="N421" i="4"/>
  <c r="M421" i="4"/>
  <c r="L421" i="4"/>
  <c r="N420" i="4"/>
  <c r="M420" i="4"/>
  <c r="L420" i="4"/>
  <c r="N419" i="4"/>
  <c r="M419" i="4"/>
  <c r="L419" i="4"/>
  <c r="N418" i="4"/>
  <c r="M418" i="4"/>
  <c r="L418" i="4"/>
  <c r="N417" i="4"/>
  <c r="M417" i="4"/>
  <c r="L417" i="4"/>
  <c r="N416" i="4"/>
  <c r="M416" i="4"/>
  <c r="L416" i="4"/>
  <c r="N415" i="4"/>
  <c r="M415" i="4"/>
  <c r="L415" i="4"/>
  <c r="N414" i="4"/>
  <c r="M414" i="4"/>
  <c r="L414" i="4"/>
  <c r="N413" i="4"/>
  <c r="M413" i="4"/>
  <c r="L413" i="4"/>
  <c r="N412" i="4"/>
  <c r="M412" i="4"/>
  <c r="L412" i="4"/>
  <c r="N411" i="4"/>
  <c r="M411" i="4"/>
  <c r="L411" i="4"/>
  <c r="N410" i="4"/>
  <c r="M410" i="4"/>
  <c r="L410" i="4"/>
  <c r="N409" i="4"/>
  <c r="M409" i="4"/>
  <c r="L409" i="4"/>
  <c r="N408" i="4"/>
  <c r="M408" i="4"/>
  <c r="L408" i="4"/>
  <c r="N407" i="4"/>
  <c r="M407" i="4"/>
  <c r="L407" i="4"/>
  <c r="N406" i="4"/>
  <c r="M406" i="4"/>
  <c r="L406" i="4"/>
  <c r="N405" i="4"/>
  <c r="M405" i="4"/>
  <c r="L405" i="4"/>
  <c r="N404" i="4"/>
  <c r="M404" i="4"/>
  <c r="L404" i="4"/>
  <c r="N403" i="4"/>
  <c r="M403" i="4"/>
  <c r="L403" i="4"/>
  <c r="N402" i="4"/>
  <c r="M402" i="4"/>
  <c r="L402" i="4"/>
  <c r="N401" i="4"/>
  <c r="M401" i="4"/>
  <c r="L401" i="4"/>
  <c r="N400" i="4"/>
  <c r="M400" i="4"/>
  <c r="L400" i="4"/>
  <c r="N399" i="4"/>
  <c r="M399" i="4"/>
  <c r="L399" i="4"/>
  <c r="N398" i="4"/>
  <c r="M398" i="4"/>
  <c r="L398" i="4"/>
  <c r="N397" i="4"/>
  <c r="M397" i="4"/>
  <c r="L397" i="4"/>
  <c r="N396" i="4"/>
  <c r="M396" i="4"/>
  <c r="L396" i="4"/>
  <c r="N395" i="4"/>
  <c r="M395" i="4"/>
  <c r="L395" i="4"/>
  <c r="N394" i="4"/>
  <c r="M394" i="4"/>
  <c r="L394" i="4"/>
  <c r="N393" i="4"/>
  <c r="M393" i="4"/>
  <c r="L393" i="4"/>
  <c r="N392" i="4"/>
  <c r="M392" i="4"/>
  <c r="L392" i="4"/>
  <c r="N391" i="4"/>
  <c r="M391" i="4"/>
  <c r="L391" i="4"/>
  <c r="N390" i="4"/>
  <c r="M390" i="4"/>
  <c r="L390" i="4"/>
  <c r="N389" i="4"/>
  <c r="M389" i="4"/>
  <c r="L389" i="4"/>
  <c r="N388" i="4"/>
  <c r="M388" i="4"/>
  <c r="L388" i="4"/>
  <c r="N387" i="4"/>
  <c r="M387" i="4"/>
  <c r="L387" i="4"/>
  <c r="N386" i="4"/>
  <c r="M386" i="4"/>
  <c r="L386" i="4"/>
  <c r="N385" i="4"/>
  <c r="M385" i="4"/>
  <c r="L385" i="4"/>
  <c r="N384" i="4"/>
  <c r="M384" i="4"/>
  <c r="L384" i="4"/>
  <c r="N383" i="4"/>
  <c r="M383" i="4"/>
  <c r="L383" i="4"/>
  <c r="N382" i="4"/>
  <c r="M382" i="4"/>
  <c r="L382" i="4"/>
  <c r="N381" i="4"/>
  <c r="M381" i="4"/>
  <c r="L381" i="4"/>
  <c r="N380" i="4"/>
  <c r="M380" i="4"/>
  <c r="L380" i="4"/>
  <c r="N379" i="4"/>
  <c r="M379" i="4"/>
  <c r="L379" i="4"/>
  <c r="N378" i="4"/>
  <c r="M378" i="4"/>
  <c r="L378" i="4"/>
  <c r="N377" i="4"/>
  <c r="M377" i="4"/>
  <c r="L377" i="4"/>
  <c r="N376" i="4"/>
  <c r="M376" i="4"/>
  <c r="L376" i="4"/>
  <c r="N375" i="4"/>
  <c r="M375" i="4"/>
  <c r="L375" i="4"/>
  <c r="N374" i="4"/>
  <c r="M374" i="4"/>
  <c r="L374" i="4"/>
  <c r="N373" i="4"/>
  <c r="M373" i="4"/>
  <c r="L373" i="4"/>
  <c r="N372" i="4"/>
  <c r="M372" i="4"/>
  <c r="L372" i="4"/>
  <c r="N371" i="4"/>
  <c r="M371" i="4"/>
  <c r="L371" i="4"/>
  <c r="N370" i="4"/>
  <c r="M370" i="4"/>
  <c r="L370" i="4"/>
  <c r="N369" i="4"/>
  <c r="M369" i="4"/>
  <c r="L369" i="4"/>
  <c r="N368" i="4"/>
  <c r="M368" i="4"/>
  <c r="L368" i="4"/>
  <c r="N367" i="4"/>
  <c r="M367" i="4"/>
  <c r="L367" i="4"/>
  <c r="N366" i="4"/>
  <c r="M366" i="4"/>
  <c r="L366" i="4"/>
  <c r="N365" i="4"/>
  <c r="M365" i="4"/>
  <c r="L365" i="4"/>
  <c r="N364" i="4"/>
  <c r="M364" i="4"/>
  <c r="L364" i="4"/>
  <c r="N363" i="4"/>
  <c r="M363" i="4"/>
  <c r="L363" i="4"/>
  <c r="N362" i="4"/>
  <c r="M362" i="4"/>
  <c r="L362" i="4"/>
  <c r="N361" i="4"/>
  <c r="M361" i="4"/>
  <c r="L361" i="4"/>
  <c r="N360" i="4"/>
  <c r="M360" i="4"/>
  <c r="L360" i="4"/>
  <c r="N359" i="4"/>
  <c r="M359" i="4"/>
  <c r="L359" i="4"/>
  <c r="N358" i="4"/>
  <c r="M358" i="4"/>
  <c r="L358" i="4"/>
  <c r="N357" i="4"/>
  <c r="M357" i="4"/>
  <c r="L357" i="4"/>
  <c r="N356" i="4"/>
  <c r="M356" i="4"/>
  <c r="L356" i="4"/>
  <c r="N355" i="4"/>
  <c r="M355" i="4"/>
  <c r="L355" i="4"/>
  <c r="N354" i="4"/>
  <c r="M354" i="4"/>
  <c r="L354" i="4"/>
  <c r="N353" i="4"/>
  <c r="M353" i="4"/>
  <c r="L353" i="4"/>
  <c r="N352" i="4"/>
  <c r="M352" i="4"/>
  <c r="L352" i="4"/>
  <c r="N351" i="4"/>
  <c r="M351" i="4"/>
  <c r="L351" i="4"/>
  <c r="N350" i="4"/>
  <c r="M350" i="4"/>
  <c r="L350" i="4"/>
  <c r="N349" i="4"/>
  <c r="M349" i="4"/>
  <c r="L349" i="4"/>
  <c r="N348" i="4"/>
  <c r="M348" i="4"/>
  <c r="L348" i="4"/>
  <c r="N347" i="4"/>
  <c r="M347" i="4"/>
  <c r="L347" i="4"/>
  <c r="N346" i="4"/>
  <c r="M346" i="4"/>
  <c r="L346" i="4"/>
  <c r="N345" i="4"/>
  <c r="M345" i="4"/>
  <c r="L345" i="4"/>
  <c r="N344" i="4"/>
  <c r="M344" i="4"/>
  <c r="L344" i="4"/>
  <c r="N343" i="4"/>
  <c r="M343" i="4"/>
  <c r="L343" i="4"/>
  <c r="N342" i="4"/>
  <c r="M342" i="4"/>
  <c r="L342" i="4"/>
  <c r="N341" i="4"/>
  <c r="M341" i="4"/>
  <c r="L341" i="4"/>
  <c r="N340" i="4"/>
  <c r="M340" i="4"/>
  <c r="L340" i="4"/>
  <c r="N339" i="4"/>
  <c r="M339" i="4"/>
  <c r="L339" i="4"/>
  <c r="N338" i="4"/>
  <c r="M338" i="4"/>
  <c r="L338" i="4"/>
  <c r="N337" i="4"/>
  <c r="M337" i="4"/>
  <c r="L337" i="4"/>
  <c r="N336" i="4"/>
  <c r="M336" i="4"/>
  <c r="L336" i="4"/>
  <c r="N335" i="4"/>
  <c r="M335" i="4"/>
  <c r="L335" i="4"/>
  <c r="N334" i="4"/>
  <c r="M334" i="4"/>
  <c r="L334" i="4"/>
  <c r="N333" i="4"/>
  <c r="M333" i="4"/>
  <c r="L333" i="4"/>
  <c r="N332" i="4"/>
  <c r="M332" i="4"/>
  <c r="L332" i="4"/>
  <c r="N331" i="4"/>
  <c r="M331" i="4"/>
  <c r="L331" i="4"/>
  <c r="N330" i="4"/>
  <c r="M330" i="4"/>
  <c r="L330" i="4"/>
  <c r="N329" i="4"/>
  <c r="M329" i="4"/>
  <c r="L329" i="4"/>
  <c r="N328" i="4"/>
  <c r="M328" i="4"/>
  <c r="L328" i="4"/>
  <c r="N327" i="4"/>
  <c r="M327" i="4"/>
  <c r="L327" i="4"/>
  <c r="N326" i="4"/>
  <c r="M326" i="4"/>
  <c r="L326" i="4"/>
  <c r="N325" i="4"/>
  <c r="M325" i="4"/>
  <c r="L325" i="4"/>
  <c r="N324" i="4"/>
  <c r="M324" i="4"/>
  <c r="L324" i="4"/>
  <c r="N323" i="4"/>
  <c r="M323" i="4"/>
  <c r="L323" i="4"/>
  <c r="N322" i="4"/>
  <c r="M322" i="4"/>
  <c r="L322" i="4"/>
  <c r="N321" i="4"/>
  <c r="M321" i="4"/>
  <c r="L321" i="4"/>
  <c r="N320" i="4"/>
  <c r="M320" i="4"/>
  <c r="L320" i="4"/>
  <c r="N319" i="4"/>
  <c r="M319" i="4"/>
  <c r="L319" i="4"/>
  <c r="N318" i="4"/>
  <c r="M318" i="4"/>
  <c r="L318" i="4"/>
  <c r="N317" i="4"/>
  <c r="M317" i="4"/>
  <c r="L317" i="4"/>
  <c r="N316" i="4"/>
  <c r="M316" i="4"/>
  <c r="L316" i="4"/>
  <c r="N315" i="4"/>
  <c r="M315" i="4"/>
  <c r="L315" i="4"/>
  <c r="N314" i="4"/>
  <c r="M314" i="4"/>
  <c r="L314" i="4"/>
  <c r="N313" i="4"/>
  <c r="M313" i="4"/>
  <c r="L313" i="4"/>
  <c r="N312" i="4"/>
  <c r="M312" i="4"/>
  <c r="L312" i="4"/>
  <c r="N311" i="4"/>
  <c r="M311" i="4"/>
  <c r="L311" i="4"/>
  <c r="N310" i="4"/>
  <c r="M310" i="4"/>
  <c r="L310" i="4"/>
  <c r="N309" i="4"/>
  <c r="M309" i="4"/>
  <c r="L309" i="4"/>
  <c r="N308" i="4"/>
  <c r="M308" i="4"/>
  <c r="L308" i="4"/>
  <c r="N307" i="4"/>
  <c r="M307" i="4"/>
  <c r="L307" i="4"/>
  <c r="N306" i="4"/>
  <c r="M306" i="4"/>
  <c r="L306" i="4"/>
  <c r="N305" i="4"/>
  <c r="M305" i="4"/>
  <c r="L305" i="4"/>
  <c r="N304" i="4"/>
  <c r="M304" i="4"/>
  <c r="L304" i="4"/>
  <c r="N303" i="4"/>
  <c r="M303" i="4"/>
  <c r="L303" i="4"/>
  <c r="N302" i="4"/>
  <c r="M302" i="4"/>
  <c r="L302" i="4"/>
  <c r="N301" i="4"/>
  <c r="M301" i="4"/>
  <c r="L301" i="4"/>
  <c r="N300" i="4"/>
  <c r="M300" i="4"/>
  <c r="L300" i="4"/>
  <c r="N299" i="4"/>
  <c r="M299" i="4"/>
  <c r="L299" i="4"/>
  <c r="N298" i="4"/>
  <c r="M298" i="4"/>
  <c r="L298" i="4"/>
  <c r="N297" i="4"/>
  <c r="M297" i="4"/>
  <c r="L297" i="4"/>
  <c r="N296" i="4"/>
  <c r="M296" i="4"/>
  <c r="L296" i="4"/>
  <c r="N295" i="4"/>
  <c r="M295" i="4"/>
  <c r="L295" i="4"/>
  <c r="N294" i="4"/>
  <c r="M294" i="4"/>
  <c r="L294" i="4"/>
  <c r="N293" i="4"/>
  <c r="M293" i="4"/>
  <c r="L293" i="4"/>
  <c r="N292" i="4"/>
  <c r="M292" i="4"/>
  <c r="L292" i="4"/>
  <c r="N291" i="4"/>
  <c r="M291" i="4"/>
  <c r="L291" i="4"/>
  <c r="N290" i="4"/>
  <c r="M290" i="4"/>
  <c r="L290" i="4"/>
  <c r="N289" i="4"/>
  <c r="M289" i="4"/>
  <c r="L289" i="4"/>
  <c r="N288" i="4"/>
  <c r="M288" i="4"/>
  <c r="L288" i="4"/>
  <c r="N287" i="4"/>
  <c r="M287" i="4"/>
  <c r="L287" i="4"/>
  <c r="N286" i="4"/>
  <c r="M286" i="4"/>
  <c r="L286" i="4"/>
  <c r="N285" i="4"/>
  <c r="M285" i="4"/>
  <c r="L285" i="4"/>
  <c r="N284" i="4"/>
  <c r="M284" i="4"/>
  <c r="L284" i="4"/>
  <c r="N283" i="4"/>
  <c r="M283" i="4"/>
  <c r="L283" i="4"/>
  <c r="N282" i="4"/>
  <c r="M282" i="4"/>
  <c r="L282" i="4"/>
  <c r="N281" i="4"/>
  <c r="M281" i="4"/>
  <c r="L281" i="4"/>
  <c r="N280" i="4"/>
  <c r="M280" i="4"/>
  <c r="L280" i="4"/>
  <c r="N279" i="4"/>
  <c r="M279" i="4"/>
  <c r="L279" i="4"/>
  <c r="N278" i="4"/>
  <c r="M278" i="4"/>
  <c r="L278" i="4"/>
  <c r="N277" i="4"/>
  <c r="M277" i="4"/>
  <c r="L277" i="4"/>
  <c r="N276" i="4"/>
  <c r="M276" i="4"/>
  <c r="L276" i="4"/>
  <c r="N275" i="4"/>
  <c r="M275" i="4"/>
  <c r="L275" i="4"/>
  <c r="N274" i="4"/>
  <c r="M274" i="4"/>
  <c r="L274" i="4"/>
  <c r="N273" i="4"/>
  <c r="M273" i="4"/>
  <c r="L273" i="4"/>
  <c r="N272" i="4"/>
  <c r="M272" i="4"/>
  <c r="L272" i="4"/>
  <c r="N271" i="4"/>
  <c r="M271" i="4"/>
  <c r="L271" i="4"/>
  <c r="N270" i="4"/>
  <c r="M270" i="4"/>
  <c r="L270" i="4"/>
  <c r="N269" i="4"/>
  <c r="M269" i="4"/>
  <c r="L269" i="4"/>
  <c r="N268" i="4"/>
  <c r="M268" i="4"/>
  <c r="L268" i="4"/>
  <c r="N267" i="4"/>
  <c r="M267" i="4"/>
  <c r="L267" i="4"/>
  <c r="N266" i="4"/>
  <c r="M266" i="4"/>
  <c r="L266" i="4"/>
  <c r="N265" i="4"/>
  <c r="M265" i="4"/>
  <c r="L265" i="4"/>
  <c r="N264" i="4"/>
  <c r="M264" i="4"/>
  <c r="L264" i="4"/>
  <c r="N263" i="4"/>
  <c r="M263" i="4"/>
  <c r="L263" i="4"/>
  <c r="N262" i="4"/>
  <c r="M262" i="4"/>
  <c r="L262" i="4"/>
  <c r="N261" i="4"/>
  <c r="M261" i="4"/>
  <c r="L261" i="4"/>
  <c r="N260" i="4"/>
  <c r="M260" i="4"/>
  <c r="L260" i="4"/>
  <c r="N259" i="4"/>
  <c r="M259" i="4"/>
  <c r="L259" i="4"/>
  <c r="N258" i="4"/>
  <c r="M258" i="4"/>
  <c r="L258" i="4"/>
  <c r="N257" i="4"/>
  <c r="M257" i="4"/>
  <c r="L257" i="4"/>
  <c r="N256" i="4"/>
  <c r="M256" i="4"/>
  <c r="L256" i="4"/>
  <c r="N255" i="4"/>
  <c r="M255" i="4"/>
  <c r="L255" i="4"/>
  <c r="N254" i="4"/>
  <c r="M254" i="4"/>
  <c r="L254" i="4"/>
  <c r="N253" i="4"/>
  <c r="M253" i="4"/>
  <c r="L253" i="4"/>
  <c r="N252" i="4"/>
  <c r="M252" i="4"/>
  <c r="L252" i="4"/>
  <c r="N251" i="4"/>
  <c r="M251" i="4"/>
  <c r="L251" i="4"/>
  <c r="N250" i="4"/>
  <c r="M250" i="4"/>
  <c r="L250" i="4"/>
  <c r="N249" i="4"/>
  <c r="M249" i="4"/>
  <c r="L249" i="4"/>
  <c r="N248" i="4"/>
  <c r="M248" i="4"/>
  <c r="L248" i="4"/>
  <c r="N247" i="4"/>
  <c r="M247" i="4"/>
  <c r="L247" i="4"/>
  <c r="N246" i="4"/>
  <c r="M246" i="4"/>
  <c r="L246" i="4"/>
  <c r="N245" i="4"/>
  <c r="M245" i="4"/>
  <c r="L245" i="4"/>
  <c r="N244" i="4"/>
  <c r="M244" i="4"/>
  <c r="L244" i="4"/>
  <c r="N243" i="4"/>
  <c r="M243" i="4"/>
  <c r="L243" i="4"/>
  <c r="N242" i="4"/>
  <c r="M242" i="4"/>
  <c r="L242" i="4"/>
  <c r="N241" i="4"/>
  <c r="M241" i="4"/>
  <c r="L241" i="4"/>
  <c r="N240" i="4"/>
  <c r="M240" i="4"/>
  <c r="L240" i="4"/>
  <c r="N239" i="4"/>
  <c r="M239" i="4"/>
  <c r="L239" i="4"/>
  <c r="N238" i="4"/>
  <c r="M238" i="4"/>
  <c r="L238" i="4"/>
  <c r="N237" i="4"/>
  <c r="M237" i="4"/>
  <c r="L237" i="4"/>
  <c r="N236" i="4"/>
  <c r="M236" i="4"/>
  <c r="L236" i="4"/>
  <c r="N235" i="4"/>
  <c r="M235" i="4"/>
  <c r="L235" i="4"/>
  <c r="N234" i="4"/>
  <c r="M234" i="4"/>
  <c r="L234" i="4"/>
  <c r="N233" i="4"/>
  <c r="M233" i="4"/>
  <c r="L233" i="4"/>
  <c r="N232" i="4"/>
  <c r="M232" i="4"/>
  <c r="L232" i="4"/>
  <c r="N231" i="4"/>
  <c r="M231" i="4"/>
  <c r="L231" i="4"/>
  <c r="N230" i="4"/>
  <c r="M230" i="4"/>
  <c r="L230" i="4"/>
  <c r="N229" i="4"/>
  <c r="M229" i="4"/>
  <c r="L229" i="4"/>
  <c r="N228" i="4"/>
  <c r="M228" i="4"/>
  <c r="L228" i="4"/>
  <c r="N227" i="4"/>
  <c r="M227" i="4"/>
  <c r="L227" i="4"/>
  <c r="N226" i="4"/>
  <c r="M226" i="4"/>
  <c r="L226" i="4"/>
  <c r="N225" i="4"/>
  <c r="M225" i="4"/>
  <c r="L225" i="4"/>
  <c r="N224" i="4"/>
  <c r="M224" i="4"/>
  <c r="L224" i="4"/>
  <c r="N223" i="4"/>
  <c r="M223" i="4"/>
  <c r="L223" i="4"/>
  <c r="N222" i="4"/>
  <c r="M222" i="4"/>
  <c r="L222" i="4"/>
  <c r="N221" i="4"/>
  <c r="M221" i="4"/>
  <c r="L221" i="4"/>
  <c r="N220" i="4"/>
  <c r="M220" i="4"/>
  <c r="L220" i="4"/>
  <c r="N219" i="4"/>
  <c r="M219" i="4"/>
  <c r="L219" i="4"/>
  <c r="N218" i="4"/>
  <c r="M218" i="4"/>
  <c r="L218" i="4"/>
  <c r="N217" i="4"/>
  <c r="M217" i="4"/>
  <c r="L217" i="4"/>
  <c r="N216" i="4"/>
  <c r="M216" i="4"/>
  <c r="L216" i="4"/>
  <c r="N215" i="4"/>
  <c r="M215" i="4"/>
  <c r="L215" i="4"/>
  <c r="N214" i="4"/>
  <c r="M214" i="4"/>
  <c r="L214" i="4"/>
  <c r="N213" i="4"/>
  <c r="M213" i="4"/>
  <c r="L213" i="4"/>
  <c r="N212" i="4"/>
  <c r="M212" i="4"/>
  <c r="L212" i="4"/>
  <c r="N211" i="4"/>
  <c r="M211" i="4"/>
  <c r="L211" i="4"/>
  <c r="N210" i="4"/>
  <c r="M210" i="4"/>
  <c r="L210" i="4"/>
  <c r="N209" i="4"/>
  <c r="M209" i="4"/>
  <c r="L209" i="4"/>
  <c r="N208" i="4"/>
  <c r="M208" i="4"/>
  <c r="L208" i="4"/>
  <c r="N207" i="4"/>
  <c r="M207" i="4"/>
  <c r="L207" i="4"/>
  <c r="N206" i="4"/>
  <c r="M206" i="4"/>
  <c r="L206" i="4"/>
  <c r="N205" i="4"/>
  <c r="M205" i="4"/>
  <c r="L205" i="4"/>
  <c r="N204" i="4"/>
  <c r="M204" i="4"/>
  <c r="L204" i="4"/>
  <c r="N203" i="4"/>
  <c r="M203" i="4"/>
  <c r="L203" i="4"/>
  <c r="N202" i="4"/>
  <c r="M202" i="4"/>
  <c r="L202" i="4"/>
  <c r="N201" i="4"/>
  <c r="M201" i="4"/>
  <c r="L201" i="4"/>
  <c r="N200" i="4"/>
  <c r="M200" i="4"/>
  <c r="L200" i="4"/>
  <c r="N199" i="4"/>
  <c r="M199" i="4"/>
  <c r="L199" i="4"/>
  <c r="N198" i="4"/>
  <c r="M198" i="4"/>
  <c r="L198" i="4"/>
  <c r="N197" i="4"/>
  <c r="M197" i="4"/>
  <c r="L197" i="4"/>
  <c r="N196" i="4"/>
  <c r="M196" i="4"/>
  <c r="L196" i="4"/>
  <c r="N195" i="4"/>
  <c r="M195" i="4"/>
  <c r="L195" i="4"/>
  <c r="N194" i="4"/>
  <c r="M194" i="4"/>
  <c r="L194" i="4"/>
  <c r="N193" i="4"/>
  <c r="M193" i="4"/>
  <c r="L193" i="4"/>
  <c r="N192" i="4"/>
  <c r="M192" i="4"/>
  <c r="L192" i="4"/>
  <c r="N191" i="4"/>
  <c r="M191" i="4"/>
  <c r="L191" i="4"/>
  <c r="N190" i="4"/>
  <c r="M190" i="4"/>
  <c r="L190" i="4"/>
  <c r="N189" i="4"/>
  <c r="M189" i="4"/>
  <c r="L189" i="4"/>
  <c r="N188" i="4"/>
  <c r="M188" i="4"/>
  <c r="L188" i="4"/>
  <c r="N187" i="4"/>
  <c r="M187" i="4"/>
  <c r="L187" i="4"/>
  <c r="N186" i="4"/>
  <c r="M186" i="4"/>
  <c r="L186" i="4"/>
  <c r="N185" i="4"/>
  <c r="M185" i="4"/>
  <c r="L185" i="4"/>
  <c r="N184" i="4"/>
  <c r="M184" i="4"/>
  <c r="L184" i="4"/>
  <c r="N183" i="4"/>
  <c r="M183" i="4"/>
  <c r="L183" i="4"/>
  <c r="N182" i="4"/>
  <c r="M182" i="4"/>
  <c r="L182" i="4"/>
  <c r="N181" i="4"/>
  <c r="M181" i="4"/>
  <c r="L181" i="4"/>
  <c r="N180" i="4"/>
  <c r="M180" i="4"/>
  <c r="L180" i="4"/>
  <c r="N179" i="4"/>
  <c r="M179" i="4"/>
  <c r="L179" i="4"/>
  <c r="N178" i="4"/>
  <c r="M178" i="4"/>
  <c r="L178" i="4"/>
  <c r="N177" i="4"/>
  <c r="M177" i="4"/>
  <c r="L177" i="4"/>
  <c r="N176" i="4"/>
  <c r="M176" i="4"/>
  <c r="L176" i="4"/>
  <c r="N175" i="4"/>
  <c r="M175" i="4"/>
  <c r="L175" i="4"/>
  <c r="N174" i="4"/>
  <c r="M174" i="4"/>
  <c r="L174" i="4"/>
  <c r="N173" i="4"/>
  <c r="M173" i="4"/>
  <c r="L173" i="4"/>
  <c r="N172" i="4"/>
  <c r="M172" i="4"/>
  <c r="L172" i="4"/>
  <c r="N171" i="4"/>
  <c r="M171" i="4"/>
  <c r="L171" i="4"/>
  <c r="N170" i="4"/>
  <c r="M170" i="4"/>
  <c r="L170" i="4"/>
  <c r="N169" i="4"/>
  <c r="M169" i="4"/>
  <c r="L169" i="4"/>
  <c r="N168" i="4"/>
  <c r="M168" i="4"/>
  <c r="L168" i="4"/>
  <c r="N167" i="4"/>
  <c r="M167" i="4"/>
  <c r="L167" i="4"/>
  <c r="N166" i="4"/>
  <c r="M166" i="4"/>
  <c r="L166" i="4"/>
  <c r="N165" i="4"/>
  <c r="M165" i="4"/>
  <c r="L165" i="4"/>
  <c r="N164" i="4"/>
  <c r="M164" i="4"/>
  <c r="L164" i="4"/>
  <c r="N163" i="4"/>
  <c r="M163" i="4"/>
  <c r="L163" i="4"/>
  <c r="N162" i="4"/>
  <c r="M162" i="4"/>
  <c r="L162" i="4"/>
  <c r="N161" i="4"/>
  <c r="M161" i="4"/>
  <c r="L161" i="4"/>
  <c r="N160" i="4"/>
  <c r="M160" i="4"/>
  <c r="L160" i="4"/>
  <c r="N159" i="4"/>
  <c r="M159" i="4"/>
  <c r="L159" i="4"/>
  <c r="N158" i="4"/>
  <c r="M158" i="4"/>
  <c r="L158" i="4"/>
  <c r="N157" i="4"/>
  <c r="M157" i="4"/>
  <c r="L157" i="4"/>
  <c r="N156" i="4"/>
  <c r="M156" i="4"/>
  <c r="L156" i="4"/>
  <c r="N155" i="4"/>
  <c r="M155" i="4"/>
  <c r="L155" i="4"/>
  <c r="N154" i="4"/>
  <c r="M154" i="4"/>
  <c r="L154" i="4"/>
  <c r="N153" i="4"/>
  <c r="M153" i="4"/>
  <c r="L153" i="4"/>
  <c r="N152" i="4"/>
  <c r="M152" i="4"/>
  <c r="L152" i="4"/>
  <c r="N151" i="4"/>
  <c r="M151" i="4"/>
  <c r="L151" i="4"/>
  <c r="N150" i="4"/>
  <c r="M150" i="4"/>
  <c r="L150" i="4"/>
  <c r="N149" i="4"/>
  <c r="M149" i="4"/>
  <c r="L149" i="4"/>
  <c r="N148" i="4"/>
  <c r="M148" i="4"/>
  <c r="L148" i="4"/>
  <c r="N147" i="4"/>
  <c r="M147" i="4"/>
  <c r="L147" i="4"/>
  <c r="N146" i="4"/>
  <c r="M146" i="4"/>
  <c r="L146" i="4"/>
  <c r="N145" i="4"/>
  <c r="M145" i="4"/>
  <c r="L145" i="4"/>
  <c r="N144" i="4"/>
  <c r="M144" i="4"/>
  <c r="L144" i="4"/>
  <c r="N143" i="4"/>
  <c r="M143" i="4"/>
  <c r="L143" i="4"/>
  <c r="N142" i="4"/>
  <c r="M142" i="4"/>
  <c r="L142" i="4"/>
  <c r="N141" i="4"/>
  <c r="M141" i="4"/>
  <c r="L141" i="4"/>
  <c r="N140" i="4"/>
  <c r="M140" i="4"/>
  <c r="L140" i="4"/>
  <c r="N139" i="4"/>
  <c r="M139" i="4"/>
  <c r="L139" i="4"/>
  <c r="N138" i="4"/>
  <c r="M138" i="4"/>
  <c r="L138" i="4"/>
  <c r="N137" i="4"/>
  <c r="M137" i="4"/>
  <c r="L137" i="4"/>
  <c r="N136" i="4"/>
  <c r="M136" i="4"/>
  <c r="L136" i="4"/>
  <c r="N135" i="4"/>
  <c r="M135" i="4"/>
  <c r="L135" i="4"/>
  <c r="N134" i="4"/>
  <c r="M134" i="4"/>
  <c r="L134" i="4"/>
  <c r="N133" i="4"/>
  <c r="M133" i="4"/>
  <c r="L133" i="4"/>
  <c r="N132" i="4"/>
  <c r="M132" i="4"/>
  <c r="L132" i="4"/>
  <c r="N131" i="4"/>
  <c r="M131" i="4"/>
  <c r="L131" i="4"/>
  <c r="N130" i="4"/>
  <c r="M130" i="4"/>
  <c r="L130" i="4"/>
  <c r="N129" i="4"/>
  <c r="M129" i="4"/>
  <c r="L129" i="4"/>
  <c r="N128" i="4"/>
  <c r="M128" i="4"/>
  <c r="L128" i="4"/>
  <c r="N127" i="4"/>
  <c r="M127" i="4"/>
  <c r="L127" i="4"/>
  <c r="N126" i="4"/>
  <c r="M126" i="4"/>
  <c r="L126" i="4"/>
  <c r="N125" i="4"/>
  <c r="M125" i="4"/>
  <c r="L125" i="4"/>
  <c r="N124" i="4"/>
  <c r="M124" i="4"/>
  <c r="L124" i="4"/>
  <c r="N123" i="4"/>
  <c r="M123" i="4"/>
  <c r="L123" i="4"/>
  <c r="N122" i="4"/>
  <c r="M122" i="4"/>
  <c r="L122" i="4"/>
  <c r="N121" i="4"/>
  <c r="M121" i="4"/>
  <c r="L121" i="4"/>
  <c r="N120" i="4"/>
  <c r="M120" i="4"/>
  <c r="L120" i="4"/>
  <c r="N119" i="4"/>
  <c r="M119" i="4"/>
  <c r="L119" i="4"/>
  <c r="N118" i="4"/>
  <c r="M118" i="4"/>
  <c r="L118" i="4"/>
  <c r="N117" i="4"/>
  <c r="M117" i="4"/>
  <c r="L117" i="4"/>
  <c r="N116" i="4"/>
  <c r="M116" i="4"/>
  <c r="L116" i="4"/>
  <c r="N115" i="4"/>
  <c r="M115" i="4"/>
  <c r="L115" i="4"/>
  <c r="N114" i="4"/>
  <c r="M114" i="4"/>
  <c r="L114" i="4"/>
  <c r="N113" i="4"/>
  <c r="M113" i="4"/>
  <c r="L113" i="4"/>
  <c r="N112" i="4"/>
  <c r="M112" i="4"/>
  <c r="L112" i="4"/>
  <c r="N111" i="4"/>
  <c r="M111" i="4"/>
  <c r="L111" i="4"/>
  <c r="N110" i="4"/>
  <c r="M110" i="4"/>
  <c r="L110" i="4"/>
  <c r="N109" i="4"/>
  <c r="M109" i="4"/>
  <c r="L109" i="4"/>
  <c r="N108" i="4"/>
  <c r="M108" i="4"/>
  <c r="L108" i="4"/>
  <c r="N107" i="4"/>
  <c r="M107" i="4"/>
  <c r="L107" i="4"/>
  <c r="N106" i="4"/>
  <c r="M106" i="4"/>
  <c r="L106" i="4"/>
  <c r="N105" i="4"/>
  <c r="M105" i="4"/>
  <c r="L105" i="4"/>
  <c r="N104" i="4"/>
  <c r="M104" i="4"/>
  <c r="L104" i="4"/>
  <c r="N103" i="4"/>
  <c r="M103" i="4"/>
  <c r="L103" i="4"/>
  <c r="N102" i="4"/>
  <c r="M102" i="4"/>
  <c r="L102" i="4"/>
  <c r="N101" i="4"/>
  <c r="M101" i="4"/>
  <c r="L101" i="4"/>
  <c r="N100" i="4"/>
  <c r="M100" i="4"/>
  <c r="L100" i="4"/>
  <c r="N99" i="4"/>
  <c r="M99" i="4"/>
  <c r="L99" i="4"/>
  <c r="N98" i="4"/>
  <c r="M98" i="4"/>
  <c r="L98" i="4"/>
  <c r="N97" i="4"/>
  <c r="M97" i="4"/>
  <c r="L97" i="4"/>
  <c r="N96" i="4"/>
  <c r="M96" i="4"/>
  <c r="L96" i="4"/>
  <c r="N95" i="4"/>
  <c r="M95" i="4"/>
  <c r="L95" i="4"/>
  <c r="N94" i="4"/>
  <c r="M94" i="4"/>
  <c r="L94" i="4"/>
  <c r="N93" i="4"/>
  <c r="M93" i="4"/>
  <c r="L93" i="4"/>
  <c r="N92" i="4"/>
  <c r="M92" i="4"/>
  <c r="L92" i="4"/>
  <c r="N91" i="4"/>
  <c r="M91" i="4"/>
  <c r="L91" i="4"/>
  <c r="N90" i="4"/>
  <c r="M90" i="4"/>
  <c r="L90" i="4"/>
  <c r="N89" i="4"/>
  <c r="M89" i="4"/>
  <c r="L89" i="4"/>
  <c r="N88" i="4"/>
  <c r="M88" i="4"/>
  <c r="L88" i="4"/>
  <c r="N87" i="4"/>
  <c r="M87" i="4"/>
  <c r="L87" i="4"/>
  <c r="N86" i="4"/>
  <c r="M86" i="4"/>
  <c r="L86" i="4"/>
  <c r="N85" i="4"/>
  <c r="M85" i="4"/>
  <c r="L85" i="4"/>
  <c r="N84" i="4"/>
  <c r="M84" i="4"/>
  <c r="L84" i="4"/>
  <c r="N83" i="4"/>
  <c r="M83" i="4"/>
  <c r="L83" i="4"/>
  <c r="N82" i="4"/>
  <c r="M82" i="4"/>
  <c r="L82" i="4"/>
  <c r="N81" i="4"/>
  <c r="M81" i="4"/>
  <c r="L81" i="4"/>
  <c r="N80" i="4"/>
  <c r="M80" i="4"/>
  <c r="L80" i="4"/>
  <c r="N79" i="4"/>
  <c r="M79" i="4"/>
  <c r="L79" i="4"/>
  <c r="N78" i="4"/>
  <c r="M78" i="4"/>
  <c r="L78" i="4"/>
  <c r="N77" i="4"/>
  <c r="M77" i="4"/>
  <c r="L77" i="4"/>
  <c r="N76" i="4"/>
  <c r="M76" i="4"/>
  <c r="L76" i="4"/>
  <c r="N75" i="4"/>
  <c r="M75" i="4"/>
  <c r="L75" i="4"/>
  <c r="N74" i="4"/>
  <c r="M74" i="4"/>
  <c r="L74" i="4"/>
  <c r="N73" i="4"/>
  <c r="M73" i="4"/>
  <c r="L73" i="4"/>
  <c r="N72" i="4"/>
  <c r="M72" i="4"/>
  <c r="L72" i="4"/>
  <c r="N71" i="4"/>
  <c r="M71" i="4"/>
  <c r="L71" i="4"/>
  <c r="N70" i="4"/>
  <c r="M70" i="4"/>
  <c r="L70" i="4"/>
  <c r="N69" i="4"/>
  <c r="M69" i="4"/>
  <c r="L69" i="4"/>
  <c r="N68" i="4"/>
  <c r="M68" i="4"/>
  <c r="L68" i="4"/>
  <c r="N67" i="4"/>
  <c r="M67" i="4"/>
  <c r="L67" i="4"/>
  <c r="N66" i="4"/>
  <c r="M66" i="4"/>
  <c r="L66" i="4"/>
  <c r="N65" i="4"/>
  <c r="M65" i="4"/>
  <c r="L65" i="4"/>
  <c r="N64" i="4"/>
  <c r="M64" i="4"/>
  <c r="L64" i="4"/>
  <c r="N63" i="4"/>
  <c r="M63" i="4"/>
  <c r="L63" i="4"/>
  <c r="N62" i="4"/>
  <c r="M62" i="4"/>
  <c r="L62" i="4"/>
  <c r="N61" i="4"/>
  <c r="M61" i="4"/>
  <c r="L61" i="4"/>
  <c r="N60" i="4"/>
  <c r="M60" i="4"/>
  <c r="L60" i="4"/>
  <c r="N59" i="4"/>
  <c r="M59" i="4"/>
  <c r="L59" i="4"/>
  <c r="N58" i="4"/>
  <c r="M58" i="4"/>
  <c r="L58" i="4"/>
  <c r="N57" i="4"/>
  <c r="M57" i="4"/>
  <c r="L57" i="4"/>
  <c r="N56" i="4"/>
  <c r="M56" i="4"/>
  <c r="L56" i="4"/>
  <c r="N55" i="4"/>
  <c r="M55" i="4"/>
  <c r="L55" i="4"/>
  <c r="N54" i="4"/>
  <c r="M54" i="4"/>
  <c r="L54" i="4"/>
  <c r="N53" i="4"/>
  <c r="M53" i="4"/>
  <c r="L53" i="4"/>
  <c r="N52" i="4"/>
  <c r="M52" i="4"/>
  <c r="L52" i="4"/>
  <c r="N51" i="4"/>
  <c r="M51" i="4"/>
  <c r="L51" i="4"/>
  <c r="N50" i="4"/>
  <c r="M50" i="4"/>
  <c r="L50" i="4"/>
  <c r="N49" i="4"/>
  <c r="M49" i="4"/>
  <c r="L49" i="4"/>
  <c r="N48" i="4"/>
  <c r="M48" i="4"/>
  <c r="L48" i="4"/>
  <c r="N47" i="4"/>
  <c r="M47" i="4"/>
  <c r="L47" i="4"/>
  <c r="N46" i="4"/>
  <c r="M46" i="4"/>
  <c r="L46" i="4"/>
  <c r="N45" i="4"/>
  <c r="M45" i="4"/>
  <c r="L45" i="4"/>
  <c r="N44" i="4"/>
  <c r="M44" i="4"/>
  <c r="L44" i="4"/>
  <c r="N43" i="4"/>
  <c r="M43" i="4"/>
  <c r="L43" i="4"/>
  <c r="N42" i="4"/>
  <c r="M42" i="4"/>
  <c r="L42" i="4"/>
  <c r="N41" i="4"/>
  <c r="M41" i="4"/>
  <c r="L41" i="4"/>
  <c r="N40" i="4"/>
  <c r="M40" i="4"/>
  <c r="L40" i="4"/>
  <c r="N39" i="4"/>
  <c r="M39" i="4"/>
  <c r="L39" i="4"/>
  <c r="N38" i="4"/>
  <c r="M38" i="4"/>
  <c r="L38" i="4"/>
  <c r="N37" i="4"/>
  <c r="M37" i="4"/>
  <c r="L37" i="4"/>
  <c r="N36" i="4"/>
  <c r="M36" i="4"/>
  <c r="L36" i="4"/>
  <c r="N35" i="4"/>
  <c r="M35" i="4"/>
  <c r="L35" i="4"/>
  <c r="N34" i="4"/>
  <c r="M34" i="4"/>
  <c r="L34" i="4"/>
  <c r="N33" i="4"/>
  <c r="M33" i="4"/>
  <c r="L33" i="4"/>
  <c r="N32" i="4"/>
  <c r="M32" i="4"/>
  <c r="L32" i="4"/>
  <c r="N31" i="4"/>
  <c r="M31" i="4"/>
  <c r="L31" i="4"/>
  <c r="N30" i="4"/>
  <c r="M30" i="4"/>
  <c r="L30" i="4"/>
  <c r="N29" i="4"/>
  <c r="M29" i="4"/>
  <c r="L29" i="4"/>
  <c r="N28" i="4"/>
  <c r="M28" i="4"/>
  <c r="L28" i="4"/>
  <c r="N27" i="4"/>
  <c r="M27" i="4"/>
  <c r="L27" i="4"/>
  <c r="N26" i="4"/>
  <c r="M26" i="4"/>
  <c r="L26" i="4"/>
  <c r="N25" i="4"/>
  <c r="M25" i="4"/>
  <c r="L25" i="4"/>
  <c r="N24" i="4"/>
  <c r="M24" i="4"/>
  <c r="L24" i="4"/>
  <c r="N23" i="4"/>
  <c r="M23" i="4"/>
  <c r="L23" i="4"/>
  <c r="N22" i="4"/>
  <c r="M22" i="4"/>
  <c r="L22" i="4"/>
  <c r="N21" i="4"/>
  <c r="M21" i="4"/>
  <c r="L21" i="4"/>
  <c r="N20" i="4"/>
  <c r="M20" i="4"/>
  <c r="L20" i="4"/>
  <c r="N19" i="4"/>
  <c r="M19" i="4"/>
  <c r="L19" i="4"/>
  <c r="N18" i="4"/>
  <c r="M18" i="4"/>
  <c r="L18" i="4"/>
  <c r="N17" i="4"/>
  <c r="M17" i="4"/>
  <c r="L17" i="4"/>
  <c r="N16" i="4"/>
  <c r="M16" i="4"/>
  <c r="L16" i="4"/>
  <c r="N15" i="4"/>
  <c r="M15" i="4"/>
  <c r="L15" i="4"/>
  <c r="N14" i="4"/>
  <c r="M14" i="4"/>
  <c r="L14" i="4"/>
  <c r="N13" i="4"/>
  <c r="M13" i="4"/>
  <c r="L13" i="4"/>
  <c r="N12" i="4"/>
  <c r="M12" i="4"/>
  <c r="L12" i="4"/>
  <c r="N11" i="4"/>
  <c r="M11" i="4"/>
  <c r="L11" i="4"/>
  <c r="N10" i="4"/>
  <c r="M10" i="4"/>
  <c r="L10" i="4"/>
  <c r="N9" i="4"/>
  <c r="M9" i="4"/>
  <c r="L9" i="4"/>
  <c r="N8" i="4"/>
  <c r="M8" i="4"/>
  <c r="L8" i="4"/>
  <c r="N7" i="4"/>
  <c r="M7" i="4"/>
  <c r="L7" i="4"/>
  <c r="N6" i="4"/>
  <c r="M6" i="4"/>
  <c r="L6" i="4"/>
  <c r="N5" i="4"/>
  <c r="M5" i="4"/>
  <c r="L5" i="4"/>
  <c r="N4" i="4"/>
  <c r="M4" i="4"/>
  <c r="L4" i="4"/>
  <c r="N3" i="4"/>
  <c r="M3" i="4"/>
  <c r="L3" i="4"/>
  <c r="N2" i="4"/>
  <c r="M2" i="4"/>
  <c r="L2" i="4"/>
  <c r="M1" i="4"/>
  <c r="L1" i="4"/>
  <c r="N1013" i="3"/>
  <c r="M1013" i="3"/>
  <c r="L1013" i="3"/>
  <c r="N1012" i="3"/>
  <c r="M1012" i="3"/>
  <c r="L1012" i="3"/>
  <c r="N1011" i="3"/>
  <c r="M1011" i="3"/>
  <c r="L1011" i="3"/>
  <c r="N1010" i="3"/>
  <c r="M1010" i="3"/>
  <c r="L1010" i="3"/>
  <c r="N1009" i="3"/>
  <c r="M1009" i="3"/>
  <c r="L1009" i="3"/>
  <c r="N1008" i="3"/>
  <c r="M1008" i="3"/>
  <c r="L1008" i="3"/>
  <c r="N1007" i="3"/>
  <c r="M1007" i="3"/>
  <c r="L1007" i="3"/>
  <c r="N1006" i="3"/>
  <c r="M1006" i="3"/>
  <c r="L1006" i="3"/>
  <c r="N1005" i="3"/>
  <c r="M1005" i="3"/>
  <c r="L1005" i="3"/>
  <c r="N1004" i="3"/>
  <c r="M1004" i="3"/>
  <c r="L1004" i="3"/>
  <c r="N1003" i="3"/>
  <c r="M1003" i="3"/>
  <c r="L1003" i="3"/>
  <c r="N1002" i="3"/>
  <c r="M1002" i="3"/>
  <c r="L1002" i="3"/>
  <c r="N1001" i="3"/>
  <c r="M1001" i="3"/>
  <c r="L1001" i="3"/>
  <c r="N1000" i="3"/>
  <c r="M1000" i="3"/>
  <c r="L1000" i="3"/>
  <c r="N999" i="3"/>
  <c r="M999" i="3"/>
  <c r="L999" i="3"/>
  <c r="N998" i="3"/>
  <c r="M998" i="3"/>
  <c r="L998" i="3"/>
  <c r="N997" i="3"/>
  <c r="M997" i="3"/>
  <c r="L997" i="3"/>
  <c r="N996" i="3"/>
  <c r="M996" i="3"/>
  <c r="L996" i="3"/>
  <c r="N995" i="3"/>
  <c r="M995" i="3"/>
  <c r="L995" i="3"/>
  <c r="N994" i="3"/>
  <c r="M994" i="3"/>
  <c r="L994" i="3"/>
  <c r="N993" i="3"/>
  <c r="M993" i="3"/>
  <c r="L993" i="3"/>
  <c r="N992" i="3"/>
  <c r="M992" i="3"/>
  <c r="L992" i="3"/>
  <c r="N991" i="3"/>
  <c r="M991" i="3"/>
  <c r="L991" i="3"/>
  <c r="N990" i="3"/>
  <c r="M990" i="3"/>
  <c r="L990" i="3"/>
  <c r="N989" i="3"/>
  <c r="M989" i="3"/>
  <c r="L989" i="3"/>
  <c r="N988" i="3"/>
  <c r="M988" i="3"/>
  <c r="L988" i="3"/>
  <c r="N987" i="3"/>
  <c r="M987" i="3"/>
  <c r="L987" i="3"/>
  <c r="N986" i="3"/>
  <c r="M986" i="3"/>
  <c r="L986" i="3"/>
  <c r="N985" i="3"/>
  <c r="M985" i="3"/>
  <c r="L985" i="3"/>
  <c r="N984" i="3"/>
  <c r="M984" i="3"/>
  <c r="L984" i="3"/>
  <c r="N983" i="3"/>
  <c r="M983" i="3"/>
  <c r="L983" i="3"/>
  <c r="N982" i="3"/>
  <c r="M982" i="3"/>
  <c r="L982" i="3"/>
  <c r="N981" i="3"/>
  <c r="M981" i="3"/>
  <c r="L981" i="3"/>
  <c r="N980" i="3"/>
  <c r="M980" i="3"/>
  <c r="L980" i="3"/>
  <c r="N979" i="3"/>
  <c r="M979" i="3"/>
  <c r="L979" i="3"/>
  <c r="N978" i="3"/>
  <c r="M978" i="3"/>
  <c r="L978" i="3"/>
  <c r="N977" i="3"/>
  <c r="M977" i="3"/>
  <c r="L977" i="3"/>
  <c r="N976" i="3"/>
  <c r="M976" i="3"/>
  <c r="L976" i="3"/>
  <c r="N975" i="3"/>
  <c r="M975" i="3"/>
  <c r="L975" i="3"/>
  <c r="N974" i="3"/>
  <c r="M974" i="3"/>
  <c r="L974" i="3"/>
  <c r="N973" i="3"/>
  <c r="M973" i="3"/>
  <c r="L973" i="3"/>
  <c r="N972" i="3"/>
  <c r="M972" i="3"/>
  <c r="L972" i="3"/>
  <c r="N971" i="3"/>
  <c r="M971" i="3"/>
  <c r="L971" i="3"/>
  <c r="N970" i="3"/>
  <c r="M970" i="3"/>
  <c r="L970" i="3"/>
  <c r="N969" i="3"/>
  <c r="M969" i="3"/>
  <c r="L969" i="3"/>
  <c r="N968" i="3"/>
  <c r="M968" i="3"/>
  <c r="L968" i="3"/>
  <c r="N967" i="3"/>
  <c r="M967" i="3"/>
  <c r="L967" i="3"/>
  <c r="N966" i="3"/>
  <c r="M966" i="3"/>
  <c r="L966" i="3"/>
  <c r="N965" i="3"/>
  <c r="M965" i="3"/>
  <c r="L965" i="3"/>
  <c r="N964" i="3"/>
  <c r="M964" i="3"/>
  <c r="L964" i="3"/>
  <c r="N963" i="3"/>
  <c r="M963" i="3"/>
  <c r="L963" i="3"/>
  <c r="N962" i="3"/>
  <c r="M962" i="3"/>
  <c r="L962" i="3"/>
  <c r="N961" i="3"/>
  <c r="M961" i="3"/>
  <c r="L961" i="3"/>
  <c r="N960" i="3"/>
  <c r="M960" i="3"/>
  <c r="L960" i="3"/>
  <c r="N959" i="3"/>
  <c r="M959" i="3"/>
  <c r="L959" i="3"/>
  <c r="N958" i="3"/>
  <c r="M958" i="3"/>
  <c r="L958" i="3"/>
  <c r="N957" i="3"/>
  <c r="M957" i="3"/>
  <c r="L957" i="3"/>
  <c r="N956" i="3"/>
  <c r="M956" i="3"/>
  <c r="L956" i="3"/>
  <c r="N955" i="3"/>
  <c r="M955" i="3"/>
  <c r="L955" i="3"/>
  <c r="N954" i="3"/>
  <c r="M954" i="3"/>
  <c r="L954" i="3"/>
  <c r="N953" i="3"/>
  <c r="M953" i="3"/>
  <c r="L953" i="3"/>
  <c r="N952" i="3"/>
  <c r="M952" i="3"/>
  <c r="L952" i="3"/>
  <c r="N951" i="3"/>
  <c r="M951" i="3"/>
  <c r="L951" i="3"/>
  <c r="N950" i="3"/>
  <c r="M950" i="3"/>
  <c r="L950" i="3"/>
  <c r="N949" i="3"/>
  <c r="M949" i="3"/>
  <c r="L949" i="3"/>
  <c r="N948" i="3"/>
  <c r="M948" i="3"/>
  <c r="L948" i="3"/>
  <c r="N947" i="3"/>
  <c r="M947" i="3"/>
  <c r="L947" i="3"/>
  <c r="N946" i="3"/>
  <c r="M946" i="3"/>
  <c r="L946" i="3"/>
  <c r="N945" i="3"/>
  <c r="M945" i="3"/>
  <c r="L945" i="3"/>
  <c r="N944" i="3"/>
  <c r="M944" i="3"/>
  <c r="L944" i="3"/>
  <c r="N943" i="3"/>
  <c r="M943" i="3"/>
  <c r="L943" i="3"/>
  <c r="N942" i="3"/>
  <c r="M942" i="3"/>
  <c r="L942" i="3"/>
  <c r="N941" i="3"/>
  <c r="M941" i="3"/>
  <c r="L941" i="3"/>
  <c r="N940" i="3"/>
  <c r="M940" i="3"/>
  <c r="L940" i="3"/>
  <c r="N939" i="3"/>
  <c r="M939" i="3"/>
  <c r="L939" i="3"/>
  <c r="N938" i="3"/>
  <c r="M938" i="3"/>
  <c r="L938" i="3"/>
  <c r="N937" i="3"/>
  <c r="M937" i="3"/>
  <c r="L937" i="3"/>
  <c r="N936" i="3"/>
  <c r="M936" i="3"/>
  <c r="L936" i="3"/>
  <c r="N935" i="3"/>
  <c r="M935" i="3"/>
  <c r="L935" i="3"/>
  <c r="N934" i="3"/>
  <c r="M934" i="3"/>
  <c r="L934" i="3"/>
  <c r="N933" i="3"/>
  <c r="M933" i="3"/>
  <c r="L933" i="3"/>
  <c r="N932" i="3"/>
  <c r="M932" i="3"/>
  <c r="L932" i="3"/>
  <c r="N931" i="3"/>
  <c r="M931" i="3"/>
  <c r="L931" i="3"/>
  <c r="N930" i="3"/>
  <c r="M930" i="3"/>
  <c r="L930" i="3"/>
  <c r="N929" i="3"/>
  <c r="M929" i="3"/>
  <c r="L929" i="3"/>
  <c r="N928" i="3"/>
  <c r="M928" i="3"/>
  <c r="L928" i="3"/>
  <c r="N927" i="3"/>
  <c r="M927" i="3"/>
  <c r="L927" i="3"/>
  <c r="N926" i="3"/>
  <c r="M926" i="3"/>
  <c r="L926" i="3"/>
  <c r="N925" i="3"/>
  <c r="M925" i="3"/>
  <c r="L925" i="3"/>
  <c r="N924" i="3"/>
  <c r="M924" i="3"/>
  <c r="L924" i="3"/>
  <c r="N923" i="3"/>
  <c r="M923" i="3"/>
  <c r="L923" i="3"/>
  <c r="N922" i="3"/>
  <c r="M922" i="3"/>
  <c r="L922" i="3"/>
  <c r="N921" i="3"/>
  <c r="M921" i="3"/>
  <c r="L921" i="3"/>
  <c r="N920" i="3"/>
  <c r="M920" i="3"/>
  <c r="L920" i="3"/>
  <c r="N919" i="3"/>
  <c r="M919" i="3"/>
  <c r="L919" i="3"/>
  <c r="N918" i="3"/>
  <c r="M918" i="3"/>
  <c r="L918" i="3"/>
  <c r="N917" i="3"/>
  <c r="M917" i="3"/>
  <c r="L917" i="3"/>
  <c r="N916" i="3"/>
  <c r="M916" i="3"/>
  <c r="L916" i="3"/>
  <c r="N915" i="3"/>
  <c r="M915" i="3"/>
  <c r="L915" i="3"/>
  <c r="N914" i="3"/>
  <c r="M914" i="3"/>
  <c r="L914" i="3"/>
  <c r="N913" i="3"/>
  <c r="M913" i="3"/>
  <c r="L913" i="3"/>
  <c r="N912" i="3"/>
  <c r="M912" i="3"/>
  <c r="L912" i="3"/>
  <c r="N911" i="3"/>
  <c r="M911" i="3"/>
  <c r="L911" i="3"/>
  <c r="N910" i="3"/>
  <c r="M910" i="3"/>
  <c r="L910" i="3"/>
  <c r="N909" i="3"/>
  <c r="M909" i="3"/>
  <c r="L909" i="3"/>
  <c r="N908" i="3"/>
  <c r="M908" i="3"/>
  <c r="L908" i="3"/>
  <c r="N907" i="3"/>
  <c r="M907" i="3"/>
  <c r="L907" i="3"/>
  <c r="N906" i="3"/>
  <c r="M906" i="3"/>
  <c r="L906" i="3"/>
  <c r="N905" i="3"/>
  <c r="M905" i="3"/>
  <c r="L905" i="3"/>
  <c r="N904" i="3"/>
  <c r="M904" i="3"/>
  <c r="L904" i="3"/>
  <c r="N903" i="3"/>
  <c r="M903" i="3"/>
  <c r="L903" i="3"/>
  <c r="N902" i="3"/>
  <c r="M902" i="3"/>
  <c r="L902" i="3"/>
  <c r="N901" i="3"/>
  <c r="M901" i="3"/>
  <c r="L901" i="3"/>
  <c r="N900" i="3"/>
  <c r="M900" i="3"/>
  <c r="L900" i="3"/>
  <c r="N899" i="3"/>
  <c r="M899" i="3"/>
  <c r="L899" i="3"/>
  <c r="N898" i="3"/>
  <c r="M898" i="3"/>
  <c r="L898" i="3"/>
  <c r="N897" i="3"/>
  <c r="M897" i="3"/>
  <c r="L897" i="3"/>
  <c r="N896" i="3"/>
  <c r="M896" i="3"/>
  <c r="L896" i="3"/>
  <c r="N895" i="3"/>
  <c r="M895" i="3"/>
  <c r="L895" i="3"/>
  <c r="N894" i="3"/>
  <c r="M894" i="3"/>
  <c r="L894" i="3"/>
  <c r="N893" i="3"/>
  <c r="M893" i="3"/>
  <c r="L893" i="3"/>
  <c r="N892" i="3"/>
  <c r="M892" i="3"/>
  <c r="L892" i="3"/>
  <c r="N891" i="3"/>
  <c r="M891" i="3"/>
  <c r="L891" i="3"/>
  <c r="N890" i="3"/>
  <c r="M890" i="3"/>
  <c r="L890" i="3"/>
  <c r="N889" i="3"/>
  <c r="M889" i="3"/>
  <c r="L889" i="3"/>
  <c r="N888" i="3"/>
  <c r="M888" i="3"/>
  <c r="L888" i="3"/>
  <c r="N887" i="3"/>
  <c r="M887" i="3"/>
  <c r="L887" i="3"/>
  <c r="N886" i="3"/>
  <c r="M886" i="3"/>
  <c r="L886" i="3"/>
  <c r="N885" i="3"/>
  <c r="M885" i="3"/>
  <c r="L885" i="3"/>
  <c r="N884" i="3"/>
  <c r="M884" i="3"/>
  <c r="L884" i="3"/>
  <c r="N883" i="3"/>
  <c r="M883" i="3"/>
  <c r="L883" i="3"/>
  <c r="N882" i="3"/>
  <c r="M882" i="3"/>
  <c r="L882" i="3"/>
  <c r="N881" i="3"/>
  <c r="M881" i="3"/>
  <c r="L881" i="3"/>
  <c r="N880" i="3"/>
  <c r="M880" i="3"/>
  <c r="L880" i="3"/>
  <c r="N879" i="3"/>
  <c r="M879" i="3"/>
  <c r="L879" i="3"/>
  <c r="N878" i="3"/>
  <c r="M878" i="3"/>
  <c r="L878" i="3"/>
  <c r="N877" i="3"/>
  <c r="M877" i="3"/>
  <c r="L877" i="3"/>
  <c r="N876" i="3"/>
  <c r="M876" i="3"/>
  <c r="L876" i="3"/>
  <c r="N875" i="3"/>
  <c r="M875" i="3"/>
  <c r="L875" i="3"/>
  <c r="N874" i="3"/>
  <c r="M874" i="3"/>
  <c r="L874" i="3"/>
  <c r="N873" i="3"/>
  <c r="M873" i="3"/>
  <c r="L873" i="3"/>
  <c r="N872" i="3"/>
  <c r="M872" i="3"/>
  <c r="L872" i="3"/>
  <c r="N871" i="3"/>
  <c r="M871" i="3"/>
  <c r="L871" i="3"/>
  <c r="N870" i="3"/>
  <c r="M870" i="3"/>
  <c r="L870" i="3"/>
  <c r="N869" i="3"/>
  <c r="M869" i="3"/>
  <c r="L869" i="3"/>
  <c r="N868" i="3"/>
  <c r="M868" i="3"/>
  <c r="L868" i="3"/>
  <c r="N867" i="3"/>
  <c r="M867" i="3"/>
  <c r="L867" i="3"/>
  <c r="N866" i="3"/>
  <c r="M866" i="3"/>
  <c r="L866" i="3"/>
  <c r="N865" i="3"/>
  <c r="M865" i="3"/>
  <c r="L865" i="3"/>
  <c r="N864" i="3"/>
  <c r="M864" i="3"/>
  <c r="L864" i="3"/>
  <c r="N863" i="3"/>
  <c r="M863" i="3"/>
  <c r="L863" i="3"/>
  <c r="N862" i="3"/>
  <c r="M862" i="3"/>
  <c r="L862" i="3"/>
  <c r="N861" i="3"/>
  <c r="M861" i="3"/>
  <c r="L861" i="3"/>
  <c r="N860" i="3"/>
  <c r="M860" i="3"/>
  <c r="L860" i="3"/>
  <c r="N859" i="3"/>
  <c r="M859" i="3"/>
  <c r="L859" i="3"/>
  <c r="N858" i="3"/>
  <c r="M858" i="3"/>
  <c r="L858" i="3"/>
  <c r="N857" i="3"/>
  <c r="M857" i="3"/>
  <c r="L857" i="3"/>
  <c r="N856" i="3"/>
  <c r="M856" i="3"/>
  <c r="L856" i="3"/>
  <c r="N855" i="3"/>
  <c r="M855" i="3"/>
  <c r="L855" i="3"/>
  <c r="N854" i="3"/>
  <c r="M854" i="3"/>
  <c r="L854" i="3"/>
  <c r="N853" i="3"/>
  <c r="M853" i="3"/>
  <c r="L853" i="3"/>
  <c r="N852" i="3"/>
  <c r="M852" i="3"/>
  <c r="L852" i="3"/>
  <c r="N851" i="3"/>
  <c r="M851" i="3"/>
  <c r="L851" i="3"/>
  <c r="N850" i="3"/>
  <c r="M850" i="3"/>
  <c r="L850" i="3"/>
  <c r="N849" i="3"/>
  <c r="M849" i="3"/>
  <c r="L849" i="3"/>
  <c r="N848" i="3"/>
  <c r="M848" i="3"/>
  <c r="L848" i="3"/>
  <c r="N847" i="3"/>
  <c r="M847" i="3"/>
  <c r="L847" i="3"/>
  <c r="N846" i="3"/>
  <c r="M846" i="3"/>
  <c r="L846" i="3"/>
  <c r="N845" i="3"/>
  <c r="M845" i="3"/>
  <c r="L845" i="3"/>
  <c r="N844" i="3"/>
  <c r="M844" i="3"/>
  <c r="L844" i="3"/>
  <c r="N843" i="3"/>
  <c r="M843" i="3"/>
  <c r="L843" i="3"/>
  <c r="N842" i="3"/>
  <c r="M842" i="3"/>
  <c r="L842" i="3"/>
  <c r="N841" i="3"/>
  <c r="M841" i="3"/>
  <c r="L841" i="3"/>
  <c r="N840" i="3"/>
  <c r="M840" i="3"/>
  <c r="L840" i="3"/>
  <c r="N839" i="3"/>
  <c r="M839" i="3"/>
  <c r="L839" i="3"/>
  <c r="N838" i="3"/>
  <c r="M838" i="3"/>
  <c r="L838" i="3"/>
  <c r="N837" i="3"/>
  <c r="M837" i="3"/>
  <c r="L837" i="3"/>
  <c r="N836" i="3"/>
  <c r="M836" i="3"/>
  <c r="L836" i="3"/>
  <c r="N835" i="3"/>
  <c r="M835" i="3"/>
  <c r="L835" i="3"/>
  <c r="N834" i="3"/>
  <c r="M834" i="3"/>
  <c r="L834" i="3"/>
  <c r="N833" i="3"/>
  <c r="M833" i="3"/>
  <c r="L833" i="3"/>
  <c r="N832" i="3"/>
  <c r="M832" i="3"/>
  <c r="L832" i="3"/>
  <c r="N831" i="3"/>
  <c r="M831" i="3"/>
  <c r="L831" i="3"/>
  <c r="N830" i="3"/>
  <c r="M830" i="3"/>
  <c r="L830" i="3"/>
  <c r="N829" i="3"/>
  <c r="M829" i="3"/>
  <c r="L829" i="3"/>
  <c r="N828" i="3"/>
  <c r="M828" i="3"/>
  <c r="L828" i="3"/>
  <c r="N827" i="3"/>
  <c r="M827" i="3"/>
  <c r="L827" i="3"/>
  <c r="N826" i="3"/>
  <c r="M826" i="3"/>
  <c r="L826" i="3"/>
  <c r="N825" i="3"/>
  <c r="M825" i="3"/>
  <c r="L825" i="3"/>
  <c r="N824" i="3"/>
  <c r="M824" i="3"/>
  <c r="L824" i="3"/>
  <c r="N823" i="3"/>
  <c r="M823" i="3"/>
  <c r="L823" i="3"/>
  <c r="N822" i="3"/>
  <c r="M822" i="3"/>
  <c r="L822" i="3"/>
  <c r="N821" i="3"/>
  <c r="M821" i="3"/>
  <c r="L821" i="3"/>
  <c r="N820" i="3"/>
  <c r="M820" i="3"/>
  <c r="L820" i="3"/>
  <c r="N819" i="3"/>
  <c r="M819" i="3"/>
  <c r="L819" i="3"/>
  <c r="N818" i="3"/>
  <c r="M818" i="3"/>
  <c r="L818" i="3"/>
  <c r="N817" i="3"/>
  <c r="M817" i="3"/>
  <c r="L817" i="3"/>
  <c r="N816" i="3"/>
  <c r="M816" i="3"/>
  <c r="L816" i="3"/>
  <c r="N815" i="3"/>
  <c r="M815" i="3"/>
  <c r="L815" i="3"/>
  <c r="N814" i="3"/>
  <c r="M814" i="3"/>
  <c r="L814" i="3"/>
  <c r="N813" i="3"/>
  <c r="M813" i="3"/>
  <c r="L813" i="3"/>
  <c r="N812" i="3"/>
  <c r="M812" i="3"/>
  <c r="L812" i="3"/>
  <c r="N811" i="3"/>
  <c r="M811" i="3"/>
  <c r="L811" i="3"/>
  <c r="N810" i="3"/>
  <c r="M810" i="3"/>
  <c r="L810" i="3"/>
  <c r="N809" i="3"/>
  <c r="M809" i="3"/>
  <c r="L809" i="3"/>
  <c r="N808" i="3"/>
  <c r="M808" i="3"/>
  <c r="L808" i="3"/>
  <c r="N807" i="3"/>
  <c r="M807" i="3"/>
  <c r="L807" i="3"/>
  <c r="N806" i="3"/>
  <c r="M806" i="3"/>
  <c r="L806" i="3"/>
  <c r="N805" i="3"/>
  <c r="M805" i="3"/>
  <c r="L805" i="3"/>
  <c r="N804" i="3"/>
  <c r="M804" i="3"/>
  <c r="L804" i="3"/>
  <c r="N803" i="3"/>
  <c r="M803" i="3"/>
  <c r="L803" i="3"/>
  <c r="N802" i="3"/>
  <c r="M802" i="3"/>
  <c r="L802" i="3"/>
  <c r="N801" i="3"/>
  <c r="M801" i="3"/>
  <c r="L801" i="3"/>
  <c r="N800" i="3"/>
  <c r="M800" i="3"/>
  <c r="L800" i="3"/>
  <c r="N799" i="3"/>
  <c r="M799" i="3"/>
  <c r="L799" i="3"/>
  <c r="N798" i="3"/>
  <c r="M798" i="3"/>
  <c r="L798" i="3"/>
  <c r="N797" i="3"/>
  <c r="M797" i="3"/>
  <c r="L797" i="3"/>
  <c r="N796" i="3"/>
  <c r="M796" i="3"/>
  <c r="L796" i="3"/>
  <c r="N795" i="3"/>
  <c r="M795" i="3"/>
  <c r="L795" i="3"/>
  <c r="N794" i="3"/>
  <c r="M794" i="3"/>
  <c r="L794" i="3"/>
  <c r="N793" i="3"/>
  <c r="M793" i="3"/>
  <c r="L793" i="3"/>
  <c r="N792" i="3"/>
  <c r="M792" i="3"/>
  <c r="L792" i="3"/>
  <c r="N791" i="3"/>
  <c r="M791" i="3"/>
  <c r="L791" i="3"/>
  <c r="N790" i="3"/>
  <c r="M790" i="3"/>
  <c r="L790" i="3"/>
  <c r="N789" i="3"/>
  <c r="M789" i="3"/>
  <c r="L789" i="3"/>
  <c r="N788" i="3"/>
  <c r="M788" i="3"/>
  <c r="L788" i="3"/>
  <c r="N787" i="3"/>
  <c r="M787" i="3"/>
  <c r="L787" i="3"/>
  <c r="N786" i="3"/>
  <c r="M786" i="3"/>
  <c r="L786" i="3"/>
  <c r="N785" i="3"/>
  <c r="M785" i="3"/>
  <c r="L785" i="3"/>
  <c r="N784" i="3"/>
  <c r="M784" i="3"/>
  <c r="L784" i="3"/>
  <c r="N783" i="3"/>
  <c r="M783" i="3"/>
  <c r="L783" i="3"/>
  <c r="N782" i="3"/>
  <c r="M782" i="3"/>
  <c r="L782" i="3"/>
  <c r="N781" i="3"/>
  <c r="M781" i="3"/>
  <c r="L781" i="3"/>
  <c r="N780" i="3"/>
  <c r="M780" i="3"/>
  <c r="L780" i="3"/>
  <c r="N779" i="3"/>
  <c r="M779" i="3"/>
  <c r="L779" i="3"/>
  <c r="N778" i="3"/>
  <c r="M778" i="3"/>
  <c r="L778" i="3"/>
  <c r="N777" i="3"/>
  <c r="M777" i="3"/>
  <c r="L777" i="3"/>
  <c r="N776" i="3"/>
  <c r="M776" i="3"/>
  <c r="L776" i="3"/>
  <c r="N775" i="3"/>
  <c r="M775" i="3"/>
  <c r="L775" i="3"/>
  <c r="N774" i="3"/>
  <c r="M774" i="3"/>
  <c r="L774" i="3"/>
  <c r="N773" i="3"/>
  <c r="M773" i="3"/>
  <c r="L773" i="3"/>
  <c r="N772" i="3"/>
  <c r="M772" i="3"/>
  <c r="L772" i="3"/>
  <c r="N771" i="3"/>
  <c r="M771" i="3"/>
  <c r="L771" i="3"/>
  <c r="N770" i="3"/>
  <c r="M770" i="3"/>
  <c r="L770" i="3"/>
  <c r="N769" i="3"/>
  <c r="M769" i="3"/>
  <c r="L769" i="3"/>
  <c r="N768" i="3"/>
  <c r="M768" i="3"/>
  <c r="L768" i="3"/>
  <c r="N767" i="3"/>
  <c r="M767" i="3"/>
  <c r="L767" i="3"/>
  <c r="N766" i="3"/>
  <c r="M766" i="3"/>
  <c r="L766" i="3"/>
  <c r="N765" i="3"/>
  <c r="M765" i="3"/>
  <c r="L765" i="3"/>
  <c r="N764" i="3"/>
  <c r="M764" i="3"/>
  <c r="L764" i="3"/>
  <c r="N763" i="3"/>
  <c r="M763" i="3"/>
  <c r="L763" i="3"/>
  <c r="N762" i="3"/>
  <c r="M762" i="3"/>
  <c r="L762" i="3"/>
  <c r="N761" i="3"/>
  <c r="M761" i="3"/>
  <c r="L761" i="3"/>
  <c r="N760" i="3"/>
  <c r="M760" i="3"/>
  <c r="L760" i="3"/>
  <c r="N759" i="3"/>
  <c r="M759" i="3"/>
  <c r="L759" i="3"/>
  <c r="N758" i="3"/>
  <c r="M758" i="3"/>
  <c r="L758" i="3"/>
  <c r="N757" i="3"/>
  <c r="M757" i="3"/>
  <c r="L757" i="3"/>
  <c r="N756" i="3"/>
  <c r="M756" i="3"/>
  <c r="L756" i="3"/>
  <c r="N755" i="3"/>
  <c r="M755" i="3"/>
  <c r="L755" i="3"/>
  <c r="N754" i="3"/>
  <c r="M754" i="3"/>
  <c r="L754" i="3"/>
  <c r="N753" i="3"/>
  <c r="M753" i="3"/>
  <c r="L753" i="3"/>
  <c r="N752" i="3"/>
  <c r="M752" i="3"/>
  <c r="L752" i="3"/>
  <c r="N751" i="3"/>
  <c r="M751" i="3"/>
  <c r="L751" i="3"/>
  <c r="N750" i="3"/>
  <c r="M750" i="3"/>
  <c r="L750" i="3"/>
  <c r="N749" i="3"/>
  <c r="M749" i="3"/>
  <c r="L749" i="3"/>
  <c r="N748" i="3"/>
  <c r="M748" i="3"/>
  <c r="L748" i="3"/>
  <c r="N747" i="3"/>
  <c r="M747" i="3"/>
  <c r="L747" i="3"/>
  <c r="N746" i="3"/>
  <c r="M746" i="3"/>
  <c r="L746" i="3"/>
  <c r="N745" i="3"/>
  <c r="M745" i="3"/>
  <c r="L745" i="3"/>
  <c r="N744" i="3"/>
  <c r="M744" i="3"/>
  <c r="L744" i="3"/>
  <c r="N743" i="3"/>
  <c r="M743" i="3"/>
  <c r="L743" i="3"/>
  <c r="N742" i="3"/>
  <c r="M742" i="3"/>
  <c r="L742" i="3"/>
  <c r="N741" i="3"/>
  <c r="M741" i="3"/>
  <c r="L741" i="3"/>
  <c r="N740" i="3"/>
  <c r="M740" i="3"/>
  <c r="L740" i="3"/>
  <c r="N739" i="3"/>
  <c r="M739" i="3"/>
  <c r="L739" i="3"/>
  <c r="N738" i="3"/>
  <c r="M738" i="3"/>
  <c r="L738" i="3"/>
  <c r="N737" i="3"/>
  <c r="M737" i="3"/>
  <c r="L737" i="3"/>
  <c r="N736" i="3"/>
  <c r="M736" i="3"/>
  <c r="L736" i="3"/>
  <c r="N735" i="3"/>
  <c r="M735" i="3"/>
  <c r="L735" i="3"/>
  <c r="N734" i="3"/>
  <c r="M734" i="3"/>
  <c r="L734" i="3"/>
  <c r="N733" i="3"/>
  <c r="M733" i="3"/>
  <c r="L733" i="3"/>
  <c r="N732" i="3"/>
  <c r="M732" i="3"/>
  <c r="L732" i="3"/>
  <c r="N731" i="3"/>
  <c r="M731" i="3"/>
  <c r="L731" i="3"/>
  <c r="N730" i="3"/>
  <c r="M730" i="3"/>
  <c r="L730" i="3"/>
  <c r="N729" i="3"/>
  <c r="M729" i="3"/>
  <c r="L729" i="3"/>
  <c r="N728" i="3"/>
  <c r="M728" i="3"/>
  <c r="L728" i="3"/>
  <c r="N727" i="3"/>
  <c r="M727" i="3"/>
  <c r="L727" i="3"/>
  <c r="N726" i="3"/>
  <c r="M726" i="3"/>
  <c r="L726" i="3"/>
  <c r="N725" i="3"/>
  <c r="M725" i="3"/>
  <c r="L725" i="3"/>
  <c r="N724" i="3"/>
  <c r="M724" i="3"/>
  <c r="L724" i="3"/>
  <c r="N723" i="3"/>
  <c r="M723" i="3"/>
  <c r="L723" i="3"/>
  <c r="N722" i="3"/>
  <c r="M722" i="3"/>
  <c r="L722" i="3"/>
  <c r="N721" i="3"/>
  <c r="M721" i="3"/>
  <c r="L721" i="3"/>
  <c r="N720" i="3"/>
  <c r="M720" i="3"/>
  <c r="L720" i="3"/>
  <c r="N719" i="3"/>
  <c r="M719" i="3"/>
  <c r="L719" i="3"/>
  <c r="N718" i="3"/>
  <c r="M718" i="3"/>
  <c r="L718" i="3"/>
  <c r="N717" i="3"/>
  <c r="M717" i="3"/>
  <c r="L717" i="3"/>
  <c r="N716" i="3"/>
  <c r="M716" i="3"/>
  <c r="L716" i="3"/>
  <c r="N715" i="3"/>
  <c r="M715" i="3"/>
  <c r="L715" i="3"/>
  <c r="N714" i="3"/>
  <c r="M714" i="3"/>
  <c r="L714" i="3"/>
  <c r="N713" i="3"/>
  <c r="M713" i="3"/>
  <c r="L713" i="3"/>
  <c r="N712" i="3"/>
  <c r="M712" i="3"/>
  <c r="L712" i="3"/>
  <c r="N711" i="3"/>
  <c r="M711" i="3"/>
  <c r="L711" i="3"/>
  <c r="N710" i="3"/>
  <c r="M710" i="3"/>
  <c r="L710" i="3"/>
  <c r="N709" i="3"/>
  <c r="M709" i="3"/>
  <c r="L709" i="3"/>
  <c r="N708" i="3"/>
  <c r="M708" i="3"/>
  <c r="L708" i="3"/>
  <c r="N707" i="3"/>
  <c r="M707" i="3"/>
  <c r="L707" i="3"/>
  <c r="N706" i="3"/>
  <c r="M706" i="3"/>
  <c r="L706" i="3"/>
  <c r="N705" i="3"/>
  <c r="M705" i="3"/>
  <c r="L705" i="3"/>
  <c r="N704" i="3"/>
  <c r="M704" i="3"/>
  <c r="L704" i="3"/>
  <c r="N703" i="3"/>
  <c r="M703" i="3"/>
  <c r="L703" i="3"/>
  <c r="N702" i="3"/>
  <c r="M702" i="3"/>
  <c r="L702" i="3"/>
  <c r="N701" i="3"/>
  <c r="M701" i="3"/>
  <c r="L701" i="3"/>
  <c r="N700" i="3"/>
  <c r="M700" i="3"/>
  <c r="L700" i="3"/>
  <c r="N699" i="3"/>
  <c r="M699" i="3"/>
  <c r="L699" i="3"/>
  <c r="N698" i="3"/>
  <c r="M698" i="3"/>
  <c r="L698" i="3"/>
  <c r="N697" i="3"/>
  <c r="M697" i="3"/>
  <c r="L697" i="3"/>
  <c r="N696" i="3"/>
  <c r="M696" i="3"/>
  <c r="L696" i="3"/>
  <c r="N695" i="3"/>
  <c r="M695" i="3"/>
  <c r="L695" i="3"/>
  <c r="N694" i="3"/>
  <c r="M694" i="3"/>
  <c r="L694" i="3"/>
  <c r="N693" i="3"/>
  <c r="M693" i="3"/>
  <c r="L693" i="3"/>
  <c r="N692" i="3"/>
  <c r="M692" i="3"/>
  <c r="L692" i="3"/>
  <c r="N691" i="3"/>
  <c r="M691" i="3"/>
  <c r="L691" i="3"/>
  <c r="N690" i="3"/>
  <c r="M690" i="3"/>
  <c r="L690" i="3"/>
  <c r="N689" i="3"/>
  <c r="M689" i="3"/>
  <c r="L689" i="3"/>
  <c r="N688" i="3"/>
  <c r="M688" i="3"/>
  <c r="L688" i="3"/>
  <c r="N687" i="3"/>
  <c r="M687" i="3"/>
  <c r="L687" i="3"/>
  <c r="N686" i="3"/>
  <c r="M686" i="3"/>
  <c r="L686" i="3"/>
  <c r="N685" i="3"/>
  <c r="M685" i="3"/>
  <c r="L685" i="3"/>
  <c r="N684" i="3"/>
  <c r="M684" i="3"/>
  <c r="L684" i="3"/>
  <c r="N683" i="3"/>
  <c r="M683" i="3"/>
  <c r="L683" i="3"/>
  <c r="N682" i="3"/>
  <c r="M682" i="3"/>
  <c r="L682" i="3"/>
  <c r="N681" i="3"/>
  <c r="M681" i="3"/>
  <c r="L681" i="3"/>
  <c r="N680" i="3"/>
  <c r="M680" i="3"/>
  <c r="L680" i="3"/>
  <c r="N679" i="3"/>
  <c r="M679" i="3"/>
  <c r="L679" i="3"/>
  <c r="N678" i="3"/>
  <c r="M678" i="3"/>
  <c r="L678" i="3"/>
  <c r="N677" i="3"/>
  <c r="M677" i="3"/>
  <c r="L677" i="3"/>
  <c r="N676" i="3"/>
  <c r="M676" i="3"/>
  <c r="L676" i="3"/>
  <c r="N675" i="3"/>
  <c r="M675" i="3"/>
  <c r="L675" i="3"/>
  <c r="N674" i="3"/>
  <c r="M674" i="3"/>
  <c r="L674" i="3"/>
  <c r="N673" i="3"/>
  <c r="M673" i="3"/>
  <c r="L673" i="3"/>
  <c r="N672" i="3"/>
  <c r="M672" i="3"/>
  <c r="L672" i="3"/>
  <c r="N671" i="3"/>
  <c r="M671" i="3"/>
  <c r="L671" i="3"/>
  <c r="N670" i="3"/>
  <c r="M670" i="3"/>
  <c r="L670" i="3"/>
  <c r="N669" i="3"/>
  <c r="M669" i="3"/>
  <c r="L669" i="3"/>
  <c r="N668" i="3"/>
  <c r="M668" i="3"/>
  <c r="L668" i="3"/>
  <c r="N667" i="3"/>
  <c r="M667" i="3"/>
  <c r="L667" i="3"/>
  <c r="N666" i="3"/>
  <c r="M666" i="3"/>
  <c r="L666" i="3"/>
  <c r="N665" i="3"/>
  <c r="M665" i="3"/>
  <c r="L665" i="3"/>
  <c r="N664" i="3"/>
  <c r="M664" i="3"/>
  <c r="L664" i="3"/>
  <c r="N663" i="3"/>
  <c r="M663" i="3"/>
  <c r="L663" i="3"/>
  <c r="N662" i="3"/>
  <c r="M662" i="3"/>
  <c r="L662" i="3"/>
  <c r="N661" i="3"/>
  <c r="M661" i="3"/>
  <c r="L661" i="3"/>
  <c r="N660" i="3"/>
  <c r="M660" i="3"/>
  <c r="L660" i="3"/>
  <c r="N659" i="3"/>
  <c r="M659" i="3"/>
  <c r="L659" i="3"/>
  <c r="N658" i="3"/>
  <c r="M658" i="3"/>
  <c r="L658" i="3"/>
  <c r="N657" i="3"/>
  <c r="M657" i="3"/>
  <c r="L657" i="3"/>
  <c r="N656" i="3"/>
  <c r="M656" i="3"/>
  <c r="L656" i="3"/>
  <c r="N655" i="3"/>
  <c r="M655" i="3"/>
  <c r="L655" i="3"/>
  <c r="N654" i="3"/>
  <c r="M654" i="3"/>
  <c r="L654" i="3"/>
  <c r="N653" i="3"/>
  <c r="M653" i="3"/>
  <c r="L653" i="3"/>
  <c r="N652" i="3"/>
  <c r="M652" i="3"/>
  <c r="L652" i="3"/>
  <c r="N651" i="3"/>
  <c r="M651" i="3"/>
  <c r="L651" i="3"/>
  <c r="N650" i="3"/>
  <c r="M650" i="3"/>
  <c r="L650" i="3"/>
  <c r="N649" i="3"/>
  <c r="M649" i="3"/>
  <c r="L649" i="3"/>
  <c r="N648" i="3"/>
  <c r="M648" i="3"/>
  <c r="L648" i="3"/>
  <c r="N647" i="3"/>
  <c r="M647" i="3"/>
  <c r="L647" i="3"/>
  <c r="N646" i="3"/>
  <c r="M646" i="3"/>
  <c r="L646" i="3"/>
  <c r="N645" i="3"/>
  <c r="M645" i="3"/>
  <c r="L645" i="3"/>
  <c r="N644" i="3"/>
  <c r="M644" i="3"/>
  <c r="L644" i="3"/>
  <c r="N643" i="3"/>
  <c r="M643" i="3"/>
  <c r="L643" i="3"/>
  <c r="N642" i="3"/>
  <c r="M642" i="3"/>
  <c r="L642" i="3"/>
  <c r="N641" i="3"/>
  <c r="M641" i="3"/>
  <c r="L641" i="3"/>
  <c r="N640" i="3"/>
  <c r="M640" i="3"/>
  <c r="L640" i="3"/>
  <c r="N639" i="3"/>
  <c r="M639" i="3"/>
  <c r="L639" i="3"/>
  <c r="N638" i="3"/>
  <c r="M638" i="3"/>
  <c r="L638" i="3"/>
  <c r="N637" i="3"/>
  <c r="M637" i="3"/>
  <c r="L637" i="3"/>
  <c r="N636" i="3"/>
  <c r="M636" i="3"/>
  <c r="L636" i="3"/>
  <c r="N635" i="3"/>
  <c r="M635" i="3"/>
  <c r="L635" i="3"/>
  <c r="N634" i="3"/>
  <c r="M634" i="3"/>
  <c r="L634" i="3"/>
  <c r="N633" i="3"/>
  <c r="M633" i="3"/>
  <c r="L633" i="3"/>
  <c r="N632" i="3"/>
  <c r="M632" i="3"/>
  <c r="L632" i="3"/>
  <c r="N631" i="3"/>
  <c r="M631" i="3"/>
  <c r="L631" i="3"/>
  <c r="N630" i="3"/>
  <c r="M630" i="3"/>
  <c r="L630" i="3"/>
  <c r="N629" i="3"/>
  <c r="M629" i="3"/>
  <c r="L629" i="3"/>
  <c r="N628" i="3"/>
  <c r="M628" i="3"/>
  <c r="L628" i="3"/>
  <c r="N627" i="3"/>
  <c r="M627" i="3"/>
  <c r="L627" i="3"/>
  <c r="N626" i="3"/>
  <c r="M626" i="3"/>
  <c r="L626" i="3"/>
  <c r="N625" i="3"/>
  <c r="M625" i="3"/>
  <c r="L625" i="3"/>
  <c r="N624" i="3"/>
  <c r="M624" i="3"/>
  <c r="L624" i="3"/>
  <c r="N623" i="3"/>
  <c r="M623" i="3"/>
  <c r="L623" i="3"/>
  <c r="N622" i="3"/>
  <c r="M622" i="3"/>
  <c r="L622" i="3"/>
  <c r="N621" i="3"/>
  <c r="M621" i="3"/>
  <c r="L621" i="3"/>
  <c r="N620" i="3"/>
  <c r="M620" i="3"/>
  <c r="L620" i="3"/>
  <c r="N619" i="3"/>
  <c r="M619" i="3"/>
  <c r="L619" i="3"/>
  <c r="N618" i="3"/>
  <c r="M618" i="3"/>
  <c r="L618" i="3"/>
  <c r="N617" i="3"/>
  <c r="M617" i="3"/>
  <c r="L617" i="3"/>
  <c r="N616" i="3"/>
  <c r="M616" i="3"/>
  <c r="L616" i="3"/>
  <c r="N615" i="3"/>
  <c r="M615" i="3"/>
  <c r="L615" i="3"/>
  <c r="N614" i="3"/>
  <c r="M614" i="3"/>
  <c r="L614" i="3"/>
  <c r="N613" i="3"/>
  <c r="M613" i="3"/>
  <c r="L613" i="3"/>
  <c r="N612" i="3"/>
  <c r="M612" i="3"/>
  <c r="L612" i="3"/>
  <c r="N611" i="3"/>
  <c r="M611" i="3"/>
  <c r="L611" i="3"/>
  <c r="N610" i="3"/>
  <c r="M610" i="3"/>
  <c r="L610" i="3"/>
  <c r="N609" i="3"/>
  <c r="M609" i="3"/>
  <c r="L609" i="3"/>
  <c r="N608" i="3"/>
  <c r="M608" i="3"/>
  <c r="L608" i="3"/>
  <c r="N607" i="3"/>
  <c r="M607" i="3"/>
  <c r="L607" i="3"/>
  <c r="N606" i="3"/>
  <c r="M606" i="3"/>
  <c r="L606" i="3"/>
  <c r="N605" i="3"/>
  <c r="M605" i="3"/>
  <c r="L605" i="3"/>
  <c r="N604" i="3"/>
  <c r="M604" i="3"/>
  <c r="L604" i="3"/>
  <c r="N603" i="3"/>
  <c r="M603" i="3"/>
  <c r="L603" i="3"/>
  <c r="N602" i="3"/>
  <c r="M602" i="3"/>
  <c r="L602" i="3"/>
  <c r="N601" i="3"/>
  <c r="M601" i="3"/>
  <c r="L601" i="3"/>
  <c r="N600" i="3"/>
  <c r="M600" i="3"/>
  <c r="L600" i="3"/>
  <c r="N599" i="3"/>
  <c r="M599" i="3"/>
  <c r="L599" i="3"/>
  <c r="N598" i="3"/>
  <c r="M598" i="3"/>
  <c r="L598" i="3"/>
  <c r="N597" i="3"/>
  <c r="M597" i="3"/>
  <c r="L597" i="3"/>
  <c r="N596" i="3"/>
  <c r="M596" i="3"/>
  <c r="L596" i="3"/>
  <c r="N595" i="3"/>
  <c r="M595" i="3"/>
  <c r="L595" i="3"/>
  <c r="N594" i="3"/>
  <c r="M594" i="3"/>
  <c r="L594" i="3"/>
  <c r="N593" i="3"/>
  <c r="M593" i="3"/>
  <c r="L593" i="3"/>
  <c r="N592" i="3"/>
  <c r="M592" i="3"/>
  <c r="L592" i="3"/>
  <c r="N591" i="3"/>
  <c r="M591" i="3"/>
  <c r="L591" i="3"/>
  <c r="N590" i="3"/>
  <c r="M590" i="3"/>
  <c r="L590" i="3"/>
  <c r="N589" i="3"/>
  <c r="M589" i="3"/>
  <c r="L589" i="3"/>
  <c r="N588" i="3"/>
  <c r="M588" i="3"/>
  <c r="L588" i="3"/>
  <c r="N587" i="3"/>
  <c r="M587" i="3"/>
  <c r="L587" i="3"/>
  <c r="N586" i="3"/>
  <c r="M586" i="3"/>
  <c r="L586" i="3"/>
  <c r="N585" i="3"/>
  <c r="M585" i="3"/>
  <c r="L585" i="3"/>
  <c r="N584" i="3"/>
  <c r="M584" i="3"/>
  <c r="L584" i="3"/>
  <c r="N583" i="3"/>
  <c r="M583" i="3"/>
  <c r="L583" i="3"/>
  <c r="N582" i="3"/>
  <c r="M582" i="3"/>
  <c r="L582" i="3"/>
  <c r="N581" i="3"/>
  <c r="M581" i="3"/>
  <c r="L581" i="3"/>
  <c r="N580" i="3"/>
  <c r="M580" i="3"/>
  <c r="L580" i="3"/>
  <c r="N579" i="3"/>
  <c r="M579" i="3"/>
  <c r="L579" i="3"/>
  <c r="N578" i="3"/>
  <c r="M578" i="3"/>
  <c r="L578" i="3"/>
  <c r="N577" i="3"/>
  <c r="M577" i="3"/>
  <c r="L577" i="3"/>
  <c r="N576" i="3"/>
  <c r="M576" i="3"/>
  <c r="L576" i="3"/>
  <c r="N575" i="3"/>
  <c r="M575" i="3"/>
  <c r="L575" i="3"/>
  <c r="N574" i="3"/>
  <c r="M574" i="3"/>
  <c r="L574" i="3"/>
  <c r="N573" i="3"/>
  <c r="M573" i="3"/>
  <c r="L573" i="3"/>
  <c r="N572" i="3"/>
  <c r="M572" i="3"/>
  <c r="L572" i="3"/>
  <c r="N571" i="3"/>
  <c r="M571" i="3"/>
  <c r="L571" i="3"/>
  <c r="N570" i="3"/>
  <c r="M570" i="3"/>
  <c r="L570" i="3"/>
  <c r="N569" i="3"/>
  <c r="M569" i="3"/>
  <c r="L569" i="3"/>
  <c r="N568" i="3"/>
  <c r="M568" i="3"/>
  <c r="L568" i="3"/>
  <c r="N567" i="3"/>
  <c r="M567" i="3"/>
  <c r="L567" i="3"/>
  <c r="N566" i="3"/>
  <c r="M566" i="3"/>
  <c r="L566" i="3"/>
  <c r="N565" i="3"/>
  <c r="M565" i="3"/>
  <c r="L565" i="3"/>
  <c r="N564" i="3"/>
  <c r="M564" i="3"/>
  <c r="L564" i="3"/>
  <c r="N563" i="3"/>
  <c r="M563" i="3"/>
  <c r="L563" i="3"/>
  <c r="N562" i="3"/>
  <c r="M562" i="3"/>
  <c r="L562" i="3"/>
  <c r="N561" i="3"/>
  <c r="M561" i="3"/>
  <c r="L561" i="3"/>
  <c r="N560" i="3"/>
  <c r="M560" i="3"/>
  <c r="L560" i="3"/>
  <c r="N559" i="3"/>
  <c r="M559" i="3"/>
  <c r="L559" i="3"/>
  <c r="N558" i="3"/>
  <c r="M558" i="3"/>
  <c r="L558" i="3"/>
  <c r="N557" i="3"/>
  <c r="M557" i="3"/>
  <c r="L557" i="3"/>
  <c r="N556" i="3"/>
  <c r="M556" i="3"/>
  <c r="L556" i="3"/>
  <c r="N555" i="3"/>
  <c r="M555" i="3"/>
  <c r="L555" i="3"/>
  <c r="N554" i="3"/>
  <c r="M554" i="3"/>
  <c r="L554" i="3"/>
  <c r="N553" i="3"/>
  <c r="M553" i="3"/>
  <c r="L553" i="3"/>
  <c r="N552" i="3"/>
  <c r="M552" i="3"/>
  <c r="L552" i="3"/>
  <c r="N551" i="3"/>
  <c r="M551" i="3"/>
  <c r="L551" i="3"/>
  <c r="N550" i="3"/>
  <c r="M550" i="3"/>
  <c r="L550" i="3"/>
  <c r="N549" i="3"/>
  <c r="M549" i="3"/>
  <c r="L549" i="3"/>
  <c r="N548" i="3"/>
  <c r="M548" i="3"/>
  <c r="L548" i="3"/>
  <c r="N547" i="3"/>
  <c r="M547" i="3"/>
  <c r="L547" i="3"/>
  <c r="N546" i="3"/>
  <c r="M546" i="3"/>
  <c r="L546" i="3"/>
  <c r="N545" i="3"/>
  <c r="M545" i="3"/>
  <c r="L545" i="3"/>
  <c r="N544" i="3"/>
  <c r="M544" i="3"/>
  <c r="L544" i="3"/>
  <c r="N543" i="3"/>
  <c r="M543" i="3"/>
  <c r="L543" i="3"/>
  <c r="N542" i="3"/>
  <c r="M542" i="3"/>
  <c r="L542" i="3"/>
  <c r="N541" i="3"/>
  <c r="M541" i="3"/>
  <c r="L541" i="3"/>
  <c r="N540" i="3"/>
  <c r="M540" i="3"/>
  <c r="L540" i="3"/>
  <c r="N539" i="3"/>
  <c r="M539" i="3"/>
  <c r="L539" i="3"/>
  <c r="N538" i="3"/>
  <c r="M538" i="3"/>
  <c r="L538" i="3"/>
  <c r="N537" i="3"/>
  <c r="M537" i="3"/>
  <c r="L537" i="3"/>
  <c r="N536" i="3"/>
  <c r="M536" i="3"/>
  <c r="L536" i="3"/>
  <c r="N535" i="3"/>
  <c r="M535" i="3"/>
  <c r="L535" i="3"/>
  <c r="N534" i="3"/>
  <c r="M534" i="3"/>
  <c r="L534" i="3"/>
  <c r="N533" i="3"/>
  <c r="M533" i="3"/>
  <c r="L533" i="3"/>
  <c r="N532" i="3"/>
  <c r="M532" i="3"/>
  <c r="L532" i="3"/>
  <c r="N531" i="3"/>
  <c r="M531" i="3"/>
  <c r="L531" i="3"/>
  <c r="N530" i="3"/>
  <c r="M530" i="3"/>
  <c r="L530" i="3"/>
  <c r="N529" i="3"/>
  <c r="M529" i="3"/>
  <c r="L529" i="3"/>
  <c r="N528" i="3"/>
  <c r="M528" i="3"/>
  <c r="L528" i="3"/>
  <c r="N527" i="3"/>
  <c r="M527" i="3"/>
  <c r="L527" i="3"/>
  <c r="N526" i="3"/>
  <c r="M526" i="3"/>
  <c r="L526" i="3"/>
  <c r="N525" i="3"/>
  <c r="M525" i="3"/>
  <c r="L525" i="3"/>
  <c r="N524" i="3"/>
  <c r="M524" i="3"/>
  <c r="L524" i="3"/>
  <c r="N523" i="3"/>
  <c r="M523" i="3"/>
  <c r="L523" i="3"/>
  <c r="N522" i="3"/>
  <c r="M522" i="3"/>
  <c r="L522" i="3"/>
  <c r="N521" i="3"/>
  <c r="M521" i="3"/>
  <c r="L521" i="3"/>
  <c r="N520" i="3"/>
  <c r="M520" i="3"/>
  <c r="L520" i="3"/>
  <c r="N519" i="3"/>
  <c r="M519" i="3"/>
  <c r="L519" i="3"/>
  <c r="N518" i="3"/>
  <c r="M518" i="3"/>
  <c r="L518" i="3"/>
  <c r="N517" i="3"/>
  <c r="M517" i="3"/>
  <c r="L517" i="3"/>
  <c r="N516" i="3"/>
  <c r="M516" i="3"/>
  <c r="L516" i="3"/>
  <c r="N515" i="3"/>
  <c r="M515" i="3"/>
  <c r="L515" i="3"/>
  <c r="N514" i="3"/>
  <c r="M514" i="3"/>
  <c r="L514" i="3"/>
  <c r="N513" i="3"/>
  <c r="M513" i="3"/>
  <c r="L513" i="3"/>
  <c r="N512" i="3"/>
  <c r="M512" i="3"/>
  <c r="L512" i="3"/>
  <c r="N511" i="3"/>
  <c r="M511" i="3"/>
  <c r="L511" i="3"/>
  <c r="N510" i="3"/>
  <c r="M510" i="3"/>
  <c r="L510" i="3"/>
  <c r="N509" i="3"/>
  <c r="M509" i="3"/>
  <c r="L509" i="3"/>
  <c r="N508" i="3"/>
  <c r="M508" i="3"/>
  <c r="L508" i="3"/>
  <c r="N507" i="3"/>
  <c r="M507" i="3"/>
  <c r="L507" i="3"/>
  <c r="N506" i="3"/>
  <c r="M506" i="3"/>
  <c r="L506" i="3"/>
  <c r="N505" i="3"/>
  <c r="M505" i="3"/>
  <c r="L505" i="3"/>
  <c r="N504" i="3"/>
  <c r="M504" i="3"/>
  <c r="L504" i="3"/>
  <c r="N503" i="3"/>
  <c r="M503" i="3"/>
  <c r="L503" i="3"/>
  <c r="N502" i="3"/>
  <c r="M502" i="3"/>
  <c r="L502" i="3"/>
  <c r="N501" i="3"/>
  <c r="M501" i="3"/>
  <c r="L501" i="3"/>
  <c r="N500" i="3"/>
  <c r="M500" i="3"/>
  <c r="L500" i="3"/>
  <c r="N499" i="3"/>
  <c r="M499" i="3"/>
  <c r="L499" i="3"/>
  <c r="N498" i="3"/>
  <c r="M498" i="3"/>
  <c r="L498" i="3"/>
  <c r="N497" i="3"/>
  <c r="M497" i="3"/>
  <c r="L497" i="3"/>
  <c r="N496" i="3"/>
  <c r="M496" i="3"/>
  <c r="L496" i="3"/>
  <c r="N495" i="3"/>
  <c r="M495" i="3"/>
  <c r="L495" i="3"/>
  <c r="N494" i="3"/>
  <c r="M494" i="3"/>
  <c r="L494" i="3"/>
  <c r="N493" i="3"/>
  <c r="M493" i="3"/>
  <c r="L493" i="3"/>
  <c r="N492" i="3"/>
  <c r="M492" i="3"/>
  <c r="L492" i="3"/>
  <c r="N491" i="3"/>
  <c r="M491" i="3"/>
  <c r="L491" i="3"/>
  <c r="N490" i="3"/>
  <c r="M490" i="3"/>
  <c r="L490" i="3"/>
  <c r="N489" i="3"/>
  <c r="M489" i="3"/>
  <c r="L489" i="3"/>
  <c r="N488" i="3"/>
  <c r="M488" i="3"/>
  <c r="L488" i="3"/>
  <c r="N487" i="3"/>
  <c r="M487" i="3"/>
  <c r="L487" i="3"/>
  <c r="N486" i="3"/>
  <c r="M486" i="3"/>
  <c r="L486" i="3"/>
  <c r="N485" i="3"/>
  <c r="M485" i="3"/>
  <c r="L485" i="3"/>
  <c r="N484" i="3"/>
  <c r="M484" i="3"/>
  <c r="L484" i="3"/>
  <c r="N483" i="3"/>
  <c r="M483" i="3"/>
  <c r="L483" i="3"/>
  <c r="N482" i="3"/>
  <c r="M482" i="3"/>
  <c r="L482" i="3"/>
  <c r="N481" i="3"/>
  <c r="M481" i="3"/>
  <c r="L481" i="3"/>
  <c r="N480" i="3"/>
  <c r="M480" i="3"/>
  <c r="L480" i="3"/>
  <c r="N479" i="3"/>
  <c r="M479" i="3"/>
  <c r="L479" i="3"/>
  <c r="N478" i="3"/>
  <c r="M478" i="3"/>
  <c r="L478" i="3"/>
  <c r="N477" i="3"/>
  <c r="M477" i="3"/>
  <c r="L477" i="3"/>
  <c r="N476" i="3"/>
  <c r="M476" i="3"/>
  <c r="L476" i="3"/>
  <c r="N475" i="3"/>
  <c r="M475" i="3"/>
  <c r="L475" i="3"/>
  <c r="N474" i="3"/>
  <c r="M474" i="3"/>
  <c r="L474" i="3"/>
  <c r="N473" i="3"/>
  <c r="M473" i="3"/>
  <c r="L473" i="3"/>
  <c r="N472" i="3"/>
  <c r="M472" i="3"/>
  <c r="L472" i="3"/>
  <c r="N471" i="3"/>
  <c r="M471" i="3"/>
  <c r="L471" i="3"/>
  <c r="N470" i="3"/>
  <c r="M470" i="3"/>
  <c r="L470" i="3"/>
  <c r="N469" i="3"/>
  <c r="M469" i="3"/>
  <c r="L469" i="3"/>
  <c r="N468" i="3"/>
  <c r="M468" i="3"/>
  <c r="L468" i="3"/>
  <c r="N467" i="3"/>
  <c r="M467" i="3"/>
  <c r="L467" i="3"/>
  <c r="N466" i="3"/>
  <c r="M466" i="3"/>
  <c r="L466" i="3"/>
  <c r="N465" i="3"/>
  <c r="M465" i="3"/>
  <c r="L465" i="3"/>
  <c r="N464" i="3"/>
  <c r="M464" i="3"/>
  <c r="L464" i="3"/>
  <c r="N463" i="3"/>
  <c r="M463" i="3"/>
  <c r="L463" i="3"/>
  <c r="N462" i="3"/>
  <c r="M462" i="3"/>
  <c r="L462" i="3"/>
  <c r="N461" i="3"/>
  <c r="M461" i="3"/>
  <c r="L461" i="3"/>
  <c r="N460" i="3"/>
  <c r="M460" i="3"/>
  <c r="L460" i="3"/>
  <c r="N459" i="3"/>
  <c r="M459" i="3"/>
  <c r="L459" i="3"/>
  <c r="N458" i="3"/>
  <c r="M458" i="3"/>
  <c r="L458" i="3"/>
  <c r="N457" i="3"/>
  <c r="M457" i="3"/>
  <c r="L457" i="3"/>
  <c r="N456" i="3"/>
  <c r="M456" i="3"/>
  <c r="L456" i="3"/>
  <c r="N455" i="3"/>
  <c r="M455" i="3"/>
  <c r="L455" i="3"/>
  <c r="N454" i="3"/>
  <c r="M454" i="3"/>
  <c r="L454" i="3"/>
  <c r="N453" i="3"/>
  <c r="M453" i="3"/>
  <c r="L453" i="3"/>
  <c r="N452" i="3"/>
  <c r="M452" i="3"/>
  <c r="L452" i="3"/>
  <c r="N451" i="3"/>
  <c r="M451" i="3"/>
  <c r="L451" i="3"/>
  <c r="N450" i="3"/>
  <c r="M450" i="3"/>
  <c r="L450" i="3"/>
  <c r="N449" i="3"/>
  <c r="M449" i="3"/>
  <c r="L449" i="3"/>
  <c r="N448" i="3"/>
  <c r="M448" i="3"/>
  <c r="L448" i="3"/>
  <c r="N447" i="3"/>
  <c r="M447" i="3"/>
  <c r="L447" i="3"/>
  <c r="N446" i="3"/>
  <c r="M446" i="3"/>
  <c r="L446" i="3"/>
  <c r="N445" i="3"/>
  <c r="M445" i="3"/>
  <c r="L445" i="3"/>
  <c r="N444" i="3"/>
  <c r="M444" i="3"/>
  <c r="L444" i="3"/>
  <c r="N443" i="3"/>
  <c r="M443" i="3"/>
  <c r="L443" i="3"/>
  <c r="N442" i="3"/>
  <c r="M442" i="3"/>
  <c r="L442" i="3"/>
  <c r="N441" i="3"/>
  <c r="M441" i="3"/>
  <c r="L441" i="3"/>
  <c r="N440" i="3"/>
  <c r="M440" i="3"/>
  <c r="L440" i="3"/>
  <c r="N439" i="3"/>
  <c r="M439" i="3"/>
  <c r="L439" i="3"/>
  <c r="N438" i="3"/>
  <c r="M438" i="3"/>
  <c r="L438" i="3"/>
  <c r="N437" i="3"/>
  <c r="M437" i="3"/>
  <c r="L437" i="3"/>
  <c r="N436" i="3"/>
  <c r="M436" i="3"/>
  <c r="L436" i="3"/>
  <c r="N435" i="3"/>
  <c r="M435" i="3"/>
  <c r="L435" i="3"/>
  <c r="N434" i="3"/>
  <c r="M434" i="3"/>
  <c r="L434" i="3"/>
  <c r="N433" i="3"/>
  <c r="M433" i="3"/>
  <c r="L433" i="3"/>
  <c r="N432" i="3"/>
  <c r="M432" i="3"/>
  <c r="L432" i="3"/>
  <c r="N431" i="3"/>
  <c r="M431" i="3"/>
  <c r="L431" i="3"/>
  <c r="N430" i="3"/>
  <c r="M430" i="3"/>
  <c r="L430" i="3"/>
  <c r="N429" i="3"/>
  <c r="M429" i="3"/>
  <c r="L429" i="3"/>
  <c r="N428" i="3"/>
  <c r="M428" i="3"/>
  <c r="L428" i="3"/>
  <c r="N427" i="3"/>
  <c r="M427" i="3"/>
  <c r="L427" i="3"/>
  <c r="N426" i="3"/>
  <c r="M426" i="3"/>
  <c r="L426" i="3"/>
  <c r="N425" i="3"/>
  <c r="M425" i="3"/>
  <c r="L425" i="3"/>
  <c r="N424" i="3"/>
  <c r="M424" i="3"/>
  <c r="L424" i="3"/>
  <c r="N423" i="3"/>
  <c r="M423" i="3"/>
  <c r="L423" i="3"/>
  <c r="N422" i="3"/>
  <c r="M422" i="3"/>
  <c r="L422" i="3"/>
  <c r="N421" i="3"/>
  <c r="M421" i="3"/>
  <c r="L421" i="3"/>
  <c r="N420" i="3"/>
  <c r="M420" i="3"/>
  <c r="L420" i="3"/>
  <c r="N419" i="3"/>
  <c r="M419" i="3"/>
  <c r="L419" i="3"/>
  <c r="N418" i="3"/>
  <c r="M418" i="3"/>
  <c r="L418" i="3"/>
  <c r="N417" i="3"/>
  <c r="M417" i="3"/>
  <c r="L417" i="3"/>
  <c r="N416" i="3"/>
  <c r="M416" i="3"/>
  <c r="L416" i="3"/>
  <c r="N415" i="3"/>
  <c r="M415" i="3"/>
  <c r="L415" i="3"/>
  <c r="N414" i="3"/>
  <c r="M414" i="3"/>
  <c r="L414" i="3"/>
  <c r="N413" i="3"/>
  <c r="M413" i="3"/>
  <c r="L413" i="3"/>
  <c r="N412" i="3"/>
  <c r="M412" i="3"/>
  <c r="L412" i="3"/>
  <c r="N411" i="3"/>
  <c r="M411" i="3"/>
  <c r="L411" i="3"/>
  <c r="N410" i="3"/>
  <c r="M410" i="3"/>
  <c r="L410" i="3"/>
  <c r="N409" i="3"/>
  <c r="M409" i="3"/>
  <c r="L409" i="3"/>
  <c r="N408" i="3"/>
  <c r="M408" i="3"/>
  <c r="L408" i="3"/>
  <c r="N407" i="3"/>
  <c r="M407" i="3"/>
  <c r="L407" i="3"/>
  <c r="N406" i="3"/>
  <c r="M406" i="3"/>
  <c r="L406" i="3"/>
  <c r="N405" i="3"/>
  <c r="M405" i="3"/>
  <c r="L405" i="3"/>
  <c r="N404" i="3"/>
  <c r="M404" i="3"/>
  <c r="L404" i="3"/>
  <c r="N403" i="3"/>
  <c r="M403" i="3"/>
  <c r="L403" i="3"/>
  <c r="N402" i="3"/>
  <c r="M402" i="3"/>
  <c r="L402" i="3"/>
  <c r="N401" i="3"/>
  <c r="M401" i="3"/>
  <c r="L401" i="3"/>
  <c r="N400" i="3"/>
  <c r="M400" i="3"/>
  <c r="L400" i="3"/>
  <c r="N399" i="3"/>
  <c r="M399" i="3"/>
  <c r="L399" i="3"/>
  <c r="N398" i="3"/>
  <c r="M398" i="3"/>
  <c r="L398" i="3"/>
  <c r="N397" i="3"/>
  <c r="M397" i="3"/>
  <c r="L397" i="3"/>
  <c r="N396" i="3"/>
  <c r="M396" i="3"/>
  <c r="L396" i="3"/>
  <c r="N395" i="3"/>
  <c r="M395" i="3"/>
  <c r="L395" i="3"/>
  <c r="N394" i="3"/>
  <c r="M394" i="3"/>
  <c r="L394" i="3"/>
  <c r="N393" i="3"/>
  <c r="M393" i="3"/>
  <c r="L393" i="3"/>
  <c r="N392" i="3"/>
  <c r="M392" i="3"/>
  <c r="L392" i="3"/>
  <c r="N391" i="3"/>
  <c r="M391" i="3"/>
  <c r="L391" i="3"/>
  <c r="N390" i="3"/>
  <c r="M390" i="3"/>
  <c r="L390" i="3"/>
  <c r="N389" i="3"/>
  <c r="M389" i="3"/>
  <c r="L389" i="3"/>
  <c r="N388" i="3"/>
  <c r="M388" i="3"/>
  <c r="L388" i="3"/>
  <c r="N387" i="3"/>
  <c r="M387" i="3"/>
  <c r="L387" i="3"/>
  <c r="N386" i="3"/>
  <c r="M386" i="3"/>
  <c r="L386" i="3"/>
  <c r="N385" i="3"/>
  <c r="M385" i="3"/>
  <c r="L385" i="3"/>
  <c r="N384" i="3"/>
  <c r="M384" i="3"/>
  <c r="L384" i="3"/>
  <c r="N383" i="3"/>
  <c r="M383" i="3"/>
  <c r="L383" i="3"/>
  <c r="N382" i="3"/>
  <c r="M382" i="3"/>
  <c r="L382" i="3"/>
  <c r="N381" i="3"/>
  <c r="M381" i="3"/>
  <c r="L381" i="3"/>
  <c r="N380" i="3"/>
  <c r="M380" i="3"/>
  <c r="L380" i="3"/>
  <c r="N379" i="3"/>
  <c r="M379" i="3"/>
  <c r="L379" i="3"/>
  <c r="N378" i="3"/>
  <c r="M378" i="3"/>
  <c r="L378" i="3"/>
  <c r="N377" i="3"/>
  <c r="M377" i="3"/>
  <c r="L377" i="3"/>
  <c r="N376" i="3"/>
  <c r="M376" i="3"/>
  <c r="L376" i="3"/>
  <c r="N375" i="3"/>
  <c r="M375" i="3"/>
  <c r="L375" i="3"/>
  <c r="N374" i="3"/>
  <c r="M374" i="3"/>
  <c r="L374" i="3"/>
  <c r="N373" i="3"/>
  <c r="M373" i="3"/>
  <c r="L373" i="3"/>
  <c r="N372" i="3"/>
  <c r="M372" i="3"/>
  <c r="L372" i="3"/>
  <c r="N371" i="3"/>
  <c r="M371" i="3"/>
  <c r="L371" i="3"/>
  <c r="N370" i="3"/>
  <c r="M370" i="3"/>
  <c r="L370" i="3"/>
  <c r="N369" i="3"/>
  <c r="M369" i="3"/>
  <c r="L369" i="3"/>
  <c r="N368" i="3"/>
  <c r="M368" i="3"/>
  <c r="L368" i="3"/>
  <c r="N367" i="3"/>
  <c r="M367" i="3"/>
  <c r="L367" i="3"/>
  <c r="N366" i="3"/>
  <c r="M366" i="3"/>
  <c r="L366" i="3"/>
  <c r="N365" i="3"/>
  <c r="M365" i="3"/>
  <c r="L365" i="3"/>
  <c r="N364" i="3"/>
  <c r="M364" i="3"/>
  <c r="L364" i="3"/>
  <c r="N363" i="3"/>
  <c r="M363" i="3"/>
  <c r="L363" i="3"/>
  <c r="N362" i="3"/>
  <c r="M362" i="3"/>
  <c r="L362" i="3"/>
  <c r="N361" i="3"/>
  <c r="M361" i="3"/>
  <c r="L361" i="3"/>
  <c r="N360" i="3"/>
  <c r="M360" i="3"/>
  <c r="L360" i="3"/>
  <c r="N359" i="3"/>
  <c r="M359" i="3"/>
  <c r="L359" i="3"/>
  <c r="N358" i="3"/>
  <c r="M358" i="3"/>
  <c r="L358" i="3"/>
  <c r="N357" i="3"/>
  <c r="M357" i="3"/>
  <c r="L357" i="3"/>
  <c r="N356" i="3"/>
  <c r="M356" i="3"/>
  <c r="L356" i="3"/>
  <c r="N355" i="3"/>
  <c r="M355" i="3"/>
  <c r="L355" i="3"/>
  <c r="N354" i="3"/>
  <c r="M354" i="3"/>
  <c r="L354" i="3"/>
  <c r="N353" i="3"/>
  <c r="M353" i="3"/>
  <c r="L353" i="3"/>
  <c r="N352" i="3"/>
  <c r="M352" i="3"/>
  <c r="L352" i="3"/>
  <c r="N351" i="3"/>
  <c r="M351" i="3"/>
  <c r="L351" i="3"/>
  <c r="N350" i="3"/>
  <c r="M350" i="3"/>
  <c r="L350" i="3"/>
  <c r="N349" i="3"/>
  <c r="M349" i="3"/>
  <c r="L349" i="3"/>
  <c r="N348" i="3"/>
  <c r="M348" i="3"/>
  <c r="L348" i="3"/>
  <c r="N347" i="3"/>
  <c r="M347" i="3"/>
  <c r="L347" i="3"/>
  <c r="N346" i="3"/>
  <c r="M346" i="3"/>
  <c r="L346" i="3"/>
  <c r="N345" i="3"/>
  <c r="M345" i="3"/>
  <c r="L345" i="3"/>
  <c r="N344" i="3"/>
  <c r="M344" i="3"/>
  <c r="L344" i="3"/>
  <c r="N343" i="3"/>
  <c r="M343" i="3"/>
  <c r="L343" i="3"/>
  <c r="N342" i="3"/>
  <c r="M342" i="3"/>
  <c r="L342" i="3"/>
  <c r="N341" i="3"/>
  <c r="M341" i="3"/>
  <c r="L341" i="3"/>
  <c r="N340" i="3"/>
  <c r="M340" i="3"/>
  <c r="L340" i="3"/>
  <c r="N339" i="3"/>
  <c r="M339" i="3"/>
  <c r="L339" i="3"/>
  <c r="N338" i="3"/>
  <c r="M338" i="3"/>
  <c r="L338" i="3"/>
  <c r="N337" i="3"/>
  <c r="M337" i="3"/>
  <c r="L337" i="3"/>
  <c r="N336" i="3"/>
  <c r="M336" i="3"/>
  <c r="L336" i="3"/>
  <c r="N335" i="3"/>
  <c r="M335" i="3"/>
  <c r="L335" i="3"/>
  <c r="N334" i="3"/>
  <c r="M334" i="3"/>
  <c r="L334" i="3"/>
  <c r="N333" i="3"/>
  <c r="M333" i="3"/>
  <c r="L333" i="3"/>
  <c r="N332" i="3"/>
  <c r="M332" i="3"/>
  <c r="L332" i="3"/>
  <c r="N331" i="3"/>
  <c r="M331" i="3"/>
  <c r="L331" i="3"/>
  <c r="N330" i="3"/>
  <c r="M330" i="3"/>
  <c r="L330" i="3"/>
  <c r="N329" i="3"/>
  <c r="M329" i="3"/>
  <c r="L329" i="3"/>
  <c r="N328" i="3"/>
  <c r="M328" i="3"/>
  <c r="L328" i="3"/>
  <c r="N327" i="3"/>
  <c r="M327" i="3"/>
  <c r="L327" i="3"/>
  <c r="N326" i="3"/>
  <c r="M326" i="3"/>
  <c r="L326" i="3"/>
  <c r="N325" i="3"/>
  <c r="M325" i="3"/>
  <c r="L325" i="3"/>
  <c r="N324" i="3"/>
  <c r="M324" i="3"/>
  <c r="L324" i="3"/>
  <c r="N323" i="3"/>
  <c r="M323" i="3"/>
  <c r="L323" i="3"/>
  <c r="N322" i="3"/>
  <c r="M322" i="3"/>
  <c r="L322" i="3"/>
  <c r="N321" i="3"/>
  <c r="M321" i="3"/>
  <c r="L321" i="3"/>
  <c r="N320" i="3"/>
  <c r="M320" i="3"/>
  <c r="L320" i="3"/>
  <c r="N319" i="3"/>
  <c r="M319" i="3"/>
  <c r="L319" i="3"/>
  <c r="N318" i="3"/>
  <c r="M318" i="3"/>
  <c r="L318" i="3"/>
  <c r="N317" i="3"/>
  <c r="M317" i="3"/>
  <c r="L317" i="3"/>
  <c r="N316" i="3"/>
  <c r="M316" i="3"/>
  <c r="L316" i="3"/>
  <c r="N315" i="3"/>
  <c r="M315" i="3"/>
  <c r="L315" i="3"/>
  <c r="N314" i="3"/>
  <c r="M314" i="3"/>
  <c r="L314" i="3"/>
  <c r="N313" i="3"/>
  <c r="M313" i="3"/>
  <c r="L313" i="3"/>
  <c r="N312" i="3"/>
  <c r="M312" i="3"/>
  <c r="L312" i="3"/>
  <c r="N311" i="3"/>
  <c r="M311" i="3"/>
  <c r="L311" i="3"/>
  <c r="N310" i="3"/>
  <c r="M310" i="3"/>
  <c r="L310" i="3"/>
  <c r="N309" i="3"/>
  <c r="M309" i="3"/>
  <c r="L309" i="3"/>
  <c r="N308" i="3"/>
  <c r="M308" i="3"/>
  <c r="L308" i="3"/>
  <c r="N307" i="3"/>
  <c r="M307" i="3"/>
  <c r="L307" i="3"/>
  <c r="N306" i="3"/>
  <c r="M306" i="3"/>
  <c r="L306" i="3"/>
  <c r="N305" i="3"/>
  <c r="M305" i="3"/>
  <c r="L305" i="3"/>
  <c r="N304" i="3"/>
  <c r="M304" i="3"/>
  <c r="L304" i="3"/>
  <c r="N303" i="3"/>
  <c r="M303" i="3"/>
  <c r="L303" i="3"/>
  <c r="N302" i="3"/>
  <c r="M302" i="3"/>
  <c r="L302" i="3"/>
  <c r="N301" i="3"/>
  <c r="M301" i="3"/>
  <c r="L301" i="3"/>
  <c r="N300" i="3"/>
  <c r="M300" i="3"/>
  <c r="L300" i="3"/>
  <c r="N299" i="3"/>
  <c r="M299" i="3"/>
  <c r="L299" i="3"/>
  <c r="N298" i="3"/>
  <c r="M298" i="3"/>
  <c r="L298" i="3"/>
  <c r="N297" i="3"/>
  <c r="M297" i="3"/>
  <c r="L297" i="3"/>
  <c r="N296" i="3"/>
  <c r="M296" i="3"/>
  <c r="L296" i="3"/>
  <c r="N295" i="3"/>
  <c r="M295" i="3"/>
  <c r="L295" i="3"/>
  <c r="N294" i="3"/>
  <c r="M294" i="3"/>
  <c r="L294" i="3"/>
  <c r="N293" i="3"/>
  <c r="M293" i="3"/>
  <c r="L293" i="3"/>
  <c r="N292" i="3"/>
  <c r="M292" i="3"/>
  <c r="L292" i="3"/>
  <c r="N291" i="3"/>
  <c r="M291" i="3"/>
  <c r="L291" i="3"/>
  <c r="N290" i="3"/>
  <c r="M290" i="3"/>
  <c r="L290" i="3"/>
  <c r="N289" i="3"/>
  <c r="M289" i="3"/>
  <c r="L289" i="3"/>
  <c r="N288" i="3"/>
  <c r="M288" i="3"/>
  <c r="L288" i="3"/>
  <c r="N287" i="3"/>
  <c r="M287" i="3"/>
  <c r="L287" i="3"/>
  <c r="N286" i="3"/>
  <c r="M286" i="3"/>
  <c r="L286" i="3"/>
  <c r="N285" i="3"/>
  <c r="M285" i="3"/>
  <c r="L285" i="3"/>
  <c r="N284" i="3"/>
  <c r="M284" i="3"/>
  <c r="L284" i="3"/>
  <c r="N283" i="3"/>
  <c r="M283" i="3"/>
  <c r="L283" i="3"/>
  <c r="N282" i="3"/>
  <c r="M282" i="3"/>
  <c r="L282" i="3"/>
  <c r="N281" i="3"/>
  <c r="M281" i="3"/>
  <c r="L281" i="3"/>
  <c r="N280" i="3"/>
  <c r="M280" i="3"/>
  <c r="L280" i="3"/>
  <c r="N279" i="3"/>
  <c r="M279" i="3"/>
  <c r="L279" i="3"/>
  <c r="N278" i="3"/>
  <c r="M278" i="3"/>
  <c r="L278" i="3"/>
  <c r="N277" i="3"/>
  <c r="M277" i="3"/>
  <c r="L277" i="3"/>
  <c r="N276" i="3"/>
  <c r="M276" i="3"/>
  <c r="L276" i="3"/>
  <c r="N275" i="3"/>
  <c r="M275" i="3"/>
  <c r="L275" i="3"/>
  <c r="N274" i="3"/>
  <c r="M274" i="3"/>
  <c r="L274" i="3"/>
  <c r="N273" i="3"/>
  <c r="M273" i="3"/>
  <c r="L273" i="3"/>
  <c r="N272" i="3"/>
  <c r="M272" i="3"/>
  <c r="L272" i="3"/>
  <c r="N271" i="3"/>
  <c r="M271" i="3"/>
  <c r="L271" i="3"/>
  <c r="N270" i="3"/>
  <c r="M270" i="3"/>
  <c r="L270" i="3"/>
  <c r="N269" i="3"/>
  <c r="M269" i="3"/>
  <c r="L269" i="3"/>
  <c r="N268" i="3"/>
  <c r="M268" i="3"/>
  <c r="L268" i="3"/>
  <c r="N267" i="3"/>
  <c r="M267" i="3"/>
  <c r="L267" i="3"/>
  <c r="N266" i="3"/>
  <c r="M266" i="3"/>
  <c r="L266" i="3"/>
  <c r="N265" i="3"/>
  <c r="M265" i="3"/>
  <c r="L265" i="3"/>
  <c r="N264" i="3"/>
  <c r="M264" i="3"/>
  <c r="L264" i="3"/>
  <c r="N263" i="3"/>
  <c r="M263" i="3"/>
  <c r="L263" i="3"/>
  <c r="N262" i="3"/>
  <c r="M262" i="3"/>
  <c r="L262" i="3"/>
  <c r="N261" i="3"/>
  <c r="M261" i="3"/>
  <c r="L261" i="3"/>
  <c r="N260" i="3"/>
  <c r="M260" i="3"/>
  <c r="L260" i="3"/>
  <c r="N259" i="3"/>
  <c r="M259" i="3"/>
  <c r="L259" i="3"/>
  <c r="N258" i="3"/>
  <c r="M258" i="3"/>
  <c r="L258" i="3"/>
  <c r="N257" i="3"/>
  <c r="M257" i="3"/>
  <c r="L257" i="3"/>
  <c r="N256" i="3"/>
  <c r="M256" i="3"/>
  <c r="L256" i="3"/>
  <c r="N255" i="3"/>
  <c r="M255" i="3"/>
  <c r="L255" i="3"/>
  <c r="N254" i="3"/>
  <c r="M254" i="3"/>
  <c r="L254" i="3"/>
  <c r="N253" i="3"/>
  <c r="M253" i="3"/>
  <c r="L253" i="3"/>
  <c r="N252" i="3"/>
  <c r="M252" i="3"/>
  <c r="L252" i="3"/>
  <c r="N251" i="3"/>
  <c r="M251" i="3"/>
  <c r="L251" i="3"/>
  <c r="N250" i="3"/>
  <c r="M250" i="3"/>
  <c r="L250" i="3"/>
  <c r="N249" i="3"/>
  <c r="M249" i="3"/>
  <c r="L249" i="3"/>
  <c r="N248" i="3"/>
  <c r="M248" i="3"/>
  <c r="L248" i="3"/>
  <c r="N247" i="3"/>
  <c r="M247" i="3"/>
  <c r="L247" i="3"/>
  <c r="N246" i="3"/>
  <c r="M246" i="3"/>
  <c r="L246" i="3"/>
  <c r="N245" i="3"/>
  <c r="M245" i="3"/>
  <c r="L245" i="3"/>
  <c r="N244" i="3"/>
  <c r="M244" i="3"/>
  <c r="L244" i="3"/>
  <c r="N243" i="3"/>
  <c r="M243" i="3"/>
  <c r="L243" i="3"/>
  <c r="N242" i="3"/>
  <c r="M242" i="3"/>
  <c r="L242" i="3"/>
  <c r="N241" i="3"/>
  <c r="M241" i="3"/>
  <c r="L241" i="3"/>
  <c r="N240" i="3"/>
  <c r="M240" i="3"/>
  <c r="L240" i="3"/>
  <c r="N239" i="3"/>
  <c r="M239" i="3"/>
  <c r="L239" i="3"/>
  <c r="N238" i="3"/>
  <c r="M238" i="3"/>
  <c r="L238" i="3"/>
  <c r="N237" i="3"/>
  <c r="M237" i="3"/>
  <c r="L237" i="3"/>
  <c r="N236" i="3"/>
  <c r="M236" i="3"/>
  <c r="L236" i="3"/>
  <c r="N235" i="3"/>
  <c r="M235" i="3"/>
  <c r="L235" i="3"/>
  <c r="N234" i="3"/>
  <c r="M234" i="3"/>
  <c r="L234" i="3"/>
  <c r="N233" i="3"/>
  <c r="M233" i="3"/>
  <c r="L233" i="3"/>
  <c r="N232" i="3"/>
  <c r="M232" i="3"/>
  <c r="L232" i="3"/>
  <c r="N231" i="3"/>
  <c r="M231" i="3"/>
  <c r="L231" i="3"/>
  <c r="N230" i="3"/>
  <c r="M230" i="3"/>
  <c r="L230" i="3"/>
  <c r="N229" i="3"/>
  <c r="M229" i="3"/>
  <c r="L229" i="3"/>
  <c r="N228" i="3"/>
  <c r="M228" i="3"/>
  <c r="L228" i="3"/>
  <c r="N227" i="3"/>
  <c r="M227" i="3"/>
  <c r="L227" i="3"/>
  <c r="N226" i="3"/>
  <c r="M226" i="3"/>
  <c r="L226" i="3"/>
  <c r="N225" i="3"/>
  <c r="M225" i="3"/>
  <c r="L225" i="3"/>
  <c r="N224" i="3"/>
  <c r="M224" i="3"/>
  <c r="L224" i="3"/>
  <c r="N223" i="3"/>
  <c r="M223" i="3"/>
  <c r="L223" i="3"/>
  <c r="N222" i="3"/>
  <c r="M222" i="3"/>
  <c r="L222" i="3"/>
  <c r="N221" i="3"/>
  <c r="M221" i="3"/>
  <c r="L221" i="3"/>
  <c r="N220" i="3"/>
  <c r="M220" i="3"/>
  <c r="L220" i="3"/>
  <c r="N219" i="3"/>
  <c r="M219" i="3"/>
  <c r="L219" i="3"/>
  <c r="N218" i="3"/>
  <c r="M218" i="3"/>
  <c r="L218" i="3"/>
  <c r="N217" i="3"/>
  <c r="M217" i="3"/>
  <c r="L217" i="3"/>
  <c r="N216" i="3"/>
  <c r="M216" i="3"/>
  <c r="L216" i="3"/>
  <c r="N215" i="3"/>
  <c r="M215" i="3"/>
  <c r="L215" i="3"/>
  <c r="N214" i="3"/>
  <c r="M214" i="3"/>
  <c r="L214" i="3"/>
  <c r="N213" i="3"/>
  <c r="M213" i="3"/>
  <c r="L213" i="3"/>
  <c r="N212" i="3"/>
  <c r="M212" i="3"/>
  <c r="L212" i="3"/>
  <c r="N211" i="3"/>
  <c r="M211" i="3"/>
  <c r="L211" i="3"/>
  <c r="N210" i="3"/>
  <c r="M210" i="3"/>
  <c r="L210" i="3"/>
  <c r="N209" i="3"/>
  <c r="M209" i="3"/>
  <c r="L209" i="3"/>
  <c r="N208" i="3"/>
  <c r="M208" i="3"/>
  <c r="L208" i="3"/>
  <c r="N207" i="3"/>
  <c r="M207" i="3"/>
  <c r="L207" i="3"/>
  <c r="N206" i="3"/>
  <c r="M206" i="3"/>
  <c r="L206" i="3"/>
  <c r="N205" i="3"/>
  <c r="M205" i="3"/>
  <c r="L205" i="3"/>
  <c r="N204" i="3"/>
  <c r="M204" i="3"/>
  <c r="L204" i="3"/>
  <c r="N203" i="3"/>
  <c r="M203" i="3"/>
  <c r="L203" i="3"/>
  <c r="N202" i="3"/>
  <c r="M202" i="3"/>
  <c r="L202" i="3"/>
  <c r="N201" i="3"/>
  <c r="M201" i="3"/>
  <c r="L201" i="3"/>
  <c r="N200" i="3"/>
  <c r="M200" i="3"/>
  <c r="L200" i="3"/>
  <c r="N199" i="3"/>
  <c r="M199" i="3"/>
  <c r="L199" i="3"/>
  <c r="N198" i="3"/>
  <c r="M198" i="3"/>
  <c r="L198" i="3"/>
  <c r="N197" i="3"/>
  <c r="M197" i="3"/>
  <c r="L197" i="3"/>
  <c r="N196" i="3"/>
  <c r="M196" i="3"/>
  <c r="L196" i="3"/>
  <c r="N195" i="3"/>
  <c r="M195" i="3"/>
  <c r="L195" i="3"/>
  <c r="N194" i="3"/>
  <c r="M194" i="3"/>
  <c r="L194" i="3"/>
  <c r="N193" i="3"/>
  <c r="M193" i="3"/>
  <c r="L193" i="3"/>
  <c r="N192" i="3"/>
  <c r="M192" i="3"/>
  <c r="L192" i="3"/>
  <c r="N191" i="3"/>
  <c r="M191" i="3"/>
  <c r="L191" i="3"/>
  <c r="N190" i="3"/>
  <c r="M190" i="3"/>
  <c r="L190" i="3"/>
  <c r="N189" i="3"/>
  <c r="M189" i="3"/>
  <c r="L189" i="3"/>
  <c r="N188" i="3"/>
  <c r="M188" i="3"/>
  <c r="L188" i="3"/>
  <c r="N187" i="3"/>
  <c r="M187" i="3"/>
  <c r="L187" i="3"/>
  <c r="N186" i="3"/>
  <c r="M186" i="3"/>
  <c r="L186" i="3"/>
  <c r="N185" i="3"/>
  <c r="M185" i="3"/>
  <c r="L185" i="3"/>
  <c r="N184" i="3"/>
  <c r="M184" i="3"/>
  <c r="L184" i="3"/>
  <c r="N183" i="3"/>
  <c r="M183" i="3"/>
  <c r="L183" i="3"/>
  <c r="N182" i="3"/>
  <c r="M182" i="3"/>
  <c r="L182" i="3"/>
  <c r="N181" i="3"/>
  <c r="M181" i="3"/>
  <c r="L181" i="3"/>
  <c r="N180" i="3"/>
  <c r="M180" i="3"/>
  <c r="L180" i="3"/>
  <c r="N179" i="3"/>
  <c r="M179" i="3"/>
  <c r="L179" i="3"/>
  <c r="N178" i="3"/>
  <c r="M178" i="3"/>
  <c r="L178" i="3"/>
  <c r="N177" i="3"/>
  <c r="M177" i="3"/>
  <c r="L177" i="3"/>
  <c r="N176" i="3"/>
  <c r="M176" i="3"/>
  <c r="L176" i="3"/>
  <c r="N175" i="3"/>
  <c r="M175" i="3"/>
  <c r="L175" i="3"/>
  <c r="N174" i="3"/>
  <c r="M174" i="3"/>
  <c r="L174" i="3"/>
  <c r="N173" i="3"/>
  <c r="M173" i="3"/>
  <c r="L173" i="3"/>
  <c r="N172" i="3"/>
  <c r="M172" i="3"/>
  <c r="L172" i="3"/>
  <c r="N171" i="3"/>
  <c r="M171" i="3"/>
  <c r="L171" i="3"/>
  <c r="N170" i="3"/>
  <c r="M170" i="3"/>
  <c r="L170" i="3"/>
  <c r="N169" i="3"/>
  <c r="M169" i="3"/>
  <c r="L169" i="3"/>
  <c r="N168" i="3"/>
  <c r="M168" i="3"/>
  <c r="L168" i="3"/>
  <c r="N167" i="3"/>
  <c r="M167" i="3"/>
  <c r="L167" i="3"/>
  <c r="N166" i="3"/>
  <c r="M166" i="3"/>
  <c r="L166" i="3"/>
  <c r="N165" i="3"/>
  <c r="M165" i="3"/>
  <c r="L165" i="3"/>
  <c r="N164" i="3"/>
  <c r="M164" i="3"/>
  <c r="L164" i="3"/>
  <c r="N163" i="3"/>
  <c r="M163" i="3"/>
  <c r="L163" i="3"/>
  <c r="N162" i="3"/>
  <c r="M162" i="3"/>
  <c r="L162" i="3"/>
  <c r="N161" i="3"/>
  <c r="M161" i="3"/>
  <c r="L161" i="3"/>
  <c r="N160" i="3"/>
  <c r="M160" i="3"/>
  <c r="L160" i="3"/>
  <c r="N159" i="3"/>
  <c r="M159" i="3"/>
  <c r="L159" i="3"/>
  <c r="N158" i="3"/>
  <c r="M158" i="3"/>
  <c r="L158" i="3"/>
  <c r="N157" i="3"/>
  <c r="M157" i="3"/>
  <c r="L157" i="3"/>
  <c r="N156" i="3"/>
  <c r="M156" i="3"/>
  <c r="L156" i="3"/>
  <c r="N155" i="3"/>
  <c r="M155" i="3"/>
  <c r="L155" i="3"/>
  <c r="N154" i="3"/>
  <c r="M154" i="3"/>
  <c r="L154" i="3"/>
  <c r="N153" i="3"/>
  <c r="M153" i="3"/>
  <c r="L153" i="3"/>
  <c r="N152" i="3"/>
  <c r="M152" i="3"/>
  <c r="L152" i="3"/>
  <c r="N151" i="3"/>
  <c r="M151" i="3"/>
  <c r="L151" i="3"/>
  <c r="N150" i="3"/>
  <c r="M150" i="3"/>
  <c r="L150" i="3"/>
  <c r="N149" i="3"/>
  <c r="M149" i="3"/>
  <c r="L149" i="3"/>
  <c r="N148" i="3"/>
  <c r="M148" i="3"/>
  <c r="L148" i="3"/>
  <c r="N147" i="3"/>
  <c r="M147" i="3"/>
  <c r="L147" i="3"/>
  <c r="N146" i="3"/>
  <c r="M146" i="3"/>
  <c r="L146" i="3"/>
  <c r="N145" i="3"/>
  <c r="M145" i="3"/>
  <c r="L145" i="3"/>
  <c r="N144" i="3"/>
  <c r="M144" i="3"/>
  <c r="L144" i="3"/>
  <c r="N143" i="3"/>
  <c r="M143" i="3"/>
  <c r="L143" i="3"/>
  <c r="N142" i="3"/>
  <c r="M142" i="3"/>
  <c r="L142" i="3"/>
  <c r="N141" i="3"/>
  <c r="M141" i="3"/>
  <c r="L141" i="3"/>
  <c r="N140" i="3"/>
  <c r="M140" i="3"/>
  <c r="L140" i="3"/>
  <c r="N139" i="3"/>
  <c r="M139" i="3"/>
  <c r="L139" i="3"/>
  <c r="N138" i="3"/>
  <c r="M138" i="3"/>
  <c r="L138" i="3"/>
  <c r="N137" i="3"/>
  <c r="M137" i="3"/>
  <c r="L137" i="3"/>
  <c r="N136" i="3"/>
  <c r="M136" i="3"/>
  <c r="L136" i="3"/>
  <c r="N135" i="3"/>
  <c r="M135" i="3"/>
  <c r="L135" i="3"/>
  <c r="N134" i="3"/>
  <c r="M134" i="3"/>
  <c r="L134" i="3"/>
  <c r="N133" i="3"/>
  <c r="M133" i="3"/>
  <c r="L133" i="3"/>
  <c r="N132" i="3"/>
  <c r="M132" i="3"/>
  <c r="L132" i="3"/>
  <c r="N131" i="3"/>
  <c r="M131" i="3"/>
  <c r="L131" i="3"/>
  <c r="N130" i="3"/>
  <c r="M130" i="3"/>
  <c r="L130" i="3"/>
  <c r="N129" i="3"/>
  <c r="M129" i="3"/>
  <c r="L129" i="3"/>
  <c r="N128" i="3"/>
  <c r="M128" i="3"/>
  <c r="L128" i="3"/>
  <c r="N127" i="3"/>
  <c r="M127" i="3"/>
  <c r="L127" i="3"/>
  <c r="N126" i="3"/>
  <c r="M126" i="3"/>
  <c r="L126" i="3"/>
  <c r="N125" i="3"/>
  <c r="M125" i="3"/>
  <c r="L125" i="3"/>
  <c r="N124" i="3"/>
  <c r="M124" i="3"/>
  <c r="L124" i="3"/>
  <c r="N123" i="3"/>
  <c r="M123" i="3"/>
  <c r="L123" i="3"/>
  <c r="N122" i="3"/>
  <c r="M122" i="3"/>
  <c r="L122" i="3"/>
  <c r="N121" i="3"/>
  <c r="M121" i="3"/>
  <c r="L121" i="3"/>
  <c r="N120" i="3"/>
  <c r="M120" i="3"/>
  <c r="L120" i="3"/>
  <c r="N119" i="3"/>
  <c r="M119" i="3"/>
  <c r="L119" i="3"/>
  <c r="N118" i="3"/>
  <c r="M118" i="3"/>
  <c r="L118" i="3"/>
  <c r="N117" i="3"/>
  <c r="M117" i="3"/>
  <c r="L117" i="3"/>
  <c r="N116" i="3"/>
  <c r="M116" i="3"/>
  <c r="L116" i="3"/>
  <c r="N115" i="3"/>
  <c r="M115" i="3"/>
  <c r="L115" i="3"/>
  <c r="N114" i="3"/>
  <c r="M114" i="3"/>
  <c r="L114" i="3"/>
  <c r="N113" i="3"/>
  <c r="M113" i="3"/>
  <c r="L113" i="3"/>
  <c r="N112" i="3"/>
  <c r="M112" i="3"/>
  <c r="L112" i="3"/>
  <c r="N111" i="3"/>
  <c r="M111" i="3"/>
  <c r="L111" i="3"/>
  <c r="N110" i="3"/>
  <c r="M110" i="3"/>
  <c r="L110" i="3"/>
  <c r="N109" i="3"/>
  <c r="M109" i="3"/>
  <c r="L109" i="3"/>
  <c r="N108" i="3"/>
  <c r="M108" i="3"/>
  <c r="L108" i="3"/>
  <c r="N107" i="3"/>
  <c r="M107" i="3"/>
  <c r="L107" i="3"/>
  <c r="N106" i="3"/>
  <c r="M106" i="3"/>
  <c r="L106" i="3"/>
  <c r="N105" i="3"/>
  <c r="M105" i="3"/>
  <c r="L105" i="3"/>
  <c r="N104" i="3"/>
  <c r="M104" i="3"/>
  <c r="L104" i="3"/>
  <c r="N103" i="3"/>
  <c r="M103" i="3"/>
  <c r="L103" i="3"/>
  <c r="N102" i="3"/>
  <c r="M102" i="3"/>
  <c r="L102" i="3"/>
  <c r="N101" i="3"/>
  <c r="M101" i="3"/>
  <c r="L101" i="3"/>
  <c r="N100" i="3"/>
  <c r="M100" i="3"/>
  <c r="L100" i="3"/>
  <c r="N99" i="3"/>
  <c r="M99" i="3"/>
  <c r="L99" i="3"/>
  <c r="N98" i="3"/>
  <c r="M98" i="3"/>
  <c r="L98" i="3"/>
  <c r="N97" i="3"/>
  <c r="M97" i="3"/>
  <c r="L97" i="3"/>
  <c r="N96" i="3"/>
  <c r="M96" i="3"/>
  <c r="L96" i="3"/>
  <c r="N95" i="3"/>
  <c r="M95" i="3"/>
  <c r="L95" i="3"/>
  <c r="N94" i="3"/>
  <c r="M94" i="3"/>
  <c r="L94" i="3"/>
  <c r="N93" i="3"/>
  <c r="M93" i="3"/>
  <c r="L93" i="3"/>
  <c r="N92" i="3"/>
  <c r="M92" i="3"/>
  <c r="L92" i="3"/>
  <c r="N91" i="3"/>
  <c r="M91" i="3"/>
  <c r="L91" i="3"/>
  <c r="N90" i="3"/>
  <c r="M90" i="3"/>
  <c r="L90" i="3"/>
  <c r="N89" i="3"/>
  <c r="M89" i="3"/>
  <c r="L89" i="3"/>
  <c r="N88" i="3"/>
  <c r="M88" i="3"/>
  <c r="L88" i="3"/>
  <c r="N87" i="3"/>
  <c r="M87" i="3"/>
  <c r="L87" i="3"/>
  <c r="N86" i="3"/>
  <c r="M86" i="3"/>
  <c r="L86" i="3"/>
  <c r="N85" i="3"/>
  <c r="M85" i="3"/>
  <c r="L85" i="3"/>
  <c r="N84" i="3"/>
  <c r="M84" i="3"/>
  <c r="L84" i="3"/>
  <c r="N83" i="3"/>
  <c r="M83" i="3"/>
  <c r="L83" i="3"/>
  <c r="N82" i="3"/>
  <c r="M82" i="3"/>
  <c r="L82" i="3"/>
  <c r="N81" i="3"/>
  <c r="M81" i="3"/>
  <c r="L81" i="3"/>
  <c r="N80" i="3"/>
  <c r="M80" i="3"/>
  <c r="L80" i="3"/>
  <c r="N79" i="3"/>
  <c r="M79" i="3"/>
  <c r="L79" i="3"/>
  <c r="N78" i="3"/>
  <c r="M78" i="3"/>
  <c r="L78" i="3"/>
  <c r="N77" i="3"/>
  <c r="M77" i="3"/>
  <c r="L77" i="3"/>
  <c r="N76" i="3"/>
  <c r="M76" i="3"/>
  <c r="L76" i="3"/>
  <c r="N75" i="3"/>
  <c r="M75" i="3"/>
  <c r="L75" i="3"/>
  <c r="N74" i="3"/>
  <c r="M74" i="3"/>
  <c r="L74" i="3"/>
  <c r="N73" i="3"/>
  <c r="M73" i="3"/>
  <c r="L73" i="3"/>
  <c r="N72" i="3"/>
  <c r="M72" i="3"/>
  <c r="L72" i="3"/>
  <c r="N71" i="3"/>
  <c r="M71" i="3"/>
  <c r="L71" i="3"/>
  <c r="N70" i="3"/>
  <c r="M70" i="3"/>
  <c r="L70" i="3"/>
  <c r="N69" i="3"/>
  <c r="M69" i="3"/>
  <c r="L69" i="3"/>
  <c r="N68" i="3"/>
  <c r="M68" i="3"/>
  <c r="L68" i="3"/>
  <c r="N67" i="3"/>
  <c r="M67" i="3"/>
  <c r="L67" i="3"/>
  <c r="N66" i="3"/>
  <c r="M66" i="3"/>
  <c r="L66" i="3"/>
  <c r="N65" i="3"/>
  <c r="M65" i="3"/>
  <c r="L65" i="3"/>
  <c r="N64" i="3"/>
  <c r="M64" i="3"/>
  <c r="L64" i="3"/>
  <c r="N63" i="3"/>
  <c r="M63" i="3"/>
  <c r="L63" i="3"/>
  <c r="N62" i="3"/>
  <c r="M62" i="3"/>
  <c r="L62" i="3"/>
  <c r="N61" i="3"/>
  <c r="M61" i="3"/>
  <c r="L61" i="3"/>
  <c r="N60" i="3"/>
  <c r="M60" i="3"/>
  <c r="L60" i="3"/>
  <c r="N59" i="3"/>
  <c r="M59" i="3"/>
  <c r="L59" i="3"/>
  <c r="N58" i="3"/>
  <c r="M58" i="3"/>
  <c r="L58" i="3"/>
  <c r="N57" i="3"/>
  <c r="M57" i="3"/>
  <c r="L57" i="3"/>
  <c r="N56" i="3"/>
  <c r="M56" i="3"/>
  <c r="L56" i="3"/>
  <c r="N55" i="3"/>
  <c r="M55" i="3"/>
  <c r="L55" i="3"/>
  <c r="N54" i="3"/>
  <c r="M54" i="3"/>
  <c r="L54" i="3"/>
  <c r="N53" i="3"/>
  <c r="M53" i="3"/>
  <c r="L53" i="3"/>
  <c r="N52" i="3"/>
  <c r="M52" i="3"/>
  <c r="L52" i="3"/>
  <c r="N51" i="3"/>
  <c r="M51" i="3"/>
  <c r="L51" i="3"/>
  <c r="N50" i="3"/>
  <c r="M50" i="3"/>
  <c r="L50" i="3"/>
  <c r="N49" i="3"/>
  <c r="M49" i="3"/>
  <c r="L49" i="3"/>
  <c r="N48" i="3"/>
  <c r="M48" i="3"/>
  <c r="L48" i="3"/>
  <c r="N47" i="3"/>
  <c r="M47" i="3"/>
  <c r="L47" i="3"/>
  <c r="N46" i="3"/>
  <c r="M46" i="3"/>
  <c r="L46" i="3"/>
  <c r="N45" i="3"/>
  <c r="M45" i="3"/>
  <c r="L45" i="3"/>
  <c r="N44" i="3"/>
  <c r="M44" i="3"/>
  <c r="L44" i="3"/>
  <c r="N43" i="3"/>
  <c r="M43" i="3"/>
  <c r="L43" i="3"/>
  <c r="N42" i="3"/>
  <c r="M42" i="3"/>
  <c r="L42" i="3"/>
  <c r="N41" i="3"/>
  <c r="M41" i="3"/>
  <c r="L41" i="3"/>
  <c r="N40" i="3"/>
  <c r="M40" i="3"/>
  <c r="L40" i="3"/>
  <c r="N39" i="3"/>
  <c r="M39" i="3"/>
  <c r="L39" i="3"/>
  <c r="N38" i="3"/>
  <c r="M38" i="3"/>
  <c r="L38" i="3"/>
  <c r="N37" i="3"/>
  <c r="M37" i="3"/>
  <c r="L37" i="3"/>
  <c r="N36" i="3"/>
  <c r="M36" i="3"/>
  <c r="L36" i="3"/>
  <c r="N35" i="3"/>
  <c r="M35" i="3"/>
  <c r="L35" i="3"/>
  <c r="N34" i="3"/>
  <c r="M34" i="3"/>
  <c r="L34" i="3"/>
  <c r="N33" i="3"/>
  <c r="M33" i="3"/>
  <c r="L33" i="3"/>
  <c r="N32" i="3"/>
  <c r="M32" i="3"/>
  <c r="L32" i="3"/>
  <c r="N31" i="3"/>
  <c r="M31" i="3"/>
  <c r="L31" i="3"/>
  <c r="N30" i="3"/>
  <c r="M30" i="3"/>
  <c r="L30" i="3"/>
  <c r="N29" i="3"/>
  <c r="M29" i="3"/>
  <c r="L29" i="3"/>
  <c r="N28" i="3"/>
  <c r="M28" i="3"/>
  <c r="L28" i="3"/>
  <c r="N27" i="3"/>
  <c r="M27" i="3"/>
  <c r="L27" i="3"/>
  <c r="N26" i="3"/>
  <c r="M26" i="3"/>
  <c r="L26" i="3"/>
  <c r="N25" i="3"/>
  <c r="M25" i="3"/>
  <c r="L25" i="3"/>
  <c r="N24" i="3"/>
  <c r="M24" i="3"/>
  <c r="L24" i="3"/>
  <c r="N23" i="3"/>
  <c r="M23" i="3"/>
  <c r="L23" i="3"/>
  <c r="N22" i="3"/>
  <c r="M22" i="3"/>
  <c r="L22" i="3"/>
  <c r="N21" i="3"/>
  <c r="M21" i="3"/>
  <c r="L21" i="3"/>
  <c r="N20" i="3"/>
  <c r="M20" i="3"/>
  <c r="L20" i="3"/>
  <c r="N19" i="3"/>
  <c r="M19" i="3"/>
  <c r="L19" i="3"/>
  <c r="N18" i="3"/>
  <c r="M18" i="3"/>
  <c r="L18" i="3"/>
  <c r="N17" i="3"/>
  <c r="M17" i="3"/>
  <c r="L17" i="3"/>
  <c r="N16" i="3"/>
  <c r="M16" i="3"/>
  <c r="L16" i="3"/>
  <c r="N15" i="3"/>
  <c r="M15" i="3"/>
  <c r="L15" i="3"/>
  <c r="N14" i="3"/>
  <c r="M14" i="3"/>
  <c r="L14" i="3"/>
  <c r="N13" i="3"/>
  <c r="M13" i="3"/>
  <c r="L13" i="3"/>
  <c r="N12" i="3"/>
  <c r="M12" i="3"/>
  <c r="L12" i="3"/>
  <c r="N11" i="3"/>
  <c r="M11" i="3"/>
  <c r="L11" i="3"/>
  <c r="N10" i="3"/>
  <c r="M10" i="3"/>
  <c r="L10" i="3"/>
  <c r="N9" i="3"/>
  <c r="M9" i="3"/>
  <c r="L9" i="3"/>
  <c r="N8" i="3"/>
  <c r="M8" i="3"/>
  <c r="L8" i="3"/>
  <c r="N7" i="3"/>
  <c r="M7" i="3"/>
  <c r="L7" i="3"/>
  <c r="N6" i="3"/>
  <c r="M6" i="3"/>
  <c r="L6" i="3"/>
  <c r="N5" i="3"/>
  <c r="M5" i="3"/>
  <c r="L5" i="3"/>
  <c r="N4" i="3"/>
  <c r="M4" i="3"/>
  <c r="L4" i="3"/>
  <c r="N3" i="3"/>
  <c r="M3" i="3"/>
  <c r="L3" i="3"/>
  <c r="N2" i="3"/>
  <c r="M2" i="3"/>
  <c r="L2" i="3"/>
  <c r="M1" i="3"/>
  <c r="L1" i="3"/>
  <c r="N1013" i="2"/>
  <c r="M1013" i="2"/>
  <c r="L1013" i="2"/>
  <c r="N1012" i="2"/>
  <c r="M1012" i="2"/>
  <c r="L1012" i="2"/>
  <c r="N1011" i="2"/>
  <c r="M1011" i="2"/>
  <c r="L1011" i="2"/>
  <c r="N1010" i="2"/>
  <c r="M1010" i="2"/>
  <c r="L1010" i="2"/>
  <c r="N1009" i="2"/>
  <c r="M1009" i="2"/>
  <c r="L1009" i="2"/>
  <c r="N1008" i="2"/>
  <c r="M1008" i="2"/>
  <c r="L1008" i="2"/>
  <c r="N1007" i="2"/>
  <c r="M1007" i="2"/>
  <c r="L1007" i="2"/>
  <c r="N1006" i="2"/>
  <c r="M1006" i="2"/>
  <c r="L1006" i="2"/>
  <c r="N1005" i="2"/>
  <c r="M1005" i="2"/>
  <c r="L1005" i="2"/>
  <c r="N1004" i="2"/>
  <c r="M1004" i="2"/>
  <c r="L1004" i="2"/>
  <c r="N1003" i="2"/>
  <c r="M1003" i="2"/>
  <c r="L1003" i="2"/>
  <c r="N1002" i="2"/>
  <c r="M1002" i="2"/>
  <c r="L1002" i="2"/>
  <c r="N1001" i="2"/>
  <c r="M1001" i="2"/>
  <c r="L1001" i="2"/>
  <c r="N1000" i="2"/>
  <c r="M1000" i="2"/>
  <c r="L1000" i="2"/>
  <c r="N999" i="2"/>
  <c r="M999" i="2"/>
  <c r="L999" i="2"/>
  <c r="N998" i="2"/>
  <c r="M998" i="2"/>
  <c r="L998" i="2"/>
  <c r="N997" i="2"/>
  <c r="M997" i="2"/>
  <c r="L997" i="2"/>
  <c r="N996" i="2"/>
  <c r="M996" i="2"/>
  <c r="L996" i="2"/>
  <c r="N995" i="2"/>
  <c r="M995" i="2"/>
  <c r="L995" i="2"/>
  <c r="N994" i="2"/>
  <c r="M994" i="2"/>
  <c r="L994" i="2"/>
  <c r="N993" i="2"/>
  <c r="M993" i="2"/>
  <c r="L993" i="2"/>
  <c r="N992" i="2"/>
  <c r="M992" i="2"/>
  <c r="L992" i="2"/>
  <c r="N991" i="2"/>
  <c r="M991" i="2"/>
  <c r="L991" i="2"/>
  <c r="N990" i="2"/>
  <c r="M990" i="2"/>
  <c r="L990" i="2"/>
  <c r="N989" i="2"/>
  <c r="M989" i="2"/>
  <c r="L989" i="2"/>
  <c r="N988" i="2"/>
  <c r="M988" i="2"/>
  <c r="L988" i="2"/>
  <c r="N987" i="2"/>
  <c r="M987" i="2"/>
  <c r="L987" i="2"/>
  <c r="N986" i="2"/>
  <c r="M986" i="2"/>
  <c r="L986" i="2"/>
  <c r="N985" i="2"/>
  <c r="M985" i="2"/>
  <c r="L985" i="2"/>
  <c r="N984" i="2"/>
  <c r="M984" i="2"/>
  <c r="L984" i="2"/>
  <c r="N983" i="2"/>
  <c r="M983" i="2"/>
  <c r="L983" i="2"/>
  <c r="N982" i="2"/>
  <c r="M982" i="2"/>
  <c r="L982" i="2"/>
  <c r="N981" i="2"/>
  <c r="M981" i="2"/>
  <c r="L981" i="2"/>
  <c r="N980" i="2"/>
  <c r="M980" i="2"/>
  <c r="L980" i="2"/>
  <c r="N979" i="2"/>
  <c r="M979" i="2"/>
  <c r="L979" i="2"/>
  <c r="N978" i="2"/>
  <c r="M978" i="2"/>
  <c r="L978" i="2"/>
  <c r="N977" i="2"/>
  <c r="M977" i="2"/>
  <c r="L977" i="2"/>
  <c r="N976" i="2"/>
  <c r="M976" i="2"/>
  <c r="L976" i="2"/>
  <c r="N975" i="2"/>
  <c r="M975" i="2"/>
  <c r="L975" i="2"/>
  <c r="N974" i="2"/>
  <c r="M974" i="2"/>
  <c r="L974" i="2"/>
  <c r="N973" i="2"/>
  <c r="M973" i="2"/>
  <c r="L973" i="2"/>
  <c r="N972" i="2"/>
  <c r="M972" i="2"/>
  <c r="L972" i="2"/>
  <c r="N971" i="2"/>
  <c r="M971" i="2"/>
  <c r="L971" i="2"/>
  <c r="N970" i="2"/>
  <c r="M970" i="2"/>
  <c r="L970" i="2"/>
  <c r="N969" i="2"/>
  <c r="M969" i="2"/>
  <c r="L969" i="2"/>
  <c r="N968" i="2"/>
  <c r="M968" i="2"/>
  <c r="L968" i="2"/>
  <c r="N967" i="2"/>
  <c r="M967" i="2"/>
  <c r="L967" i="2"/>
  <c r="N966" i="2"/>
  <c r="M966" i="2"/>
  <c r="L966" i="2"/>
  <c r="N965" i="2"/>
  <c r="M965" i="2"/>
  <c r="L965" i="2"/>
  <c r="N964" i="2"/>
  <c r="M964" i="2"/>
  <c r="L964" i="2"/>
  <c r="N963" i="2"/>
  <c r="M963" i="2"/>
  <c r="L963" i="2"/>
  <c r="N962" i="2"/>
  <c r="M962" i="2"/>
  <c r="L962" i="2"/>
  <c r="N961" i="2"/>
  <c r="M961" i="2"/>
  <c r="L961" i="2"/>
  <c r="N960" i="2"/>
  <c r="M960" i="2"/>
  <c r="L960" i="2"/>
  <c r="N959" i="2"/>
  <c r="M959" i="2"/>
  <c r="L959" i="2"/>
  <c r="N958" i="2"/>
  <c r="M958" i="2"/>
  <c r="L958" i="2"/>
  <c r="N957" i="2"/>
  <c r="M957" i="2"/>
  <c r="L957" i="2"/>
  <c r="N956" i="2"/>
  <c r="M956" i="2"/>
  <c r="L956" i="2"/>
  <c r="N955" i="2"/>
  <c r="M955" i="2"/>
  <c r="L955" i="2"/>
  <c r="N954" i="2"/>
  <c r="M954" i="2"/>
  <c r="L954" i="2"/>
  <c r="N953" i="2"/>
  <c r="M953" i="2"/>
  <c r="L953" i="2"/>
  <c r="N952" i="2"/>
  <c r="M952" i="2"/>
  <c r="L952" i="2"/>
  <c r="N951" i="2"/>
  <c r="M951" i="2"/>
  <c r="L951" i="2"/>
  <c r="N950" i="2"/>
  <c r="M950" i="2"/>
  <c r="L950" i="2"/>
  <c r="N949" i="2"/>
  <c r="M949" i="2"/>
  <c r="L949" i="2"/>
  <c r="N948" i="2"/>
  <c r="M948" i="2"/>
  <c r="L948" i="2"/>
  <c r="N947" i="2"/>
  <c r="M947" i="2"/>
  <c r="L947" i="2"/>
  <c r="N946" i="2"/>
  <c r="M946" i="2"/>
  <c r="L946" i="2"/>
  <c r="N945" i="2"/>
  <c r="M945" i="2"/>
  <c r="L945" i="2"/>
  <c r="N944" i="2"/>
  <c r="M944" i="2"/>
  <c r="L944" i="2"/>
  <c r="N943" i="2"/>
  <c r="M943" i="2"/>
  <c r="L943" i="2"/>
  <c r="N942" i="2"/>
  <c r="M942" i="2"/>
  <c r="L942" i="2"/>
  <c r="N941" i="2"/>
  <c r="M941" i="2"/>
  <c r="L941" i="2"/>
  <c r="N940" i="2"/>
  <c r="M940" i="2"/>
  <c r="L940" i="2"/>
  <c r="N939" i="2"/>
  <c r="M939" i="2"/>
  <c r="L939" i="2"/>
  <c r="N938" i="2"/>
  <c r="M938" i="2"/>
  <c r="L938" i="2"/>
  <c r="N937" i="2"/>
  <c r="M937" i="2"/>
  <c r="L937" i="2"/>
  <c r="N936" i="2"/>
  <c r="M936" i="2"/>
  <c r="L936" i="2"/>
  <c r="N935" i="2"/>
  <c r="M935" i="2"/>
  <c r="L935" i="2"/>
  <c r="N934" i="2"/>
  <c r="M934" i="2"/>
  <c r="L934" i="2"/>
  <c r="N933" i="2"/>
  <c r="M933" i="2"/>
  <c r="L933" i="2"/>
  <c r="N932" i="2"/>
  <c r="M932" i="2"/>
  <c r="L932" i="2"/>
  <c r="N931" i="2"/>
  <c r="M931" i="2"/>
  <c r="L931" i="2"/>
  <c r="N930" i="2"/>
  <c r="M930" i="2"/>
  <c r="L930" i="2"/>
  <c r="N929" i="2"/>
  <c r="M929" i="2"/>
  <c r="L929" i="2"/>
  <c r="N928" i="2"/>
  <c r="M928" i="2"/>
  <c r="L928" i="2"/>
  <c r="N927" i="2"/>
  <c r="M927" i="2"/>
  <c r="L927" i="2"/>
  <c r="N926" i="2"/>
  <c r="M926" i="2"/>
  <c r="L926" i="2"/>
  <c r="N925" i="2"/>
  <c r="M925" i="2"/>
  <c r="L925" i="2"/>
  <c r="N924" i="2"/>
  <c r="M924" i="2"/>
  <c r="L924" i="2"/>
  <c r="N923" i="2"/>
  <c r="M923" i="2"/>
  <c r="L923" i="2"/>
  <c r="N922" i="2"/>
  <c r="M922" i="2"/>
  <c r="L922" i="2"/>
  <c r="N921" i="2"/>
  <c r="M921" i="2"/>
  <c r="L921" i="2"/>
  <c r="N920" i="2"/>
  <c r="M920" i="2"/>
  <c r="L920" i="2"/>
  <c r="N919" i="2"/>
  <c r="M919" i="2"/>
  <c r="L919" i="2"/>
  <c r="N918" i="2"/>
  <c r="M918" i="2"/>
  <c r="L918" i="2"/>
  <c r="N917" i="2"/>
  <c r="M917" i="2"/>
  <c r="L917" i="2"/>
  <c r="N916" i="2"/>
  <c r="M916" i="2"/>
  <c r="L916" i="2"/>
  <c r="N915" i="2"/>
  <c r="M915" i="2"/>
  <c r="L915" i="2"/>
  <c r="N914" i="2"/>
  <c r="M914" i="2"/>
  <c r="L914" i="2"/>
  <c r="N913" i="2"/>
  <c r="M913" i="2"/>
  <c r="L913" i="2"/>
  <c r="N912" i="2"/>
  <c r="M912" i="2"/>
  <c r="L912" i="2"/>
  <c r="N911" i="2"/>
  <c r="M911" i="2"/>
  <c r="L911" i="2"/>
  <c r="N910" i="2"/>
  <c r="M910" i="2"/>
  <c r="L910" i="2"/>
  <c r="N909" i="2"/>
  <c r="M909" i="2"/>
  <c r="L909" i="2"/>
  <c r="N908" i="2"/>
  <c r="M908" i="2"/>
  <c r="L908" i="2"/>
  <c r="N907" i="2"/>
  <c r="M907" i="2"/>
  <c r="L907" i="2"/>
  <c r="N906" i="2"/>
  <c r="M906" i="2"/>
  <c r="L906" i="2"/>
  <c r="N905" i="2"/>
  <c r="M905" i="2"/>
  <c r="L905" i="2"/>
  <c r="N904" i="2"/>
  <c r="M904" i="2"/>
  <c r="L904" i="2"/>
  <c r="N903" i="2"/>
  <c r="M903" i="2"/>
  <c r="L903" i="2"/>
  <c r="N902" i="2"/>
  <c r="M902" i="2"/>
  <c r="L902" i="2"/>
  <c r="N901" i="2"/>
  <c r="M901" i="2"/>
  <c r="L901" i="2"/>
  <c r="N900" i="2"/>
  <c r="M900" i="2"/>
  <c r="L900" i="2"/>
  <c r="N899" i="2"/>
  <c r="M899" i="2"/>
  <c r="L899" i="2"/>
  <c r="N898" i="2"/>
  <c r="M898" i="2"/>
  <c r="L898" i="2"/>
  <c r="N897" i="2"/>
  <c r="M897" i="2"/>
  <c r="L897" i="2"/>
  <c r="N896" i="2"/>
  <c r="M896" i="2"/>
  <c r="L896" i="2"/>
  <c r="N895" i="2"/>
  <c r="M895" i="2"/>
  <c r="L895" i="2"/>
  <c r="N894" i="2"/>
  <c r="M894" i="2"/>
  <c r="L894" i="2"/>
  <c r="N893" i="2"/>
  <c r="M893" i="2"/>
  <c r="L893" i="2"/>
  <c r="N892" i="2"/>
  <c r="M892" i="2"/>
  <c r="L892" i="2"/>
  <c r="N891" i="2"/>
  <c r="M891" i="2"/>
  <c r="L891" i="2"/>
  <c r="N890" i="2"/>
  <c r="M890" i="2"/>
  <c r="L890" i="2"/>
  <c r="N889" i="2"/>
  <c r="M889" i="2"/>
  <c r="L889" i="2"/>
  <c r="N888" i="2"/>
  <c r="M888" i="2"/>
  <c r="L888" i="2"/>
  <c r="N887" i="2"/>
  <c r="M887" i="2"/>
  <c r="L887" i="2"/>
  <c r="N886" i="2"/>
  <c r="M886" i="2"/>
  <c r="L886" i="2"/>
  <c r="N885" i="2"/>
  <c r="M885" i="2"/>
  <c r="L885" i="2"/>
  <c r="N884" i="2"/>
  <c r="M884" i="2"/>
  <c r="L884" i="2"/>
  <c r="N883" i="2"/>
  <c r="M883" i="2"/>
  <c r="L883" i="2"/>
  <c r="N882" i="2"/>
  <c r="M882" i="2"/>
  <c r="L882" i="2"/>
  <c r="N881" i="2"/>
  <c r="M881" i="2"/>
  <c r="L881" i="2"/>
  <c r="N880" i="2"/>
  <c r="M880" i="2"/>
  <c r="L880" i="2"/>
  <c r="N879" i="2"/>
  <c r="M879" i="2"/>
  <c r="L879" i="2"/>
  <c r="N878" i="2"/>
  <c r="M878" i="2"/>
  <c r="L878" i="2"/>
  <c r="N877" i="2"/>
  <c r="M877" i="2"/>
  <c r="L877" i="2"/>
  <c r="N876" i="2"/>
  <c r="M876" i="2"/>
  <c r="L876" i="2"/>
  <c r="N875" i="2"/>
  <c r="M875" i="2"/>
  <c r="L875" i="2"/>
  <c r="N874" i="2"/>
  <c r="M874" i="2"/>
  <c r="L874" i="2"/>
  <c r="N873" i="2"/>
  <c r="M873" i="2"/>
  <c r="L873" i="2"/>
  <c r="N872" i="2"/>
  <c r="M872" i="2"/>
  <c r="L872" i="2"/>
  <c r="N871" i="2"/>
  <c r="M871" i="2"/>
  <c r="L871" i="2"/>
  <c r="N870" i="2"/>
  <c r="M870" i="2"/>
  <c r="L870" i="2"/>
  <c r="N869" i="2"/>
  <c r="M869" i="2"/>
  <c r="L869" i="2"/>
  <c r="N868" i="2"/>
  <c r="M868" i="2"/>
  <c r="L868" i="2"/>
  <c r="N867" i="2"/>
  <c r="M867" i="2"/>
  <c r="L867" i="2"/>
  <c r="N866" i="2"/>
  <c r="M866" i="2"/>
  <c r="L866" i="2"/>
  <c r="N865" i="2"/>
  <c r="M865" i="2"/>
  <c r="L865" i="2"/>
  <c r="N864" i="2"/>
  <c r="M864" i="2"/>
  <c r="L864" i="2"/>
  <c r="N863" i="2"/>
  <c r="M863" i="2"/>
  <c r="L863" i="2"/>
  <c r="N862" i="2"/>
  <c r="M862" i="2"/>
  <c r="L862" i="2"/>
  <c r="N861" i="2"/>
  <c r="M861" i="2"/>
  <c r="L861" i="2"/>
  <c r="N860" i="2"/>
  <c r="M860" i="2"/>
  <c r="L860" i="2"/>
  <c r="N859" i="2"/>
  <c r="M859" i="2"/>
  <c r="L859" i="2"/>
  <c r="N858" i="2"/>
  <c r="M858" i="2"/>
  <c r="L858" i="2"/>
  <c r="N857" i="2"/>
  <c r="M857" i="2"/>
  <c r="L857" i="2"/>
  <c r="N856" i="2"/>
  <c r="M856" i="2"/>
  <c r="L856" i="2"/>
  <c r="N855" i="2"/>
  <c r="M855" i="2"/>
  <c r="L855" i="2"/>
  <c r="N854" i="2"/>
  <c r="M854" i="2"/>
  <c r="L854" i="2"/>
  <c r="N853" i="2"/>
  <c r="M853" i="2"/>
  <c r="L853" i="2"/>
  <c r="N852" i="2"/>
  <c r="M852" i="2"/>
  <c r="L852" i="2"/>
  <c r="N851" i="2"/>
  <c r="M851" i="2"/>
  <c r="L851" i="2"/>
  <c r="N850" i="2"/>
  <c r="M850" i="2"/>
  <c r="L850" i="2"/>
  <c r="N849" i="2"/>
  <c r="M849" i="2"/>
  <c r="L849" i="2"/>
  <c r="N848" i="2"/>
  <c r="M848" i="2"/>
  <c r="L848" i="2"/>
  <c r="N847" i="2"/>
  <c r="M847" i="2"/>
  <c r="L847" i="2"/>
  <c r="N846" i="2"/>
  <c r="M846" i="2"/>
  <c r="L846" i="2"/>
  <c r="N845" i="2"/>
  <c r="M845" i="2"/>
  <c r="L845" i="2"/>
  <c r="N844" i="2"/>
  <c r="M844" i="2"/>
  <c r="L844" i="2"/>
  <c r="N843" i="2"/>
  <c r="M843" i="2"/>
  <c r="L843" i="2"/>
  <c r="N842" i="2"/>
  <c r="M842" i="2"/>
  <c r="L842" i="2"/>
  <c r="N841" i="2"/>
  <c r="M841" i="2"/>
  <c r="L841" i="2"/>
  <c r="N840" i="2"/>
  <c r="M840" i="2"/>
  <c r="L840" i="2"/>
  <c r="N839" i="2"/>
  <c r="M839" i="2"/>
  <c r="L839" i="2"/>
  <c r="N838" i="2"/>
  <c r="M838" i="2"/>
  <c r="L838" i="2"/>
  <c r="N837" i="2"/>
  <c r="M837" i="2"/>
  <c r="L837" i="2"/>
  <c r="N836" i="2"/>
  <c r="M836" i="2"/>
  <c r="L836" i="2"/>
  <c r="N835" i="2"/>
  <c r="M835" i="2"/>
  <c r="L835" i="2"/>
  <c r="N834" i="2"/>
  <c r="M834" i="2"/>
  <c r="L834" i="2"/>
  <c r="N833" i="2"/>
  <c r="M833" i="2"/>
  <c r="L833" i="2"/>
  <c r="N832" i="2"/>
  <c r="M832" i="2"/>
  <c r="L832" i="2"/>
  <c r="N831" i="2"/>
  <c r="M831" i="2"/>
  <c r="L831" i="2"/>
  <c r="N830" i="2"/>
  <c r="M830" i="2"/>
  <c r="L830" i="2"/>
  <c r="N829" i="2"/>
  <c r="M829" i="2"/>
  <c r="L829" i="2"/>
  <c r="N828" i="2"/>
  <c r="M828" i="2"/>
  <c r="L828" i="2"/>
  <c r="N827" i="2"/>
  <c r="M827" i="2"/>
  <c r="L827" i="2"/>
  <c r="N826" i="2"/>
  <c r="M826" i="2"/>
  <c r="L826" i="2"/>
  <c r="N825" i="2"/>
  <c r="M825" i="2"/>
  <c r="L825" i="2"/>
  <c r="N824" i="2"/>
  <c r="M824" i="2"/>
  <c r="L824" i="2"/>
  <c r="N823" i="2"/>
  <c r="M823" i="2"/>
  <c r="L823" i="2"/>
  <c r="N822" i="2"/>
  <c r="M822" i="2"/>
  <c r="L822" i="2"/>
  <c r="N821" i="2"/>
  <c r="M821" i="2"/>
  <c r="L821" i="2"/>
  <c r="N820" i="2"/>
  <c r="M820" i="2"/>
  <c r="L820" i="2"/>
  <c r="N819" i="2"/>
  <c r="M819" i="2"/>
  <c r="L819" i="2"/>
  <c r="N818" i="2"/>
  <c r="M818" i="2"/>
  <c r="L818" i="2"/>
  <c r="N817" i="2"/>
  <c r="M817" i="2"/>
  <c r="L817" i="2"/>
  <c r="N816" i="2"/>
  <c r="M816" i="2"/>
  <c r="L816" i="2"/>
  <c r="N815" i="2"/>
  <c r="M815" i="2"/>
  <c r="L815" i="2"/>
  <c r="N814" i="2"/>
  <c r="M814" i="2"/>
  <c r="L814" i="2"/>
  <c r="N813" i="2"/>
  <c r="M813" i="2"/>
  <c r="L813" i="2"/>
  <c r="N812" i="2"/>
  <c r="M812" i="2"/>
  <c r="L812" i="2"/>
  <c r="N811" i="2"/>
  <c r="M811" i="2"/>
  <c r="L811" i="2"/>
  <c r="N810" i="2"/>
  <c r="M810" i="2"/>
  <c r="L810" i="2"/>
  <c r="N809" i="2"/>
  <c r="M809" i="2"/>
  <c r="L809" i="2"/>
  <c r="N808" i="2"/>
  <c r="M808" i="2"/>
  <c r="L808" i="2"/>
  <c r="N807" i="2"/>
  <c r="M807" i="2"/>
  <c r="L807" i="2"/>
  <c r="N806" i="2"/>
  <c r="M806" i="2"/>
  <c r="L806" i="2"/>
  <c r="N805" i="2"/>
  <c r="M805" i="2"/>
  <c r="L805" i="2"/>
  <c r="N804" i="2"/>
  <c r="M804" i="2"/>
  <c r="L804" i="2"/>
  <c r="N803" i="2"/>
  <c r="M803" i="2"/>
  <c r="L803" i="2"/>
  <c r="N802" i="2"/>
  <c r="M802" i="2"/>
  <c r="L802" i="2"/>
  <c r="N801" i="2"/>
  <c r="M801" i="2"/>
  <c r="L801" i="2"/>
  <c r="N800" i="2"/>
  <c r="M800" i="2"/>
  <c r="L800" i="2"/>
  <c r="N799" i="2"/>
  <c r="M799" i="2"/>
  <c r="L799" i="2"/>
  <c r="N798" i="2"/>
  <c r="M798" i="2"/>
  <c r="L798" i="2"/>
  <c r="N797" i="2"/>
  <c r="M797" i="2"/>
  <c r="L797" i="2"/>
  <c r="N796" i="2"/>
  <c r="M796" i="2"/>
  <c r="L796" i="2"/>
  <c r="N795" i="2"/>
  <c r="M795" i="2"/>
  <c r="L795" i="2"/>
  <c r="N794" i="2"/>
  <c r="M794" i="2"/>
  <c r="L794" i="2"/>
  <c r="N793" i="2"/>
  <c r="M793" i="2"/>
  <c r="L793" i="2"/>
  <c r="N792" i="2"/>
  <c r="M792" i="2"/>
  <c r="L792" i="2"/>
  <c r="N791" i="2"/>
  <c r="M791" i="2"/>
  <c r="L791" i="2"/>
  <c r="N790" i="2"/>
  <c r="M790" i="2"/>
  <c r="L790" i="2"/>
  <c r="N789" i="2"/>
  <c r="M789" i="2"/>
  <c r="L789" i="2"/>
  <c r="N788" i="2"/>
  <c r="M788" i="2"/>
  <c r="L788" i="2"/>
  <c r="N787" i="2"/>
  <c r="M787" i="2"/>
  <c r="L787" i="2"/>
  <c r="N786" i="2"/>
  <c r="M786" i="2"/>
  <c r="L786" i="2"/>
  <c r="N785" i="2"/>
  <c r="M785" i="2"/>
  <c r="L785" i="2"/>
  <c r="N784" i="2"/>
  <c r="M784" i="2"/>
  <c r="L784" i="2"/>
  <c r="N783" i="2"/>
  <c r="M783" i="2"/>
  <c r="L783" i="2"/>
  <c r="N782" i="2"/>
  <c r="M782" i="2"/>
  <c r="L782" i="2"/>
  <c r="N781" i="2"/>
  <c r="M781" i="2"/>
  <c r="L781" i="2"/>
  <c r="N780" i="2"/>
  <c r="M780" i="2"/>
  <c r="L780" i="2"/>
  <c r="N779" i="2"/>
  <c r="M779" i="2"/>
  <c r="L779" i="2"/>
  <c r="N778" i="2"/>
  <c r="M778" i="2"/>
  <c r="L778" i="2"/>
  <c r="N777" i="2"/>
  <c r="M777" i="2"/>
  <c r="L777" i="2"/>
  <c r="N776" i="2"/>
  <c r="M776" i="2"/>
  <c r="L776" i="2"/>
  <c r="N775" i="2"/>
  <c r="M775" i="2"/>
  <c r="L775" i="2"/>
  <c r="N774" i="2"/>
  <c r="M774" i="2"/>
  <c r="L774" i="2"/>
  <c r="N773" i="2"/>
  <c r="M773" i="2"/>
  <c r="L773" i="2"/>
  <c r="N772" i="2"/>
  <c r="M772" i="2"/>
  <c r="L772" i="2"/>
  <c r="N771" i="2"/>
  <c r="M771" i="2"/>
  <c r="L771" i="2"/>
  <c r="N770" i="2"/>
  <c r="M770" i="2"/>
  <c r="L770" i="2"/>
  <c r="N769" i="2"/>
  <c r="M769" i="2"/>
  <c r="L769" i="2"/>
  <c r="N768" i="2"/>
  <c r="M768" i="2"/>
  <c r="L768" i="2"/>
  <c r="N767" i="2"/>
  <c r="M767" i="2"/>
  <c r="L767" i="2"/>
  <c r="N766" i="2"/>
  <c r="M766" i="2"/>
  <c r="L766" i="2"/>
  <c r="N765" i="2"/>
  <c r="M765" i="2"/>
  <c r="L765" i="2"/>
  <c r="N764" i="2"/>
  <c r="M764" i="2"/>
  <c r="L764" i="2"/>
  <c r="N763" i="2"/>
  <c r="M763" i="2"/>
  <c r="L763" i="2"/>
  <c r="N762" i="2"/>
  <c r="M762" i="2"/>
  <c r="L762" i="2"/>
  <c r="N761" i="2"/>
  <c r="M761" i="2"/>
  <c r="L761" i="2"/>
  <c r="N760" i="2"/>
  <c r="M760" i="2"/>
  <c r="L760" i="2"/>
  <c r="N759" i="2"/>
  <c r="M759" i="2"/>
  <c r="L759" i="2"/>
  <c r="N758" i="2"/>
  <c r="M758" i="2"/>
  <c r="L758" i="2"/>
  <c r="N757" i="2"/>
  <c r="M757" i="2"/>
  <c r="L757" i="2"/>
  <c r="N756" i="2"/>
  <c r="M756" i="2"/>
  <c r="L756" i="2"/>
  <c r="N755" i="2"/>
  <c r="M755" i="2"/>
  <c r="L755" i="2"/>
  <c r="N754" i="2"/>
  <c r="M754" i="2"/>
  <c r="L754" i="2"/>
  <c r="N753" i="2"/>
  <c r="M753" i="2"/>
  <c r="L753" i="2"/>
  <c r="N752" i="2"/>
  <c r="M752" i="2"/>
  <c r="L752" i="2"/>
  <c r="N751" i="2"/>
  <c r="M751" i="2"/>
  <c r="L751" i="2"/>
  <c r="N750" i="2"/>
  <c r="M750" i="2"/>
  <c r="L750" i="2"/>
  <c r="N749" i="2"/>
  <c r="M749" i="2"/>
  <c r="L749" i="2"/>
  <c r="N748" i="2"/>
  <c r="M748" i="2"/>
  <c r="L748" i="2"/>
  <c r="N747" i="2"/>
  <c r="M747" i="2"/>
  <c r="L747" i="2"/>
  <c r="N746" i="2"/>
  <c r="M746" i="2"/>
  <c r="L746" i="2"/>
  <c r="N745" i="2"/>
  <c r="M745" i="2"/>
  <c r="L745" i="2"/>
  <c r="N744" i="2"/>
  <c r="M744" i="2"/>
  <c r="L744" i="2"/>
  <c r="N743" i="2"/>
  <c r="M743" i="2"/>
  <c r="L743" i="2"/>
  <c r="N742" i="2"/>
  <c r="M742" i="2"/>
  <c r="L742" i="2"/>
  <c r="N741" i="2"/>
  <c r="M741" i="2"/>
  <c r="L741" i="2"/>
  <c r="N740" i="2"/>
  <c r="M740" i="2"/>
  <c r="L740" i="2"/>
  <c r="N739" i="2"/>
  <c r="M739" i="2"/>
  <c r="L739" i="2"/>
  <c r="N738" i="2"/>
  <c r="M738" i="2"/>
  <c r="L738" i="2"/>
  <c r="N737" i="2"/>
  <c r="M737" i="2"/>
  <c r="L737" i="2"/>
  <c r="N736" i="2"/>
  <c r="M736" i="2"/>
  <c r="L736" i="2"/>
  <c r="N735" i="2"/>
  <c r="M735" i="2"/>
  <c r="L735" i="2"/>
  <c r="N734" i="2"/>
  <c r="M734" i="2"/>
  <c r="L734" i="2"/>
  <c r="N733" i="2"/>
  <c r="M733" i="2"/>
  <c r="L733" i="2"/>
  <c r="N732" i="2"/>
  <c r="M732" i="2"/>
  <c r="L732" i="2"/>
  <c r="N731" i="2"/>
  <c r="M731" i="2"/>
  <c r="L731" i="2"/>
  <c r="N730" i="2"/>
  <c r="M730" i="2"/>
  <c r="L730" i="2"/>
  <c r="N729" i="2"/>
  <c r="M729" i="2"/>
  <c r="L729" i="2"/>
  <c r="N728" i="2"/>
  <c r="M728" i="2"/>
  <c r="L728" i="2"/>
  <c r="N727" i="2"/>
  <c r="M727" i="2"/>
  <c r="L727" i="2"/>
  <c r="N726" i="2"/>
  <c r="M726" i="2"/>
  <c r="L726" i="2"/>
  <c r="N725" i="2"/>
  <c r="M725" i="2"/>
  <c r="L725" i="2"/>
  <c r="N724" i="2"/>
  <c r="M724" i="2"/>
  <c r="L724" i="2"/>
  <c r="N723" i="2"/>
  <c r="M723" i="2"/>
  <c r="L723" i="2"/>
  <c r="N722" i="2"/>
  <c r="M722" i="2"/>
  <c r="L722" i="2"/>
  <c r="N721" i="2"/>
  <c r="M721" i="2"/>
  <c r="L721" i="2"/>
  <c r="N720" i="2"/>
  <c r="M720" i="2"/>
  <c r="L720" i="2"/>
  <c r="N719" i="2"/>
  <c r="M719" i="2"/>
  <c r="L719" i="2"/>
  <c r="N718" i="2"/>
  <c r="M718" i="2"/>
  <c r="L718" i="2"/>
  <c r="N717" i="2"/>
  <c r="M717" i="2"/>
  <c r="L717" i="2"/>
  <c r="N716" i="2"/>
  <c r="M716" i="2"/>
  <c r="L716" i="2"/>
  <c r="N715" i="2"/>
  <c r="M715" i="2"/>
  <c r="L715" i="2"/>
  <c r="N714" i="2"/>
  <c r="M714" i="2"/>
  <c r="L714" i="2"/>
  <c r="N713" i="2"/>
  <c r="M713" i="2"/>
  <c r="L713" i="2"/>
  <c r="N712" i="2"/>
  <c r="M712" i="2"/>
  <c r="L712" i="2"/>
  <c r="N711" i="2"/>
  <c r="M711" i="2"/>
  <c r="L711" i="2"/>
  <c r="N710" i="2"/>
  <c r="M710" i="2"/>
  <c r="L710" i="2"/>
  <c r="N709" i="2"/>
  <c r="M709" i="2"/>
  <c r="L709" i="2"/>
  <c r="N708" i="2"/>
  <c r="M708" i="2"/>
  <c r="L708" i="2"/>
  <c r="N707" i="2"/>
  <c r="M707" i="2"/>
  <c r="L707" i="2"/>
  <c r="N706" i="2"/>
  <c r="M706" i="2"/>
  <c r="L706" i="2"/>
  <c r="N705" i="2"/>
  <c r="M705" i="2"/>
  <c r="L705" i="2"/>
  <c r="N704" i="2"/>
  <c r="M704" i="2"/>
  <c r="L704" i="2"/>
  <c r="N703" i="2"/>
  <c r="M703" i="2"/>
  <c r="L703" i="2"/>
  <c r="N702" i="2"/>
  <c r="M702" i="2"/>
  <c r="L702" i="2"/>
  <c r="N701" i="2"/>
  <c r="M701" i="2"/>
  <c r="L701" i="2"/>
  <c r="N700" i="2"/>
  <c r="M700" i="2"/>
  <c r="L700" i="2"/>
  <c r="N699" i="2"/>
  <c r="M699" i="2"/>
  <c r="L699" i="2"/>
  <c r="N698" i="2"/>
  <c r="M698" i="2"/>
  <c r="L698" i="2"/>
  <c r="N697" i="2"/>
  <c r="M697" i="2"/>
  <c r="L697" i="2"/>
  <c r="N696" i="2"/>
  <c r="M696" i="2"/>
  <c r="L696" i="2"/>
  <c r="N695" i="2"/>
  <c r="M695" i="2"/>
  <c r="L695" i="2"/>
  <c r="N694" i="2"/>
  <c r="M694" i="2"/>
  <c r="L694" i="2"/>
  <c r="N693" i="2"/>
  <c r="M693" i="2"/>
  <c r="L693" i="2"/>
  <c r="N692" i="2"/>
  <c r="M692" i="2"/>
  <c r="L692" i="2"/>
  <c r="N691" i="2"/>
  <c r="M691" i="2"/>
  <c r="L691" i="2"/>
  <c r="N690" i="2"/>
  <c r="M690" i="2"/>
  <c r="L690" i="2"/>
  <c r="N689" i="2"/>
  <c r="M689" i="2"/>
  <c r="L689" i="2"/>
  <c r="N688" i="2"/>
  <c r="M688" i="2"/>
  <c r="L688" i="2"/>
  <c r="N687" i="2"/>
  <c r="M687" i="2"/>
  <c r="L687" i="2"/>
  <c r="N686" i="2"/>
  <c r="M686" i="2"/>
  <c r="L686" i="2"/>
  <c r="N685" i="2"/>
  <c r="M685" i="2"/>
  <c r="L685" i="2"/>
  <c r="N684" i="2"/>
  <c r="M684" i="2"/>
  <c r="L684" i="2"/>
  <c r="N683" i="2"/>
  <c r="M683" i="2"/>
  <c r="L683" i="2"/>
  <c r="N682" i="2"/>
  <c r="M682" i="2"/>
  <c r="L682" i="2"/>
  <c r="N681" i="2"/>
  <c r="M681" i="2"/>
  <c r="L681" i="2"/>
  <c r="N680" i="2"/>
  <c r="M680" i="2"/>
  <c r="L680" i="2"/>
  <c r="N679" i="2"/>
  <c r="M679" i="2"/>
  <c r="L679" i="2"/>
  <c r="N678" i="2"/>
  <c r="M678" i="2"/>
  <c r="L678" i="2"/>
  <c r="N677" i="2"/>
  <c r="M677" i="2"/>
  <c r="L677" i="2"/>
  <c r="N676" i="2"/>
  <c r="M676" i="2"/>
  <c r="L676" i="2"/>
  <c r="N675" i="2"/>
  <c r="M675" i="2"/>
  <c r="L675" i="2"/>
  <c r="N674" i="2"/>
  <c r="M674" i="2"/>
  <c r="L674" i="2"/>
  <c r="N673" i="2"/>
  <c r="M673" i="2"/>
  <c r="L673" i="2"/>
  <c r="N672" i="2"/>
  <c r="M672" i="2"/>
  <c r="L672" i="2"/>
  <c r="N671" i="2"/>
  <c r="M671" i="2"/>
  <c r="L671" i="2"/>
  <c r="N670" i="2"/>
  <c r="M670" i="2"/>
  <c r="L670" i="2"/>
  <c r="N669" i="2"/>
  <c r="M669" i="2"/>
  <c r="L669" i="2"/>
  <c r="N668" i="2"/>
  <c r="M668" i="2"/>
  <c r="L668" i="2"/>
  <c r="N667" i="2"/>
  <c r="M667" i="2"/>
  <c r="L667" i="2"/>
  <c r="N666" i="2"/>
  <c r="M666" i="2"/>
  <c r="L666" i="2"/>
  <c r="N665" i="2"/>
  <c r="M665" i="2"/>
  <c r="L665" i="2"/>
  <c r="N664" i="2"/>
  <c r="M664" i="2"/>
  <c r="L664" i="2"/>
  <c r="N663" i="2"/>
  <c r="M663" i="2"/>
  <c r="L663" i="2"/>
  <c r="N662" i="2"/>
  <c r="M662" i="2"/>
  <c r="L662" i="2"/>
  <c r="N661" i="2"/>
  <c r="M661" i="2"/>
  <c r="L661" i="2"/>
  <c r="N660" i="2"/>
  <c r="M660" i="2"/>
  <c r="L660" i="2"/>
  <c r="N659" i="2"/>
  <c r="M659" i="2"/>
  <c r="L659" i="2"/>
  <c r="N658" i="2"/>
  <c r="M658" i="2"/>
  <c r="L658" i="2"/>
  <c r="N657" i="2"/>
  <c r="M657" i="2"/>
  <c r="L657" i="2"/>
  <c r="N656" i="2"/>
  <c r="M656" i="2"/>
  <c r="L656" i="2"/>
  <c r="N655" i="2"/>
  <c r="M655" i="2"/>
  <c r="L655" i="2"/>
  <c r="N654" i="2"/>
  <c r="M654" i="2"/>
  <c r="L654" i="2"/>
  <c r="N653" i="2"/>
  <c r="M653" i="2"/>
  <c r="L653" i="2"/>
  <c r="N652" i="2"/>
  <c r="M652" i="2"/>
  <c r="L652" i="2"/>
  <c r="N651" i="2"/>
  <c r="M651" i="2"/>
  <c r="L651" i="2"/>
  <c r="N650" i="2"/>
  <c r="M650" i="2"/>
  <c r="L650" i="2"/>
  <c r="N649" i="2"/>
  <c r="M649" i="2"/>
  <c r="L649" i="2"/>
  <c r="N648" i="2"/>
  <c r="M648" i="2"/>
  <c r="L648" i="2"/>
  <c r="N647" i="2"/>
  <c r="M647" i="2"/>
  <c r="L647" i="2"/>
  <c r="N646" i="2"/>
  <c r="M646" i="2"/>
  <c r="L646" i="2"/>
  <c r="N645" i="2"/>
  <c r="M645" i="2"/>
  <c r="L645" i="2"/>
  <c r="N644" i="2"/>
  <c r="M644" i="2"/>
  <c r="L644" i="2"/>
  <c r="N643" i="2"/>
  <c r="M643" i="2"/>
  <c r="L643" i="2"/>
  <c r="N642" i="2"/>
  <c r="M642" i="2"/>
  <c r="L642" i="2"/>
  <c r="N641" i="2"/>
  <c r="M641" i="2"/>
  <c r="L641" i="2"/>
  <c r="N640" i="2"/>
  <c r="M640" i="2"/>
  <c r="L640" i="2"/>
  <c r="N639" i="2"/>
  <c r="M639" i="2"/>
  <c r="L639" i="2"/>
  <c r="N638" i="2"/>
  <c r="M638" i="2"/>
  <c r="L638" i="2"/>
  <c r="N637" i="2"/>
  <c r="M637" i="2"/>
  <c r="L637" i="2"/>
  <c r="N636" i="2"/>
  <c r="M636" i="2"/>
  <c r="L636" i="2"/>
  <c r="N635" i="2"/>
  <c r="M635" i="2"/>
  <c r="L635" i="2"/>
  <c r="N634" i="2"/>
  <c r="M634" i="2"/>
  <c r="L634" i="2"/>
  <c r="N633" i="2"/>
  <c r="M633" i="2"/>
  <c r="L633" i="2"/>
  <c r="N632" i="2"/>
  <c r="M632" i="2"/>
  <c r="L632" i="2"/>
  <c r="N631" i="2"/>
  <c r="M631" i="2"/>
  <c r="L631" i="2"/>
  <c r="N630" i="2"/>
  <c r="M630" i="2"/>
  <c r="L630" i="2"/>
  <c r="N629" i="2"/>
  <c r="M629" i="2"/>
  <c r="L629" i="2"/>
  <c r="N628" i="2"/>
  <c r="M628" i="2"/>
  <c r="L628" i="2"/>
  <c r="N627" i="2"/>
  <c r="M627" i="2"/>
  <c r="L627" i="2"/>
  <c r="N626" i="2"/>
  <c r="M626" i="2"/>
  <c r="L626" i="2"/>
  <c r="N625" i="2"/>
  <c r="M625" i="2"/>
  <c r="L625" i="2"/>
  <c r="N624" i="2"/>
  <c r="M624" i="2"/>
  <c r="L624" i="2"/>
  <c r="N623" i="2"/>
  <c r="M623" i="2"/>
  <c r="L623" i="2"/>
  <c r="N622" i="2"/>
  <c r="M622" i="2"/>
  <c r="L622" i="2"/>
  <c r="N621" i="2"/>
  <c r="M621" i="2"/>
  <c r="L621" i="2"/>
  <c r="N620" i="2"/>
  <c r="M620" i="2"/>
  <c r="L620" i="2"/>
  <c r="N619" i="2"/>
  <c r="M619" i="2"/>
  <c r="L619" i="2"/>
  <c r="N618" i="2"/>
  <c r="M618" i="2"/>
  <c r="L618" i="2"/>
  <c r="N617" i="2"/>
  <c r="M617" i="2"/>
  <c r="L617" i="2"/>
  <c r="N616" i="2"/>
  <c r="M616" i="2"/>
  <c r="L616" i="2"/>
  <c r="N615" i="2"/>
  <c r="M615" i="2"/>
  <c r="L615" i="2"/>
  <c r="N614" i="2"/>
  <c r="M614" i="2"/>
  <c r="L614" i="2"/>
  <c r="N613" i="2"/>
  <c r="M613" i="2"/>
  <c r="L613" i="2"/>
  <c r="N612" i="2"/>
  <c r="M612" i="2"/>
  <c r="L612" i="2"/>
  <c r="N611" i="2"/>
  <c r="M611" i="2"/>
  <c r="L611" i="2"/>
  <c r="N610" i="2"/>
  <c r="M610" i="2"/>
  <c r="L610" i="2"/>
  <c r="N609" i="2"/>
  <c r="M609" i="2"/>
  <c r="L609" i="2"/>
  <c r="N608" i="2"/>
  <c r="M608" i="2"/>
  <c r="L608" i="2"/>
  <c r="N607" i="2"/>
  <c r="M607" i="2"/>
  <c r="L607" i="2"/>
  <c r="N606" i="2"/>
  <c r="M606" i="2"/>
  <c r="L606" i="2"/>
  <c r="N605" i="2"/>
  <c r="M605" i="2"/>
  <c r="L605" i="2"/>
  <c r="N604" i="2"/>
  <c r="M604" i="2"/>
  <c r="L604" i="2"/>
  <c r="N603" i="2"/>
  <c r="M603" i="2"/>
  <c r="L603" i="2"/>
  <c r="N602" i="2"/>
  <c r="M602" i="2"/>
  <c r="L602" i="2"/>
  <c r="N601" i="2"/>
  <c r="M601" i="2"/>
  <c r="L601" i="2"/>
  <c r="N600" i="2"/>
  <c r="M600" i="2"/>
  <c r="L600" i="2"/>
  <c r="N599" i="2"/>
  <c r="M599" i="2"/>
  <c r="L599" i="2"/>
  <c r="N598" i="2"/>
  <c r="M598" i="2"/>
  <c r="L598" i="2"/>
  <c r="N597" i="2"/>
  <c r="M597" i="2"/>
  <c r="L597" i="2"/>
  <c r="N596" i="2"/>
  <c r="M596" i="2"/>
  <c r="L596" i="2"/>
  <c r="N595" i="2"/>
  <c r="M595" i="2"/>
  <c r="L595" i="2"/>
  <c r="N594" i="2"/>
  <c r="M594" i="2"/>
  <c r="L594" i="2"/>
  <c r="N593" i="2"/>
  <c r="M593" i="2"/>
  <c r="L593" i="2"/>
  <c r="N592" i="2"/>
  <c r="M592" i="2"/>
  <c r="L592" i="2"/>
  <c r="N591" i="2"/>
  <c r="M591" i="2"/>
  <c r="L591" i="2"/>
  <c r="N590" i="2"/>
  <c r="M590" i="2"/>
  <c r="L590" i="2"/>
  <c r="N589" i="2"/>
  <c r="M589" i="2"/>
  <c r="L589" i="2"/>
  <c r="N588" i="2"/>
  <c r="M588" i="2"/>
  <c r="L588" i="2"/>
  <c r="N587" i="2"/>
  <c r="M587" i="2"/>
  <c r="L587" i="2"/>
  <c r="N586" i="2"/>
  <c r="M586" i="2"/>
  <c r="L586" i="2"/>
  <c r="N585" i="2"/>
  <c r="M585" i="2"/>
  <c r="L585" i="2"/>
  <c r="N584" i="2"/>
  <c r="M584" i="2"/>
  <c r="L584" i="2"/>
  <c r="N583" i="2"/>
  <c r="M583" i="2"/>
  <c r="L583" i="2"/>
  <c r="N582" i="2"/>
  <c r="M582" i="2"/>
  <c r="L582" i="2"/>
  <c r="N581" i="2"/>
  <c r="M581" i="2"/>
  <c r="L581" i="2"/>
  <c r="N580" i="2"/>
  <c r="M580" i="2"/>
  <c r="L580" i="2"/>
  <c r="N579" i="2"/>
  <c r="M579" i="2"/>
  <c r="L579" i="2"/>
  <c r="N578" i="2"/>
  <c r="M578" i="2"/>
  <c r="L578" i="2"/>
  <c r="N577" i="2"/>
  <c r="M577" i="2"/>
  <c r="L577" i="2"/>
  <c r="N576" i="2"/>
  <c r="M576" i="2"/>
  <c r="L576" i="2"/>
  <c r="N575" i="2"/>
  <c r="M575" i="2"/>
  <c r="L575" i="2"/>
  <c r="N574" i="2"/>
  <c r="M574" i="2"/>
  <c r="L574" i="2"/>
  <c r="N573" i="2"/>
  <c r="M573" i="2"/>
  <c r="L573" i="2"/>
  <c r="N572" i="2"/>
  <c r="M572" i="2"/>
  <c r="L572" i="2"/>
  <c r="N571" i="2"/>
  <c r="M571" i="2"/>
  <c r="L571" i="2"/>
  <c r="N570" i="2"/>
  <c r="M570" i="2"/>
  <c r="L570" i="2"/>
  <c r="N569" i="2"/>
  <c r="M569" i="2"/>
  <c r="L569" i="2"/>
  <c r="N568" i="2"/>
  <c r="M568" i="2"/>
  <c r="L568" i="2"/>
  <c r="N567" i="2"/>
  <c r="M567" i="2"/>
  <c r="L567" i="2"/>
  <c r="N566" i="2"/>
  <c r="M566" i="2"/>
  <c r="L566" i="2"/>
  <c r="N565" i="2"/>
  <c r="M565" i="2"/>
  <c r="L565" i="2"/>
  <c r="N564" i="2"/>
  <c r="M564" i="2"/>
  <c r="L564" i="2"/>
  <c r="N563" i="2"/>
  <c r="M563" i="2"/>
  <c r="L563" i="2"/>
  <c r="N562" i="2"/>
  <c r="M562" i="2"/>
  <c r="L562" i="2"/>
  <c r="N561" i="2"/>
  <c r="M561" i="2"/>
  <c r="L561" i="2"/>
  <c r="N560" i="2"/>
  <c r="M560" i="2"/>
  <c r="L560" i="2"/>
  <c r="N559" i="2"/>
  <c r="M559" i="2"/>
  <c r="L559" i="2"/>
  <c r="N558" i="2"/>
  <c r="M558" i="2"/>
  <c r="L558" i="2"/>
  <c r="N557" i="2"/>
  <c r="M557" i="2"/>
  <c r="L557" i="2"/>
  <c r="N556" i="2"/>
  <c r="M556" i="2"/>
  <c r="L556" i="2"/>
  <c r="N555" i="2"/>
  <c r="M555" i="2"/>
  <c r="L555" i="2"/>
  <c r="N554" i="2"/>
  <c r="M554" i="2"/>
  <c r="L554" i="2"/>
  <c r="N553" i="2"/>
  <c r="M553" i="2"/>
  <c r="L553" i="2"/>
  <c r="N552" i="2"/>
  <c r="M552" i="2"/>
  <c r="L552" i="2"/>
  <c r="N551" i="2"/>
  <c r="M551" i="2"/>
  <c r="L551" i="2"/>
  <c r="N550" i="2"/>
  <c r="M550" i="2"/>
  <c r="L550" i="2"/>
  <c r="N549" i="2"/>
  <c r="M549" i="2"/>
  <c r="L549" i="2"/>
  <c r="N548" i="2"/>
  <c r="M548" i="2"/>
  <c r="L548" i="2"/>
  <c r="N547" i="2"/>
  <c r="M547" i="2"/>
  <c r="L547" i="2"/>
  <c r="N546" i="2"/>
  <c r="M546" i="2"/>
  <c r="L546" i="2"/>
  <c r="N545" i="2"/>
  <c r="M545" i="2"/>
  <c r="L545" i="2"/>
  <c r="N544" i="2"/>
  <c r="M544" i="2"/>
  <c r="L544" i="2"/>
  <c r="N543" i="2"/>
  <c r="M543" i="2"/>
  <c r="L543" i="2"/>
  <c r="N542" i="2"/>
  <c r="M542" i="2"/>
  <c r="L542" i="2"/>
  <c r="N541" i="2"/>
  <c r="M541" i="2"/>
  <c r="L541" i="2"/>
  <c r="N540" i="2"/>
  <c r="M540" i="2"/>
  <c r="L540" i="2"/>
  <c r="N539" i="2"/>
  <c r="M539" i="2"/>
  <c r="L539" i="2"/>
  <c r="N538" i="2"/>
  <c r="M538" i="2"/>
  <c r="L538" i="2"/>
  <c r="N537" i="2"/>
  <c r="M537" i="2"/>
  <c r="L537" i="2"/>
  <c r="N536" i="2"/>
  <c r="M536" i="2"/>
  <c r="L536" i="2"/>
  <c r="N535" i="2"/>
  <c r="M535" i="2"/>
  <c r="L535" i="2"/>
  <c r="N534" i="2"/>
  <c r="M534" i="2"/>
  <c r="L534" i="2"/>
  <c r="N533" i="2"/>
  <c r="M533" i="2"/>
  <c r="L533" i="2"/>
  <c r="N532" i="2"/>
  <c r="M532" i="2"/>
  <c r="L532" i="2"/>
  <c r="N531" i="2"/>
  <c r="M531" i="2"/>
  <c r="L531" i="2"/>
  <c r="N530" i="2"/>
  <c r="M530" i="2"/>
  <c r="L530" i="2"/>
  <c r="N529" i="2"/>
  <c r="M529" i="2"/>
  <c r="L529" i="2"/>
  <c r="N528" i="2"/>
  <c r="M528" i="2"/>
  <c r="L528" i="2"/>
  <c r="N527" i="2"/>
  <c r="M527" i="2"/>
  <c r="L527" i="2"/>
  <c r="N526" i="2"/>
  <c r="M526" i="2"/>
  <c r="L526" i="2"/>
  <c r="N525" i="2"/>
  <c r="M525" i="2"/>
  <c r="L525" i="2"/>
  <c r="N524" i="2"/>
  <c r="M524" i="2"/>
  <c r="L524" i="2"/>
  <c r="N523" i="2"/>
  <c r="M523" i="2"/>
  <c r="L523" i="2"/>
  <c r="N522" i="2"/>
  <c r="M522" i="2"/>
  <c r="L522" i="2"/>
  <c r="N521" i="2"/>
  <c r="M521" i="2"/>
  <c r="L521" i="2"/>
  <c r="N520" i="2"/>
  <c r="M520" i="2"/>
  <c r="L520" i="2"/>
  <c r="N519" i="2"/>
  <c r="M519" i="2"/>
  <c r="L519" i="2"/>
  <c r="N518" i="2"/>
  <c r="M518" i="2"/>
  <c r="L518" i="2"/>
  <c r="N517" i="2"/>
  <c r="M517" i="2"/>
  <c r="L517" i="2"/>
  <c r="N516" i="2"/>
  <c r="M516" i="2"/>
  <c r="L516" i="2"/>
  <c r="N515" i="2"/>
  <c r="M515" i="2"/>
  <c r="L515" i="2"/>
  <c r="N514" i="2"/>
  <c r="M514" i="2"/>
  <c r="L514" i="2"/>
  <c r="N513" i="2"/>
  <c r="M513" i="2"/>
  <c r="L513" i="2"/>
  <c r="N512" i="2"/>
  <c r="M512" i="2"/>
  <c r="L512" i="2"/>
  <c r="N511" i="2"/>
  <c r="M511" i="2"/>
  <c r="L511" i="2"/>
  <c r="N510" i="2"/>
  <c r="M510" i="2"/>
  <c r="L510" i="2"/>
  <c r="N509" i="2"/>
  <c r="M509" i="2"/>
  <c r="L509" i="2"/>
  <c r="N508" i="2"/>
  <c r="M508" i="2"/>
  <c r="L508" i="2"/>
  <c r="N507" i="2"/>
  <c r="M507" i="2"/>
  <c r="L507" i="2"/>
  <c r="N506" i="2"/>
  <c r="M506" i="2"/>
  <c r="L506" i="2"/>
  <c r="N505" i="2"/>
  <c r="M505" i="2"/>
  <c r="L505" i="2"/>
  <c r="N504" i="2"/>
  <c r="M504" i="2"/>
  <c r="L504" i="2"/>
  <c r="N503" i="2"/>
  <c r="M503" i="2"/>
  <c r="L503" i="2"/>
  <c r="N502" i="2"/>
  <c r="M502" i="2"/>
  <c r="L502" i="2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  <c r="M1" i="2"/>
  <c r="L1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M2" i="1"/>
  <c r="L2" i="1"/>
  <c r="M1" i="1"/>
  <c r="L1" i="1"/>
</calcChain>
</file>

<file path=xl/sharedStrings.xml><?xml version="1.0" encoding="utf-8"?>
<sst xmlns="http://schemas.openxmlformats.org/spreadsheetml/2006/main" count="25" uniqueCount="5">
  <si>
    <t xml:space="preserve">n [rpm] </t>
  </si>
  <si>
    <t xml:space="preserve"> T [Nm]   </t>
  </si>
  <si>
    <t xml:space="preserve"> P_el [kW]</t>
  </si>
  <si>
    <t>P_el[W]</t>
  </si>
  <si>
    <t>                                &lt;Entry outShaftSpeed="0.00" torque="400.00" electricPower="1000.00"/&gt;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</si>
</sst>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ABDA-41F8-412A-86C5-DE521168B758}">
  <dimension ref="A1:AA1013"/>
  <sheetViews>
    <sheetView topLeftCell="H1" workbookViewId="0">
      <selection activeCell="O1" sqref="O1:O1048576"/>
    </sheetView>
  </sheetViews>
  <sheetFormatPr baseColWidth="10" defaultRowHeight="15" x14ac:dyDescent="0.25"/>
  <cols>
    <col min="1" max="1" width="11.42578125" style="2"/>
  </cols>
  <sheetData>
    <row r="1" spans="1:27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  <c r="X1" s="1" t="s">
        <v>4</v>
      </c>
      <c r="AA1" s="2"/>
    </row>
    <row r="2" spans="1:27" x14ac:dyDescent="0.25">
      <c r="A2" s="1">
        <v>0</v>
      </c>
      <c r="B2">
        <v>-990</v>
      </c>
      <c r="C2">
        <v>0.28100000000000003</v>
      </c>
      <c r="L2" s="3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27" x14ac:dyDescent="0.25">
      <c r="A3" s="1">
        <v>0</v>
      </c>
      <c r="B3">
        <v>-945</v>
      </c>
      <c r="C3">
        <v>0.26900000000000002</v>
      </c>
      <c r="L3">
        <f t="shared" ref="L3:L66" si="0">A3</f>
        <v>0</v>
      </c>
      <c r="M3">
        <f t="shared" ref="M3:M66" si="1">B3</f>
        <v>-945</v>
      </c>
      <c r="N3">
        <f t="shared" ref="N3:N66" si="2">C3*1000</f>
        <v>269</v>
      </c>
      <c r="O3" t="str">
        <f t="shared" ref="O3:O66" si="3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27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1"/>
        <v>-900</v>
      </c>
      <c r="N4">
        <f t="shared" si="2"/>
        <v>258</v>
      </c>
      <c r="O4" t="str">
        <f t="shared" si="3"/>
        <v>&lt;Entry outShaftSpeed="0.00" torque="-900.00" electricPower="258.00"/&gt;</v>
      </c>
    </row>
    <row r="5" spans="1:27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1"/>
        <v>-855</v>
      </c>
      <c r="N5">
        <f t="shared" si="2"/>
        <v>246</v>
      </c>
      <c r="O5" t="str">
        <f t="shared" si="3"/>
        <v>&lt;Entry outShaftSpeed="0.00" torque="-855.00" electricPower="246.00"/&gt;</v>
      </c>
    </row>
    <row r="6" spans="1:27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1"/>
        <v>-810</v>
      </c>
      <c r="N6">
        <f t="shared" si="2"/>
        <v>235</v>
      </c>
      <c r="O6" t="str">
        <f t="shared" si="3"/>
        <v>&lt;Entry outShaftSpeed="0.00" torque="-810.00" electricPower="235.00"/&gt;</v>
      </c>
    </row>
    <row r="7" spans="1:27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1"/>
        <v>-765</v>
      </c>
      <c r="N7">
        <f t="shared" si="2"/>
        <v>223</v>
      </c>
      <c r="O7" t="str">
        <f t="shared" si="3"/>
        <v>&lt;Entry outShaftSpeed="0.00" torque="-765.00" electricPower="223.00"/&gt;</v>
      </c>
    </row>
    <row r="8" spans="1:27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1"/>
        <v>-720</v>
      </c>
      <c r="N8">
        <f t="shared" si="2"/>
        <v>211</v>
      </c>
      <c r="O8" t="str">
        <f t="shared" si="3"/>
        <v>&lt;Entry outShaftSpeed="0.00" torque="-720.00" electricPower="211.00"/&gt;</v>
      </c>
    </row>
    <row r="9" spans="1:27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1"/>
        <v>-675</v>
      </c>
      <c r="N9">
        <f t="shared" si="2"/>
        <v>198</v>
      </c>
      <c r="O9" t="str">
        <f t="shared" si="3"/>
        <v>&lt;Entry outShaftSpeed="0.00" torque="-675.00" electricPower="198.00"/&gt;</v>
      </c>
    </row>
    <row r="10" spans="1:27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1"/>
        <v>-630</v>
      </c>
      <c r="N10">
        <f t="shared" si="2"/>
        <v>130</v>
      </c>
      <c r="O10" t="str">
        <f t="shared" si="3"/>
        <v>&lt;Entry outShaftSpeed="0.00" torque="-630.00" electricPower="130.00"/&gt;</v>
      </c>
    </row>
    <row r="11" spans="1:27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1"/>
        <v>-585</v>
      </c>
      <c r="N11">
        <f t="shared" si="2"/>
        <v>35</v>
      </c>
      <c r="O11" t="str">
        <f t="shared" si="3"/>
        <v>&lt;Entry outShaftSpeed="0.00" torque="-585.00" electricPower="35.00"/&gt;</v>
      </c>
    </row>
    <row r="12" spans="1:27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1"/>
        <v>-540</v>
      </c>
      <c r="N12">
        <f t="shared" si="2"/>
        <v>-46</v>
      </c>
      <c r="O12" t="str">
        <f t="shared" si="3"/>
        <v>&lt;Entry outShaftSpeed="0.00" torque="-540.00" electricPower="-46.00"/&gt;</v>
      </c>
    </row>
    <row r="13" spans="1:27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1"/>
        <v>-495</v>
      </c>
      <c r="N13">
        <f t="shared" si="2"/>
        <v>-114</v>
      </c>
      <c r="O13" t="str">
        <f t="shared" si="3"/>
        <v>&lt;Entry outShaftSpeed="0.00" torque="-495.00" electricPower="-114.00"/&gt;</v>
      </c>
    </row>
    <row r="14" spans="1:27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1"/>
        <v>-450</v>
      </c>
      <c r="N14">
        <f t="shared" si="2"/>
        <v>-169</v>
      </c>
      <c r="O14" t="str">
        <f t="shared" si="3"/>
        <v>&lt;Entry outShaftSpeed="0.00" torque="-450.00" electricPower="-169.00"/&gt;</v>
      </c>
    </row>
    <row r="15" spans="1:27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1"/>
        <v>-405</v>
      </c>
      <c r="N15">
        <f t="shared" si="2"/>
        <v>-211</v>
      </c>
      <c r="O15" t="str">
        <f t="shared" si="3"/>
        <v>&lt;Entry outShaftSpeed="0.00" torque="-405.00" electricPower="-211.00"/&gt;</v>
      </c>
    </row>
    <row r="16" spans="1:27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1"/>
        <v>-360</v>
      </c>
      <c r="N16">
        <f t="shared" si="2"/>
        <v>-239</v>
      </c>
      <c r="O16" t="str">
        <f t="shared" si="3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1"/>
        <v>-315</v>
      </c>
      <c r="N17">
        <f t="shared" si="2"/>
        <v>-254</v>
      </c>
      <c r="O17" t="str">
        <f t="shared" si="3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1"/>
        <v>-270</v>
      </c>
      <c r="N18">
        <f t="shared" si="2"/>
        <v>-256</v>
      </c>
      <c r="O18" t="str">
        <f t="shared" si="3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1"/>
        <v>-225</v>
      </c>
      <c r="N19">
        <f t="shared" si="2"/>
        <v>-244</v>
      </c>
      <c r="O19" t="str">
        <f t="shared" si="3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1"/>
        <v>-180</v>
      </c>
      <c r="N20">
        <f t="shared" si="2"/>
        <v>-219</v>
      </c>
      <c r="O20" t="str">
        <f t="shared" si="3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1"/>
        <v>-135</v>
      </c>
      <c r="N21">
        <f t="shared" si="2"/>
        <v>-181</v>
      </c>
      <c r="O21" t="str">
        <f t="shared" si="3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1"/>
        <v>-90</v>
      </c>
      <c r="N22">
        <f t="shared" si="2"/>
        <v>-130</v>
      </c>
      <c r="O22" t="str">
        <f t="shared" si="3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1"/>
        <v>-45</v>
      </c>
      <c r="N23">
        <f t="shared" si="2"/>
        <v>-65</v>
      </c>
      <c r="O23" t="str">
        <f t="shared" si="3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1"/>
        <v>-9</v>
      </c>
      <c r="N24">
        <f t="shared" si="2"/>
        <v>-3</v>
      </c>
      <c r="O24" t="str">
        <f t="shared" si="3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1"/>
        <v>9</v>
      </c>
      <c r="N25">
        <f t="shared" si="2"/>
        <v>55</v>
      </c>
      <c r="O25" t="str">
        <f t="shared" si="3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1"/>
        <v>45</v>
      </c>
      <c r="N26">
        <f t="shared" si="2"/>
        <v>221</v>
      </c>
      <c r="O26" t="str">
        <f t="shared" si="3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1"/>
        <v>90</v>
      </c>
      <c r="N27">
        <f t="shared" si="2"/>
        <v>442</v>
      </c>
      <c r="O27" t="str">
        <f t="shared" si="3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1"/>
        <v>135</v>
      </c>
      <c r="N28">
        <f t="shared" si="2"/>
        <v>678</v>
      </c>
      <c r="O28" t="str">
        <f t="shared" si="3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1"/>
        <v>180</v>
      </c>
      <c r="N29">
        <f t="shared" si="2"/>
        <v>928</v>
      </c>
      <c r="O29" t="str">
        <f t="shared" si="3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1"/>
        <v>225</v>
      </c>
      <c r="N30">
        <f t="shared" si="2"/>
        <v>1193</v>
      </c>
      <c r="O30" t="str">
        <f t="shared" si="3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1"/>
        <v>270</v>
      </c>
      <c r="N31">
        <f t="shared" si="2"/>
        <v>1472</v>
      </c>
      <c r="O31" t="str">
        <f t="shared" si="3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1"/>
        <v>315</v>
      </c>
      <c r="N32">
        <f t="shared" si="2"/>
        <v>1765</v>
      </c>
      <c r="O32" t="str">
        <f t="shared" si="3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1"/>
        <v>360</v>
      </c>
      <c r="N33">
        <f t="shared" si="2"/>
        <v>2073</v>
      </c>
      <c r="O33" t="str">
        <f t="shared" si="3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1"/>
        <v>405</v>
      </c>
      <c r="N34">
        <f t="shared" si="2"/>
        <v>2395</v>
      </c>
      <c r="O34" t="str">
        <f t="shared" si="3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1"/>
        <v>450</v>
      </c>
      <c r="N35">
        <f t="shared" si="2"/>
        <v>2732</v>
      </c>
      <c r="O35" t="str">
        <f t="shared" si="3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1"/>
        <v>495</v>
      </c>
      <c r="N36">
        <f t="shared" si="2"/>
        <v>3083</v>
      </c>
      <c r="O36" t="str">
        <f t="shared" si="3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1"/>
        <v>540</v>
      </c>
      <c r="N37">
        <f t="shared" si="2"/>
        <v>3449</v>
      </c>
      <c r="O37" t="str">
        <f t="shared" si="3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1"/>
        <v>585</v>
      </c>
      <c r="N38">
        <f t="shared" si="2"/>
        <v>3829</v>
      </c>
      <c r="O38" t="str">
        <f t="shared" si="3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1"/>
        <v>630</v>
      </c>
      <c r="N39">
        <f t="shared" si="2"/>
        <v>4224</v>
      </c>
      <c r="O39" t="str">
        <f t="shared" si="3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1"/>
        <v>675</v>
      </c>
      <c r="N40">
        <f t="shared" si="2"/>
        <v>4633</v>
      </c>
      <c r="O40" t="str">
        <f t="shared" si="3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1"/>
        <v>720</v>
      </c>
      <c r="N41">
        <f t="shared" si="2"/>
        <v>5056</v>
      </c>
      <c r="O41" t="str">
        <f t="shared" si="3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1"/>
        <v>765</v>
      </c>
      <c r="N42">
        <f t="shared" si="2"/>
        <v>5494</v>
      </c>
      <c r="O42" t="str">
        <f t="shared" si="3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1"/>
        <v>810</v>
      </c>
      <c r="N43">
        <f t="shared" si="2"/>
        <v>5946</v>
      </c>
      <c r="O43" t="str">
        <f t="shared" si="3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1"/>
        <v>855</v>
      </c>
      <c r="N44">
        <f t="shared" si="2"/>
        <v>6413</v>
      </c>
      <c r="O44" t="str">
        <f t="shared" si="3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1"/>
        <v>900</v>
      </c>
      <c r="N45">
        <f t="shared" si="2"/>
        <v>6894</v>
      </c>
      <c r="O45" t="str">
        <f t="shared" si="3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1"/>
        <v>0</v>
      </c>
      <c r="N46">
        <f t="shared" si="2"/>
        <v>6413</v>
      </c>
      <c r="O46" t="str">
        <f t="shared" si="3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1"/>
        <v>0</v>
      </c>
      <c r="N47">
        <f t="shared" si="2"/>
        <v>5946</v>
      </c>
      <c r="O47" t="str">
        <f t="shared" si="3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1"/>
        <v>-990</v>
      </c>
      <c r="N48">
        <f t="shared" si="2"/>
        <v>0</v>
      </c>
      <c r="O48" t="str">
        <f t="shared" si="3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1"/>
        <v>-945</v>
      </c>
      <c r="N49">
        <f t="shared" si="2"/>
        <v>0</v>
      </c>
      <c r="O49" t="str">
        <f t="shared" si="3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1"/>
        <v>-900</v>
      </c>
      <c r="N50">
        <f t="shared" si="2"/>
        <v>0</v>
      </c>
      <c r="O50" t="str">
        <f t="shared" si="3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1"/>
        <v>-855</v>
      </c>
      <c r="N51">
        <f t="shared" si="2"/>
        <v>0</v>
      </c>
      <c r="O51" t="str">
        <f t="shared" si="3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1"/>
        <v>-810</v>
      </c>
      <c r="N52">
        <f t="shared" si="2"/>
        <v>0</v>
      </c>
      <c r="O52" t="str">
        <f t="shared" si="3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1"/>
        <v>-765</v>
      </c>
      <c r="N53">
        <f t="shared" si="2"/>
        <v>0</v>
      </c>
      <c r="O53" t="str">
        <f t="shared" si="3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1"/>
        <v>-720</v>
      </c>
      <c r="N54">
        <f t="shared" si="2"/>
        <v>0</v>
      </c>
      <c r="O54" t="str">
        <f t="shared" si="3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1"/>
        <v>-675</v>
      </c>
      <c r="N55">
        <f t="shared" si="2"/>
        <v>0</v>
      </c>
      <c r="O55" t="str">
        <f t="shared" si="3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1"/>
        <v>-630</v>
      </c>
      <c r="N56">
        <f t="shared" si="2"/>
        <v>-50</v>
      </c>
      <c r="O56" t="str">
        <f t="shared" si="3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1"/>
        <v>-585</v>
      </c>
      <c r="N57">
        <f t="shared" si="2"/>
        <v>-124</v>
      </c>
      <c r="O57" t="str">
        <f t="shared" si="3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1"/>
        <v>-540</v>
      </c>
      <c r="N58">
        <f t="shared" si="2"/>
        <v>-186</v>
      </c>
      <c r="O58" t="str">
        <f t="shared" si="3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1"/>
        <v>-495</v>
      </c>
      <c r="N59">
        <f t="shared" si="2"/>
        <v>-236</v>
      </c>
      <c r="O59" t="str">
        <f t="shared" si="3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1"/>
        <v>-450</v>
      </c>
      <c r="N60">
        <f t="shared" si="2"/>
        <v>-274</v>
      </c>
      <c r="O60" t="str">
        <f t="shared" si="3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1"/>
        <v>-405</v>
      </c>
      <c r="N61">
        <f t="shared" si="2"/>
        <v>-300</v>
      </c>
      <c r="O61" t="str">
        <f t="shared" si="3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1"/>
        <v>-360</v>
      </c>
      <c r="N62">
        <f t="shared" si="2"/>
        <v>-314</v>
      </c>
      <c r="O62" t="str">
        <f t="shared" si="3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1"/>
        <v>-315</v>
      </c>
      <c r="N63">
        <f t="shared" si="2"/>
        <v>-315</v>
      </c>
      <c r="O63" t="str">
        <f t="shared" si="3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1"/>
        <v>-270</v>
      </c>
      <c r="N64">
        <f t="shared" si="2"/>
        <v>-304</v>
      </c>
      <c r="O64" t="str">
        <f t="shared" si="3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1"/>
        <v>-225</v>
      </c>
      <c r="N65">
        <f t="shared" si="2"/>
        <v>-282</v>
      </c>
      <c r="O65" t="str">
        <f t="shared" si="3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1"/>
        <v>-180</v>
      </c>
      <c r="N66">
        <f t="shared" si="2"/>
        <v>-247</v>
      </c>
      <c r="O66" t="str">
        <f t="shared" si="3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L130" si="4">A67</f>
        <v>29.7</v>
      </c>
      <c r="M67">
        <f t="shared" ref="M67:M130" si="5">B67</f>
        <v>-135</v>
      </c>
      <c r="N67">
        <f t="shared" ref="N67:N130" si="6">C67*1000</f>
        <v>-200</v>
      </c>
      <c r="O67" t="str">
        <f t="shared" ref="O67:O130" si="7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4"/>
        <v>29.7</v>
      </c>
      <c r="M68">
        <f t="shared" si="5"/>
        <v>-90</v>
      </c>
      <c r="N68">
        <f t="shared" si="6"/>
        <v>-141</v>
      </c>
      <c r="O68" t="str">
        <f t="shared" si="7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4"/>
        <v>29.7</v>
      </c>
      <c r="M69">
        <f t="shared" si="5"/>
        <v>-45</v>
      </c>
      <c r="N69">
        <f t="shared" si="6"/>
        <v>-70</v>
      </c>
      <c r="O69" t="str">
        <f t="shared" si="7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4"/>
        <v>29.7</v>
      </c>
      <c r="M70">
        <f t="shared" si="5"/>
        <v>-9</v>
      </c>
      <c r="N70">
        <f t="shared" si="6"/>
        <v>-4</v>
      </c>
      <c r="O70" t="str">
        <f t="shared" si="7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4"/>
        <v>29.7</v>
      </c>
      <c r="M71">
        <f t="shared" si="5"/>
        <v>9</v>
      </c>
      <c r="N71">
        <f t="shared" si="6"/>
        <v>54</v>
      </c>
      <c r="O71" t="str">
        <f t="shared" si="7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4"/>
        <v>29.7</v>
      </c>
      <c r="M72">
        <f t="shared" si="5"/>
        <v>45</v>
      </c>
      <c r="N72">
        <f t="shared" si="6"/>
        <v>216</v>
      </c>
      <c r="O72" t="str">
        <f t="shared" si="7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4"/>
        <v>29.7</v>
      </c>
      <c r="M73">
        <f t="shared" si="5"/>
        <v>90</v>
      </c>
      <c r="N73">
        <f t="shared" si="6"/>
        <v>430</v>
      </c>
      <c r="O73" t="str">
        <f t="shared" si="7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4"/>
        <v>29.7</v>
      </c>
      <c r="M74">
        <f t="shared" si="5"/>
        <v>135</v>
      </c>
      <c r="N74">
        <f t="shared" si="6"/>
        <v>658</v>
      </c>
      <c r="O74" t="str">
        <f t="shared" si="7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4"/>
        <v>29.7</v>
      </c>
      <c r="M75">
        <f t="shared" si="5"/>
        <v>180</v>
      </c>
      <c r="N75">
        <f t="shared" si="6"/>
        <v>898</v>
      </c>
      <c r="O75" t="str">
        <f t="shared" si="7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4"/>
        <v>29.7</v>
      </c>
      <c r="M76">
        <f t="shared" si="5"/>
        <v>225</v>
      </c>
      <c r="N76">
        <f t="shared" si="6"/>
        <v>1152</v>
      </c>
      <c r="O76" t="str">
        <f t="shared" si="7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4"/>
        <v>29.7</v>
      </c>
      <c r="M77">
        <f t="shared" si="5"/>
        <v>270</v>
      </c>
      <c r="N77">
        <f t="shared" si="6"/>
        <v>1419</v>
      </c>
      <c r="O77" t="str">
        <f t="shared" si="7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4"/>
        <v>29.7</v>
      </c>
      <c r="M78">
        <f t="shared" si="5"/>
        <v>315</v>
      </c>
      <c r="N78">
        <f t="shared" si="6"/>
        <v>1699</v>
      </c>
      <c r="O78" t="str">
        <f t="shared" si="7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4"/>
        <v>29.7</v>
      </c>
      <c r="M79">
        <f t="shared" si="5"/>
        <v>360</v>
      </c>
      <c r="N79">
        <f t="shared" si="6"/>
        <v>1992</v>
      </c>
      <c r="O79" t="str">
        <f t="shared" si="7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4"/>
        <v>29.7</v>
      </c>
      <c r="M80">
        <f t="shared" si="5"/>
        <v>405</v>
      </c>
      <c r="N80">
        <f t="shared" si="6"/>
        <v>2299</v>
      </c>
      <c r="O80" t="str">
        <f t="shared" si="7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4"/>
        <v>29.7</v>
      </c>
      <c r="M81">
        <f t="shared" si="5"/>
        <v>450</v>
      </c>
      <c r="N81">
        <f t="shared" si="6"/>
        <v>2618</v>
      </c>
      <c r="O81" t="str">
        <f t="shared" si="7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4"/>
        <v>29.7</v>
      </c>
      <c r="M82">
        <f t="shared" si="5"/>
        <v>495</v>
      </c>
      <c r="N82">
        <f t="shared" si="6"/>
        <v>2951</v>
      </c>
      <c r="O82" t="str">
        <f t="shared" si="7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4"/>
        <v>29.7</v>
      </c>
      <c r="M83">
        <f t="shared" si="5"/>
        <v>540</v>
      </c>
      <c r="N83">
        <f t="shared" si="6"/>
        <v>3297</v>
      </c>
      <c r="O83" t="str">
        <f t="shared" si="7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4"/>
        <v>29.7</v>
      </c>
      <c r="M84">
        <f t="shared" si="5"/>
        <v>585</v>
      </c>
      <c r="N84">
        <f t="shared" si="6"/>
        <v>3656</v>
      </c>
      <c r="O84" t="str">
        <f t="shared" si="7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4"/>
        <v>29.7</v>
      </c>
      <c r="M85">
        <f t="shared" si="5"/>
        <v>630</v>
      </c>
      <c r="N85">
        <f t="shared" si="6"/>
        <v>4027.9999999999995</v>
      </c>
      <c r="O85" t="str">
        <f t="shared" si="7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4"/>
        <v>29.7</v>
      </c>
      <c r="M86">
        <f t="shared" si="5"/>
        <v>675</v>
      </c>
      <c r="N86">
        <f t="shared" si="6"/>
        <v>4413</v>
      </c>
      <c r="O86" t="str">
        <f t="shared" si="7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4"/>
        <v>29.7</v>
      </c>
      <c r="M87">
        <f t="shared" si="5"/>
        <v>720</v>
      </c>
      <c r="N87">
        <f t="shared" si="6"/>
        <v>4811</v>
      </c>
      <c r="O87" t="str">
        <f t="shared" si="7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4"/>
        <v>29.7</v>
      </c>
      <c r="M88">
        <f t="shared" si="5"/>
        <v>765</v>
      </c>
      <c r="N88">
        <f t="shared" si="6"/>
        <v>5223</v>
      </c>
      <c r="O88" t="str">
        <f t="shared" si="7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4"/>
        <v>29.7</v>
      </c>
      <c r="M89">
        <f t="shared" si="5"/>
        <v>810</v>
      </c>
      <c r="N89">
        <f t="shared" si="6"/>
        <v>5647</v>
      </c>
      <c r="O89" t="str">
        <f t="shared" si="7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4"/>
        <v>29.7</v>
      </c>
      <c r="M90">
        <f t="shared" si="5"/>
        <v>855</v>
      </c>
      <c r="N90">
        <f t="shared" si="6"/>
        <v>6085</v>
      </c>
      <c r="O90" t="str">
        <f t="shared" si="7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4"/>
        <v>29.7</v>
      </c>
      <c r="M91">
        <f t="shared" si="5"/>
        <v>900</v>
      </c>
      <c r="N91">
        <f t="shared" si="6"/>
        <v>6536</v>
      </c>
      <c r="O91" t="str">
        <f t="shared" si="7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4"/>
        <v>29.7</v>
      </c>
      <c r="M92">
        <f t="shared" si="5"/>
        <v>945</v>
      </c>
      <c r="N92">
        <f t="shared" si="6"/>
        <v>7000</v>
      </c>
      <c r="O92" t="str">
        <f t="shared" si="7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4"/>
        <v>29.7</v>
      </c>
      <c r="M93">
        <f t="shared" si="5"/>
        <v>990</v>
      </c>
      <c r="N93">
        <f t="shared" si="6"/>
        <v>7478</v>
      </c>
      <c r="O93" t="str">
        <f t="shared" si="7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4"/>
        <v>297</v>
      </c>
      <c r="M94">
        <f t="shared" si="5"/>
        <v>-990</v>
      </c>
      <c r="N94">
        <f t="shared" si="6"/>
        <v>-25264</v>
      </c>
      <c r="O94" t="str">
        <f t="shared" si="7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4"/>
        <v>297</v>
      </c>
      <c r="M95">
        <f t="shared" si="5"/>
        <v>-945</v>
      </c>
      <c r="N95">
        <f t="shared" si="6"/>
        <v>-24246</v>
      </c>
      <c r="O95" t="str">
        <f t="shared" si="7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4"/>
        <v>297</v>
      </c>
      <c r="M96">
        <f t="shared" si="5"/>
        <v>-900</v>
      </c>
      <c r="N96">
        <f t="shared" si="6"/>
        <v>-23214</v>
      </c>
      <c r="O96" t="str">
        <f t="shared" si="7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4"/>
        <v>297</v>
      </c>
      <c r="M97">
        <f t="shared" si="5"/>
        <v>-855</v>
      </c>
      <c r="N97">
        <f t="shared" si="6"/>
        <v>-22170</v>
      </c>
      <c r="O97" t="str">
        <f t="shared" si="7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4"/>
        <v>297</v>
      </c>
      <c r="M98">
        <f t="shared" si="5"/>
        <v>-810</v>
      </c>
      <c r="N98">
        <f t="shared" si="6"/>
        <v>-21112</v>
      </c>
      <c r="O98" t="str">
        <f t="shared" si="7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4"/>
        <v>297</v>
      </c>
      <c r="M99">
        <f t="shared" si="5"/>
        <v>-765</v>
      </c>
      <c r="N99">
        <f t="shared" si="6"/>
        <v>-20042</v>
      </c>
      <c r="O99" t="str">
        <f t="shared" si="7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4"/>
        <v>297</v>
      </c>
      <c r="M100">
        <f t="shared" si="5"/>
        <v>-720</v>
      </c>
      <c r="N100">
        <f t="shared" si="6"/>
        <v>-18958</v>
      </c>
      <c r="O100" t="str">
        <f t="shared" si="7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4"/>
        <v>297</v>
      </c>
      <c r="M101">
        <f t="shared" si="5"/>
        <v>-675</v>
      </c>
      <c r="N101">
        <f t="shared" si="6"/>
        <v>-17862</v>
      </c>
      <c r="O101" t="str">
        <f t="shared" si="7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4"/>
        <v>297</v>
      </c>
      <c r="M102">
        <f t="shared" si="5"/>
        <v>-630</v>
      </c>
      <c r="N102">
        <f t="shared" si="6"/>
        <v>-16752</v>
      </c>
      <c r="O102" t="str">
        <f t="shared" si="7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4"/>
        <v>297</v>
      </c>
      <c r="M103">
        <f t="shared" si="5"/>
        <v>-585</v>
      </c>
      <c r="N103">
        <f t="shared" si="6"/>
        <v>-15629</v>
      </c>
      <c r="O103" t="str">
        <f t="shared" si="7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4"/>
        <v>297</v>
      </c>
      <c r="M104">
        <f t="shared" si="5"/>
        <v>-540</v>
      </c>
      <c r="N104">
        <f t="shared" si="6"/>
        <v>-14494</v>
      </c>
      <c r="O104" t="str">
        <f t="shared" si="7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4"/>
        <v>297</v>
      </c>
      <c r="M105">
        <f t="shared" si="5"/>
        <v>-495</v>
      </c>
      <c r="N105">
        <f t="shared" si="6"/>
        <v>-13345</v>
      </c>
      <c r="O105" t="str">
        <f t="shared" si="7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4"/>
        <v>297</v>
      </c>
      <c r="M106">
        <f t="shared" si="5"/>
        <v>-450</v>
      </c>
      <c r="N106">
        <f t="shared" si="6"/>
        <v>-12183</v>
      </c>
      <c r="O106" t="str">
        <f t="shared" si="7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4"/>
        <v>297</v>
      </c>
      <c r="M107">
        <f t="shared" si="5"/>
        <v>-405</v>
      </c>
      <c r="N107">
        <f t="shared" si="6"/>
        <v>-11008</v>
      </c>
      <c r="O107" t="str">
        <f t="shared" si="7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4"/>
        <v>297</v>
      </c>
      <c r="M108">
        <f t="shared" si="5"/>
        <v>-360</v>
      </c>
      <c r="N108">
        <f t="shared" si="6"/>
        <v>-9821</v>
      </c>
      <c r="O108" t="str">
        <f t="shared" si="7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4"/>
        <v>297</v>
      </c>
      <c r="M109">
        <f t="shared" si="5"/>
        <v>-315</v>
      </c>
      <c r="N109">
        <f t="shared" si="6"/>
        <v>-8620</v>
      </c>
      <c r="O109" t="str">
        <f t="shared" si="7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4"/>
        <v>297</v>
      </c>
      <c r="M110">
        <f t="shared" si="5"/>
        <v>-270</v>
      </c>
      <c r="N110">
        <f t="shared" si="6"/>
        <v>-7406</v>
      </c>
      <c r="O110" t="str">
        <f t="shared" si="7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4"/>
        <v>297</v>
      </c>
      <c r="M111">
        <f t="shared" si="5"/>
        <v>-225</v>
      </c>
      <c r="N111">
        <f t="shared" si="6"/>
        <v>-6179</v>
      </c>
      <c r="O111" t="str">
        <f t="shared" si="7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4"/>
        <v>297</v>
      </c>
      <c r="M112">
        <f t="shared" si="5"/>
        <v>-180</v>
      </c>
      <c r="N112">
        <f t="shared" si="6"/>
        <v>-4939</v>
      </c>
      <c r="O112" t="str">
        <f t="shared" si="7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4"/>
        <v>297</v>
      </c>
      <c r="M113">
        <f t="shared" si="5"/>
        <v>-135</v>
      </c>
      <c r="N113">
        <f t="shared" si="6"/>
        <v>-3686</v>
      </c>
      <c r="O113" t="str">
        <f t="shared" si="7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4"/>
        <v>297</v>
      </c>
      <c r="M114">
        <f t="shared" si="5"/>
        <v>-90</v>
      </c>
      <c r="N114">
        <f t="shared" si="6"/>
        <v>-2420</v>
      </c>
      <c r="O114" t="str">
        <f t="shared" si="7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4"/>
        <v>297</v>
      </c>
      <c r="M115">
        <f t="shared" si="5"/>
        <v>-45</v>
      </c>
      <c r="N115">
        <f t="shared" si="6"/>
        <v>-1141</v>
      </c>
      <c r="O115" t="str">
        <f t="shared" si="7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4"/>
        <v>297</v>
      </c>
      <c r="M116">
        <f t="shared" si="5"/>
        <v>-9</v>
      </c>
      <c r="N116">
        <f t="shared" si="6"/>
        <v>-108</v>
      </c>
      <c r="O116" t="str">
        <f t="shared" si="7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4"/>
        <v>297</v>
      </c>
      <c r="M117">
        <f t="shared" si="5"/>
        <v>9</v>
      </c>
      <c r="N117">
        <f t="shared" si="6"/>
        <v>465</v>
      </c>
      <c r="O117" t="str">
        <f t="shared" si="7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4"/>
        <v>297</v>
      </c>
      <c r="M118">
        <f t="shared" si="5"/>
        <v>45</v>
      </c>
      <c r="N118">
        <f t="shared" si="6"/>
        <v>1678</v>
      </c>
      <c r="O118" t="str">
        <f t="shared" si="7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4"/>
        <v>297</v>
      </c>
      <c r="M119">
        <f t="shared" si="5"/>
        <v>90</v>
      </c>
      <c r="N119">
        <f t="shared" si="6"/>
        <v>3206</v>
      </c>
      <c r="O119" t="str">
        <f t="shared" si="7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4"/>
        <v>297</v>
      </c>
      <c r="M120">
        <f t="shared" si="5"/>
        <v>135</v>
      </c>
      <c r="N120">
        <f t="shared" si="6"/>
        <v>4748</v>
      </c>
      <c r="O120" t="str">
        <f t="shared" si="7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4"/>
        <v>297</v>
      </c>
      <c r="M121">
        <f t="shared" si="5"/>
        <v>180</v>
      </c>
      <c r="N121">
        <f t="shared" si="6"/>
        <v>6304</v>
      </c>
      <c r="O121" t="str">
        <f t="shared" si="7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4"/>
        <v>297</v>
      </c>
      <c r="M122">
        <f t="shared" si="5"/>
        <v>225</v>
      </c>
      <c r="N122">
        <f t="shared" si="6"/>
        <v>7874</v>
      </c>
      <c r="O122" t="str">
        <f t="shared" si="7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4"/>
        <v>297</v>
      </c>
      <c r="M123">
        <f t="shared" si="5"/>
        <v>270</v>
      </c>
      <c r="N123">
        <f t="shared" si="6"/>
        <v>9459</v>
      </c>
      <c r="O123" t="str">
        <f t="shared" si="7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4"/>
        <v>297</v>
      </c>
      <c r="M124">
        <f t="shared" si="5"/>
        <v>315</v>
      </c>
      <c r="N124">
        <f t="shared" si="6"/>
        <v>11057</v>
      </c>
      <c r="O124" t="str">
        <f t="shared" si="7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4"/>
        <v>297</v>
      </c>
      <c r="M125">
        <f t="shared" si="5"/>
        <v>360</v>
      </c>
      <c r="N125">
        <f t="shared" si="6"/>
        <v>12670</v>
      </c>
      <c r="O125" t="str">
        <f t="shared" si="7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4"/>
        <v>297</v>
      </c>
      <c r="M126">
        <f t="shared" si="5"/>
        <v>405</v>
      </c>
      <c r="N126">
        <f t="shared" si="6"/>
        <v>14297</v>
      </c>
      <c r="O126" t="str">
        <f t="shared" si="7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4"/>
        <v>297</v>
      </c>
      <c r="M127">
        <f t="shared" si="5"/>
        <v>450</v>
      </c>
      <c r="N127">
        <f t="shared" si="6"/>
        <v>15938</v>
      </c>
      <c r="O127" t="str">
        <f t="shared" si="7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4"/>
        <v>297</v>
      </c>
      <c r="M128">
        <f t="shared" si="5"/>
        <v>495</v>
      </c>
      <c r="N128">
        <f t="shared" si="6"/>
        <v>17594</v>
      </c>
      <c r="O128" t="str">
        <f t="shared" si="7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4"/>
        <v>297</v>
      </c>
      <c r="M129">
        <f t="shared" si="5"/>
        <v>540</v>
      </c>
      <c r="N129">
        <f t="shared" si="6"/>
        <v>19263</v>
      </c>
      <c r="O129" t="str">
        <f t="shared" si="7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4"/>
        <v>297</v>
      </c>
      <c r="M130">
        <f t="shared" si="5"/>
        <v>585</v>
      </c>
      <c r="N130">
        <f t="shared" si="6"/>
        <v>20946</v>
      </c>
      <c r="O130" t="str">
        <f t="shared" si="7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L194" si="8">A131</f>
        <v>297</v>
      </c>
      <c r="M131">
        <f t="shared" ref="M131:M194" si="9">B131</f>
        <v>630</v>
      </c>
      <c r="N131">
        <f t="shared" ref="N131:N194" si="10">C131*1000</f>
        <v>22644</v>
      </c>
      <c r="O131" t="str">
        <f t="shared" ref="O131:O194" si="11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8"/>
        <v>297</v>
      </c>
      <c r="M132">
        <f t="shared" si="9"/>
        <v>675</v>
      </c>
      <c r="N132">
        <f t="shared" si="10"/>
        <v>24356</v>
      </c>
      <c r="O132" t="str">
        <f t="shared" si="11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8"/>
        <v>297</v>
      </c>
      <c r="M133">
        <f t="shared" si="9"/>
        <v>720</v>
      </c>
      <c r="N133">
        <f t="shared" si="10"/>
        <v>26082</v>
      </c>
      <c r="O133" t="str">
        <f t="shared" si="11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8"/>
        <v>297</v>
      </c>
      <c r="M134">
        <f t="shared" si="9"/>
        <v>765</v>
      </c>
      <c r="N134">
        <f t="shared" si="10"/>
        <v>27822</v>
      </c>
      <c r="O134" t="str">
        <f t="shared" si="11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8"/>
        <v>297</v>
      </c>
      <c r="M135">
        <f t="shared" si="9"/>
        <v>810</v>
      </c>
      <c r="N135">
        <f t="shared" si="10"/>
        <v>29576</v>
      </c>
      <c r="O135" t="str">
        <f t="shared" si="11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8"/>
        <v>297</v>
      </c>
      <c r="M136">
        <f t="shared" si="9"/>
        <v>855</v>
      </c>
      <c r="N136">
        <f t="shared" si="10"/>
        <v>31344</v>
      </c>
      <c r="O136" t="str">
        <f t="shared" si="11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8"/>
        <v>297</v>
      </c>
      <c r="M137">
        <f t="shared" si="9"/>
        <v>900</v>
      </c>
      <c r="N137">
        <f t="shared" si="10"/>
        <v>33127</v>
      </c>
      <c r="O137" t="str">
        <f t="shared" si="11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8"/>
        <v>297</v>
      </c>
      <c r="M138">
        <f t="shared" si="9"/>
        <v>945</v>
      </c>
      <c r="N138">
        <f t="shared" si="10"/>
        <v>34924</v>
      </c>
      <c r="O138" t="str">
        <f t="shared" si="11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8"/>
        <v>297</v>
      </c>
      <c r="M139">
        <f t="shared" si="9"/>
        <v>990</v>
      </c>
      <c r="N139">
        <f t="shared" si="10"/>
        <v>36734</v>
      </c>
      <c r="O139" t="str">
        <f t="shared" si="11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8"/>
        <v>594</v>
      </c>
      <c r="M140">
        <f t="shared" si="9"/>
        <v>-990</v>
      </c>
      <c r="N140">
        <f t="shared" si="10"/>
        <v>-54008</v>
      </c>
      <c r="O140" t="str">
        <f t="shared" si="11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8"/>
        <v>594</v>
      </c>
      <c r="M141">
        <f t="shared" si="9"/>
        <v>-945</v>
      </c>
      <c r="N141">
        <f t="shared" si="10"/>
        <v>-51701</v>
      </c>
      <c r="O141" t="str">
        <f t="shared" si="11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8"/>
        <v>594</v>
      </c>
      <c r="M142">
        <f t="shared" si="9"/>
        <v>-900</v>
      </c>
      <c r="N142">
        <f t="shared" si="10"/>
        <v>-49378</v>
      </c>
      <c r="O142" t="str">
        <f t="shared" si="11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8"/>
        <v>594</v>
      </c>
      <c r="M143">
        <f t="shared" si="9"/>
        <v>-855</v>
      </c>
      <c r="N143">
        <f t="shared" si="10"/>
        <v>-47040</v>
      </c>
      <c r="O143" t="str">
        <f t="shared" si="11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8"/>
        <v>594</v>
      </c>
      <c r="M144">
        <f t="shared" si="9"/>
        <v>-810</v>
      </c>
      <c r="N144">
        <f t="shared" si="10"/>
        <v>-44686</v>
      </c>
      <c r="O144" t="str">
        <f t="shared" si="11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8"/>
        <v>594</v>
      </c>
      <c r="M145">
        <f t="shared" si="9"/>
        <v>-765</v>
      </c>
      <c r="N145">
        <f t="shared" si="10"/>
        <v>-42317</v>
      </c>
      <c r="O145" t="str">
        <f t="shared" si="11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8"/>
        <v>594</v>
      </c>
      <c r="M146">
        <f t="shared" si="9"/>
        <v>-720</v>
      </c>
      <c r="N146">
        <f t="shared" si="10"/>
        <v>-39932</v>
      </c>
      <c r="O146" t="str">
        <f t="shared" si="11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8"/>
        <v>594</v>
      </c>
      <c r="M147">
        <f t="shared" si="9"/>
        <v>-675</v>
      </c>
      <c r="N147">
        <f t="shared" si="10"/>
        <v>-37531</v>
      </c>
      <c r="O147" t="str">
        <f t="shared" si="11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8"/>
        <v>594</v>
      </c>
      <c r="M148">
        <f t="shared" si="9"/>
        <v>-630</v>
      </c>
      <c r="N148">
        <f t="shared" si="10"/>
        <v>-35115</v>
      </c>
      <c r="O148" t="str">
        <f t="shared" si="11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8"/>
        <v>594</v>
      </c>
      <c r="M149">
        <f t="shared" si="9"/>
        <v>-585</v>
      </c>
      <c r="N149">
        <f t="shared" si="10"/>
        <v>-32683</v>
      </c>
      <c r="O149" t="str">
        <f t="shared" si="11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8"/>
        <v>594</v>
      </c>
      <c r="M150">
        <f t="shared" si="9"/>
        <v>-540</v>
      </c>
      <c r="N150">
        <f t="shared" si="10"/>
        <v>-30236</v>
      </c>
      <c r="O150" t="str">
        <f t="shared" si="11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8"/>
        <v>594</v>
      </c>
      <c r="M151">
        <f t="shared" si="9"/>
        <v>-495</v>
      </c>
      <c r="N151">
        <f t="shared" si="10"/>
        <v>-27773</v>
      </c>
      <c r="O151" t="str">
        <f t="shared" si="11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8"/>
        <v>594</v>
      </c>
      <c r="M152">
        <f t="shared" si="9"/>
        <v>-450</v>
      </c>
      <c r="N152">
        <f t="shared" si="10"/>
        <v>-25294</v>
      </c>
      <c r="O152" t="str">
        <f t="shared" si="11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8"/>
        <v>594</v>
      </c>
      <c r="M153">
        <f t="shared" si="9"/>
        <v>-405</v>
      </c>
      <c r="N153">
        <f t="shared" si="10"/>
        <v>-22800</v>
      </c>
      <c r="O153" t="str">
        <f t="shared" si="11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8"/>
        <v>594</v>
      </c>
      <c r="M154">
        <f t="shared" si="9"/>
        <v>-360</v>
      </c>
      <c r="N154">
        <f t="shared" si="10"/>
        <v>-20290</v>
      </c>
      <c r="O154" t="str">
        <f t="shared" si="11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8"/>
        <v>594</v>
      </c>
      <c r="M155">
        <f t="shared" si="9"/>
        <v>-315</v>
      </c>
      <c r="N155">
        <f t="shared" si="10"/>
        <v>-17765</v>
      </c>
      <c r="O155" t="str">
        <f t="shared" si="11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8"/>
        <v>594</v>
      </c>
      <c r="M156">
        <f t="shared" si="9"/>
        <v>-270</v>
      </c>
      <c r="N156">
        <f t="shared" si="10"/>
        <v>-15224</v>
      </c>
      <c r="O156" t="str">
        <f t="shared" si="11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8"/>
        <v>594</v>
      </c>
      <c r="M157">
        <f t="shared" si="9"/>
        <v>-225</v>
      </c>
      <c r="N157">
        <f t="shared" si="10"/>
        <v>-12668</v>
      </c>
      <c r="O157" t="str">
        <f t="shared" si="11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8"/>
        <v>594</v>
      </c>
      <c r="M158">
        <f t="shared" si="9"/>
        <v>-180</v>
      </c>
      <c r="N158">
        <f t="shared" si="10"/>
        <v>-10096</v>
      </c>
      <c r="O158" t="str">
        <f t="shared" si="11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8"/>
        <v>594</v>
      </c>
      <c r="M159">
        <f t="shared" si="9"/>
        <v>-135</v>
      </c>
      <c r="N159">
        <f t="shared" si="10"/>
        <v>-7508</v>
      </c>
      <c r="O159" t="str">
        <f t="shared" si="11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8"/>
        <v>594</v>
      </c>
      <c r="M160">
        <f t="shared" si="9"/>
        <v>-90</v>
      </c>
      <c r="N160">
        <f t="shared" si="10"/>
        <v>-4905</v>
      </c>
      <c r="O160" t="str">
        <f t="shared" si="11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8"/>
        <v>594</v>
      </c>
      <c r="M161">
        <f t="shared" si="9"/>
        <v>-45</v>
      </c>
      <c r="N161">
        <f t="shared" si="10"/>
        <v>-2286</v>
      </c>
      <c r="O161" t="str">
        <f t="shared" si="11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8"/>
        <v>594</v>
      </c>
      <c r="M162">
        <f t="shared" si="9"/>
        <v>-9</v>
      </c>
      <c r="N162">
        <f t="shared" si="10"/>
        <v>-180</v>
      </c>
      <c r="O162" t="str">
        <f t="shared" si="11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8"/>
        <v>594</v>
      </c>
      <c r="M163">
        <f t="shared" si="9"/>
        <v>9</v>
      </c>
      <c r="N163">
        <f t="shared" si="10"/>
        <v>971</v>
      </c>
      <c r="O163" t="str">
        <f t="shared" si="11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8"/>
        <v>594</v>
      </c>
      <c r="M164">
        <f t="shared" si="9"/>
        <v>45</v>
      </c>
      <c r="N164">
        <f t="shared" si="10"/>
        <v>3351</v>
      </c>
      <c r="O164" t="str">
        <f t="shared" si="11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8"/>
        <v>594</v>
      </c>
      <c r="M165">
        <f t="shared" si="9"/>
        <v>90</v>
      </c>
      <c r="N165">
        <f t="shared" si="10"/>
        <v>6341</v>
      </c>
      <c r="O165" t="str">
        <f t="shared" si="11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8"/>
        <v>594</v>
      </c>
      <c r="M166">
        <f t="shared" si="9"/>
        <v>135</v>
      </c>
      <c r="N166">
        <f t="shared" si="10"/>
        <v>9348</v>
      </c>
      <c r="O166" t="str">
        <f t="shared" si="11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8"/>
        <v>594</v>
      </c>
      <c r="M167">
        <f t="shared" si="9"/>
        <v>180</v>
      </c>
      <c r="N167">
        <f t="shared" si="10"/>
        <v>12372</v>
      </c>
      <c r="O167" t="str">
        <f t="shared" si="11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8"/>
        <v>594</v>
      </c>
      <c r="M168">
        <f t="shared" si="9"/>
        <v>225</v>
      </c>
      <c r="N168">
        <f t="shared" si="10"/>
        <v>15412</v>
      </c>
      <c r="O168" t="str">
        <f t="shared" si="11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8"/>
        <v>594</v>
      </c>
      <c r="M169">
        <f t="shared" si="9"/>
        <v>270</v>
      </c>
      <c r="N169">
        <f t="shared" si="10"/>
        <v>18470</v>
      </c>
      <c r="O169" t="str">
        <f t="shared" si="11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8"/>
        <v>594</v>
      </c>
      <c r="M170">
        <f t="shared" si="9"/>
        <v>315</v>
      </c>
      <c r="N170">
        <f t="shared" si="10"/>
        <v>21545</v>
      </c>
      <c r="O170" t="str">
        <f t="shared" si="11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8"/>
        <v>594</v>
      </c>
      <c r="M171">
        <f t="shared" si="9"/>
        <v>360</v>
      </c>
      <c r="N171">
        <f t="shared" si="10"/>
        <v>24636</v>
      </c>
      <c r="O171" t="str">
        <f t="shared" si="11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8"/>
        <v>594</v>
      </c>
      <c r="M172">
        <f t="shared" si="9"/>
        <v>405</v>
      </c>
      <c r="N172">
        <f t="shared" si="10"/>
        <v>27744</v>
      </c>
      <c r="O172" t="str">
        <f t="shared" si="11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8"/>
        <v>594</v>
      </c>
      <c r="M173">
        <f t="shared" si="9"/>
        <v>450</v>
      </c>
      <c r="N173">
        <f t="shared" si="10"/>
        <v>30870</v>
      </c>
      <c r="O173" t="str">
        <f t="shared" si="11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8"/>
        <v>594</v>
      </c>
      <c r="M174">
        <f t="shared" si="9"/>
        <v>495</v>
      </c>
      <c r="N174">
        <f t="shared" si="10"/>
        <v>34012</v>
      </c>
      <c r="O174" t="str">
        <f t="shared" si="11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8"/>
        <v>594</v>
      </c>
      <c r="M175">
        <f t="shared" si="9"/>
        <v>540</v>
      </c>
      <c r="N175">
        <f t="shared" si="10"/>
        <v>37171</v>
      </c>
      <c r="O175" t="str">
        <f t="shared" si="11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8"/>
        <v>594</v>
      </c>
      <c r="M176">
        <f t="shared" si="9"/>
        <v>585</v>
      </c>
      <c r="N176">
        <f t="shared" si="10"/>
        <v>40347</v>
      </c>
      <c r="O176" t="str">
        <f t="shared" si="11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8"/>
        <v>594</v>
      </c>
      <c r="M177">
        <f t="shared" si="9"/>
        <v>630</v>
      </c>
      <c r="N177">
        <f t="shared" si="10"/>
        <v>43540</v>
      </c>
      <c r="O177" t="str">
        <f t="shared" si="11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8"/>
        <v>594</v>
      </c>
      <c r="M178">
        <f t="shared" si="9"/>
        <v>675</v>
      </c>
      <c r="N178">
        <f t="shared" si="10"/>
        <v>46750</v>
      </c>
      <c r="O178" t="str">
        <f t="shared" si="11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8"/>
        <v>594</v>
      </c>
      <c r="M179">
        <f t="shared" si="9"/>
        <v>720</v>
      </c>
      <c r="N179">
        <f t="shared" si="10"/>
        <v>49977</v>
      </c>
      <c r="O179" t="str">
        <f t="shared" si="11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8"/>
        <v>594</v>
      </c>
      <c r="M180">
        <f t="shared" si="9"/>
        <v>765</v>
      </c>
      <c r="N180">
        <f t="shared" si="10"/>
        <v>53220</v>
      </c>
      <c r="O180" t="str">
        <f t="shared" si="11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8"/>
        <v>594</v>
      </c>
      <c r="M181">
        <f t="shared" si="9"/>
        <v>810</v>
      </c>
      <c r="N181">
        <f t="shared" si="10"/>
        <v>56481</v>
      </c>
      <c r="O181" t="str">
        <f t="shared" si="11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8"/>
        <v>594</v>
      </c>
      <c r="M182">
        <f t="shared" si="9"/>
        <v>855</v>
      </c>
      <c r="N182">
        <f t="shared" si="10"/>
        <v>59758</v>
      </c>
      <c r="O182" t="str">
        <f t="shared" si="11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8"/>
        <v>594</v>
      </c>
      <c r="M183">
        <f t="shared" si="9"/>
        <v>900</v>
      </c>
      <c r="N183">
        <f t="shared" si="10"/>
        <v>63053</v>
      </c>
      <c r="O183" t="str">
        <f t="shared" si="11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8"/>
        <v>594</v>
      </c>
      <c r="M184">
        <f t="shared" si="9"/>
        <v>945</v>
      </c>
      <c r="N184">
        <f t="shared" si="10"/>
        <v>66364</v>
      </c>
      <c r="O184" t="str">
        <f t="shared" si="11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8"/>
        <v>594</v>
      </c>
      <c r="M185">
        <f t="shared" si="9"/>
        <v>990</v>
      </c>
      <c r="N185">
        <f t="shared" si="10"/>
        <v>69692</v>
      </c>
      <c r="O185" t="str">
        <f t="shared" si="11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8"/>
        <v>891</v>
      </c>
      <c r="M186">
        <f t="shared" si="9"/>
        <v>-990</v>
      </c>
      <c r="N186">
        <f t="shared" si="10"/>
        <v>-82296</v>
      </c>
      <c r="O186" t="str">
        <f t="shared" si="11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8"/>
        <v>891</v>
      </c>
      <c r="M187">
        <f t="shared" si="9"/>
        <v>-945</v>
      </c>
      <c r="N187">
        <f t="shared" si="10"/>
        <v>-78735</v>
      </c>
      <c r="O187" t="str">
        <f t="shared" si="11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8"/>
        <v>891</v>
      </c>
      <c r="M188">
        <f t="shared" si="9"/>
        <v>-900</v>
      </c>
      <c r="N188">
        <f t="shared" si="10"/>
        <v>-75154</v>
      </c>
      <c r="O188" t="str">
        <f t="shared" si="11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8"/>
        <v>891</v>
      </c>
      <c r="M189">
        <f t="shared" si="9"/>
        <v>-855</v>
      </c>
      <c r="N189">
        <f t="shared" si="10"/>
        <v>-71554</v>
      </c>
      <c r="O189" t="str">
        <f t="shared" si="11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8"/>
        <v>891</v>
      </c>
      <c r="M190">
        <f t="shared" si="9"/>
        <v>-810</v>
      </c>
      <c r="N190">
        <f t="shared" si="10"/>
        <v>-67933</v>
      </c>
      <c r="O190" t="str">
        <f t="shared" si="11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8"/>
        <v>891</v>
      </c>
      <c r="M191">
        <f t="shared" si="9"/>
        <v>-765</v>
      </c>
      <c r="N191">
        <f t="shared" si="10"/>
        <v>-64293.000000000007</v>
      </c>
      <c r="O191" t="str">
        <f t="shared" si="11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8"/>
        <v>891</v>
      </c>
      <c r="M192">
        <f t="shared" si="9"/>
        <v>-720</v>
      </c>
      <c r="N192">
        <f t="shared" si="10"/>
        <v>-60633</v>
      </c>
      <c r="O192" t="str">
        <f t="shared" si="11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8"/>
        <v>891</v>
      </c>
      <c r="M193">
        <f t="shared" si="9"/>
        <v>-675</v>
      </c>
      <c r="N193">
        <f t="shared" si="10"/>
        <v>-56954</v>
      </c>
      <c r="O193" t="str">
        <f t="shared" si="11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8"/>
        <v>891</v>
      </c>
      <c r="M194">
        <f t="shared" si="9"/>
        <v>-630</v>
      </c>
      <c r="N194">
        <f t="shared" si="10"/>
        <v>-53254</v>
      </c>
      <c r="O194" t="str">
        <f t="shared" si="11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L258" si="12">A195</f>
        <v>891</v>
      </c>
      <c r="M195">
        <f t="shared" ref="M195:M258" si="13">B195</f>
        <v>-585</v>
      </c>
      <c r="N195">
        <f t="shared" ref="N195:N258" si="14">C195*1000</f>
        <v>-49535</v>
      </c>
      <c r="O195" t="str">
        <f t="shared" ref="O195:O258" si="15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12"/>
        <v>891</v>
      </c>
      <c r="M196">
        <f t="shared" si="13"/>
        <v>-540</v>
      </c>
      <c r="N196">
        <f t="shared" si="14"/>
        <v>-45796</v>
      </c>
      <c r="O196" t="str">
        <f t="shared" si="15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12"/>
        <v>891</v>
      </c>
      <c r="M197">
        <f t="shared" si="13"/>
        <v>-495</v>
      </c>
      <c r="N197">
        <f t="shared" si="14"/>
        <v>-42038</v>
      </c>
      <c r="O197" t="str">
        <f t="shared" si="15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12"/>
        <v>891</v>
      </c>
      <c r="M198">
        <f t="shared" si="13"/>
        <v>-450</v>
      </c>
      <c r="N198">
        <f t="shared" si="14"/>
        <v>-38259</v>
      </c>
      <c r="O198" t="str">
        <f t="shared" si="15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12"/>
        <v>891</v>
      </c>
      <c r="M199">
        <f t="shared" si="13"/>
        <v>-405</v>
      </c>
      <c r="N199">
        <f t="shared" si="14"/>
        <v>-34461</v>
      </c>
      <c r="O199" t="str">
        <f t="shared" si="15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12"/>
        <v>891</v>
      </c>
      <c r="M200">
        <f t="shared" si="13"/>
        <v>-360</v>
      </c>
      <c r="N200">
        <f t="shared" si="14"/>
        <v>-30643</v>
      </c>
      <c r="O200" t="str">
        <f t="shared" si="15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12"/>
        <v>891</v>
      </c>
      <c r="M201">
        <f t="shared" si="13"/>
        <v>-315</v>
      </c>
      <c r="N201">
        <f t="shared" si="14"/>
        <v>-26805</v>
      </c>
      <c r="O201" t="str">
        <f t="shared" si="15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12"/>
        <v>891</v>
      </c>
      <c r="M202">
        <f t="shared" si="13"/>
        <v>-270</v>
      </c>
      <c r="N202">
        <f t="shared" si="14"/>
        <v>-22948</v>
      </c>
      <c r="O202" t="str">
        <f t="shared" si="15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12"/>
        <v>891</v>
      </c>
      <c r="M203">
        <f t="shared" si="13"/>
        <v>-225</v>
      </c>
      <c r="N203">
        <f t="shared" si="14"/>
        <v>-19071</v>
      </c>
      <c r="O203" t="str">
        <f t="shared" si="15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12"/>
        <v>891</v>
      </c>
      <c r="M204">
        <f t="shared" si="13"/>
        <v>-180</v>
      </c>
      <c r="N204">
        <f t="shared" si="14"/>
        <v>-15174</v>
      </c>
      <c r="O204" t="str">
        <f t="shared" si="15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12"/>
        <v>891</v>
      </c>
      <c r="M205">
        <f t="shared" si="13"/>
        <v>-135</v>
      </c>
      <c r="N205">
        <f t="shared" si="14"/>
        <v>-11257</v>
      </c>
      <c r="O205" t="str">
        <f t="shared" si="15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12"/>
        <v>891</v>
      </c>
      <c r="M206">
        <f t="shared" si="13"/>
        <v>-90</v>
      </c>
      <c r="N206">
        <f t="shared" si="14"/>
        <v>-7321</v>
      </c>
      <c r="O206" t="str">
        <f t="shared" si="15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12"/>
        <v>891</v>
      </c>
      <c r="M207">
        <f t="shared" si="13"/>
        <v>-45</v>
      </c>
      <c r="N207">
        <f t="shared" si="14"/>
        <v>-3365</v>
      </c>
      <c r="O207" t="str">
        <f t="shared" si="15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12"/>
        <v>891</v>
      </c>
      <c r="M208">
        <f t="shared" si="13"/>
        <v>-9</v>
      </c>
      <c r="N208">
        <f t="shared" si="14"/>
        <v>-186</v>
      </c>
      <c r="O208" t="str">
        <f t="shared" si="15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12"/>
        <v>891</v>
      </c>
      <c r="M209">
        <f t="shared" si="13"/>
        <v>9</v>
      </c>
      <c r="N209">
        <f t="shared" si="14"/>
        <v>1548</v>
      </c>
      <c r="O209" t="str">
        <f t="shared" si="15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12"/>
        <v>891</v>
      </c>
      <c r="M210">
        <f t="shared" si="13"/>
        <v>45</v>
      </c>
      <c r="N210">
        <f t="shared" si="14"/>
        <v>5096</v>
      </c>
      <c r="O210" t="str">
        <f t="shared" si="15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12"/>
        <v>891</v>
      </c>
      <c r="M211">
        <f t="shared" si="13"/>
        <v>90</v>
      </c>
      <c r="N211">
        <f t="shared" si="14"/>
        <v>9551</v>
      </c>
      <c r="O211" t="str">
        <f t="shared" si="15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12"/>
        <v>891</v>
      </c>
      <c r="M212">
        <f t="shared" si="13"/>
        <v>135</v>
      </c>
      <c r="N212">
        <f t="shared" si="14"/>
        <v>14027</v>
      </c>
      <c r="O212" t="str">
        <f t="shared" si="15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12"/>
        <v>891</v>
      </c>
      <c r="M213">
        <f t="shared" si="13"/>
        <v>180</v>
      </c>
      <c r="N213">
        <f t="shared" si="14"/>
        <v>18525</v>
      </c>
      <c r="O213" t="str">
        <f t="shared" si="15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12"/>
        <v>891</v>
      </c>
      <c r="M214">
        <f t="shared" si="13"/>
        <v>225</v>
      </c>
      <c r="N214">
        <f t="shared" si="14"/>
        <v>23044</v>
      </c>
      <c r="O214" t="str">
        <f t="shared" si="15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12"/>
        <v>891</v>
      </c>
      <c r="M215">
        <f t="shared" si="13"/>
        <v>270</v>
      </c>
      <c r="N215">
        <f t="shared" si="14"/>
        <v>27584</v>
      </c>
      <c r="O215" t="str">
        <f t="shared" si="15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12"/>
        <v>891</v>
      </c>
      <c r="M216">
        <f t="shared" si="13"/>
        <v>315</v>
      </c>
      <c r="N216">
        <f t="shared" si="14"/>
        <v>32146</v>
      </c>
      <c r="O216" t="str">
        <f t="shared" si="15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12"/>
        <v>891</v>
      </c>
      <c r="M217">
        <f t="shared" si="13"/>
        <v>360</v>
      </c>
      <c r="N217">
        <f t="shared" si="14"/>
        <v>36729</v>
      </c>
      <c r="O217" t="str">
        <f t="shared" si="15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12"/>
        <v>891</v>
      </c>
      <c r="M218">
        <f t="shared" si="13"/>
        <v>405</v>
      </c>
      <c r="N218">
        <f t="shared" si="14"/>
        <v>41334</v>
      </c>
      <c r="O218" t="str">
        <f t="shared" si="15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12"/>
        <v>891</v>
      </c>
      <c r="M219">
        <f t="shared" si="13"/>
        <v>450</v>
      </c>
      <c r="N219">
        <f t="shared" si="14"/>
        <v>45960</v>
      </c>
      <c r="O219" t="str">
        <f t="shared" si="15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12"/>
        <v>891</v>
      </c>
      <c r="M220">
        <f t="shared" si="13"/>
        <v>495</v>
      </c>
      <c r="N220">
        <f t="shared" si="14"/>
        <v>50607</v>
      </c>
      <c r="O220" t="str">
        <f t="shared" si="15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12"/>
        <v>891</v>
      </c>
      <c r="M221">
        <f t="shared" si="13"/>
        <v>540</v>
      </c>
      <c r="N221">
        <f t="shared" si="14"/>
        <v>55276</v>
      </c>
      <c r="O221" t="str">
        <f t="shared" si="15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12"/>
        <v>891</v>
      </c>
      <c r="M222">
        <f t="shared" si="13"/>
        <v>585</v>
      </c>
      <c r="N222">
        <f t="shared" si="14"/>
        <v>59967</v>
      </c>
      <c r="O222" t="str">
        <f t="shared" si="15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12"/>
        <v>891</v>
      </c>
      <c r="M223">
        <f t="shared" si="13"/>
        <v>630</v>
      </c>
      <c r="N223">
        <f t="shared" si="14"/>
        <v>64679</v>
      </c>
      <c r="O223" t="str">
        <f t="shared" si="15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12"/>
        <v>891</v>
      </c>
      <c r="M224">
        <f t="shared" si="13"/>
        <v>675</v>
      </c>
      <c r="N224">
        <f t="shared" si="14"/>
        <v>69412</v>
      </c>
      <c r="O224" t="str">
        <f t="shared" si="15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12"/>
        <v>891</v>
      </c>
      <c r="M225">
        <f t="shared" si="13"/>
        <v>720</v>
      </c>
      <c r="N225">
        <f t="shared" si="14"/>
        <v>74167</v>
      </c>
      <c r="O225" t="str">
        <f t="shared" si="15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12"/>
        <v>891</v>
      </c>
      <c r="M226">
        <f t="shared" si="13"/>
        <v>765</v>
      </c>
      <c r="N226">
        <f t="shared" si="14"/>
        <v>78943</v>
      </c>
      <c r="O226" t="str">
        <f t="shared" si="15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12"/>
        <v>891</v>
      </c>
      <c r="M227">
        <f t="shared" si="13"/>
        <v>810</v>
      </c>
      <c r="N227">
        <f t="shared" si="14"/>
        <v>83740</v>
      </c>
      <c r="O227" t="str">
        <f t="shared" si="15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12"/>
        <v>891</v>
      </c>
      <c r="M228">
        <f t="shared" si="13"/>
        <v>855</v>
      </c>
      <c r="N228">
        <f t="shared" si="14"/>
        <v>88559</v>
      </c>
      <c r="O228" t="str">
        <f t="shared" si="15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12"/>
        <v>891</v>
      </c>
      <c r="M229">
        <f t="shared" si="13"/>
        <v>900</v>
      </c>
      <c r="N229">
        <f t="shared" si="14"/>
        <v>93400</v>
      </c>
      <c r="O229" t="str">
        <f t="shared" si="15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12"/>
        <v>891</v>
      </c>
      <c r="M230">
        <f t="shared" si="13"/>
        <v>945</v>
      </c>
      <c r="N230">
        <f t="shared" si="14"/>
        <v>98262</v>
      </c>
      <c r="O230" t="str">
        <f t="shared" si="15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12"/>
        <v>891</v>
      </c>
      <c r="M231">
        <f t="shared" si="13"/>
        <v>990</v>
      </c>
      <c r="N231">
        <f t="shared" si="14"/>
        <v>103145</v>
      </c>
      <c r="O231" t="str">
        <f t="shared" si="15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12"/>
        <v>1188</v>
      </c>
      <c r="M232">
        <f t="shared" si="13"/>
        <v>-990</v>
      </c>
      <c r="N232">
        <f t="shared" si="14"/>
        <v>-110110</v>
      </c>
      <c r="O232" t="str">
        <f t="shared" si="15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12"/>
        <v>1188</v>
      </c>
      <c r="M233">
        <f t="shared" si="13"/>
        <v>-945</v>
      </c>
      <c r="N233">
        <f t="shared" si="14"/>
        <v>-105329</v>
      </c>
      <c r="O233" t="str">
        <f t="shared" si="15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12"/>
        <v>1188</v>
      </c>
      <c r="M234">
        <f t="shared" si="13"/>
        <v>-900</v>
      </c>
      <c r="N234">
        <f t="shared" si="14"/>
        <v>-100523</v>
      </c>
      <c r="O234" t="str">
        <f t="shared" si="15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12"/>
        <v>1188</v>
      </c>
      <c r="M235">
        <f t="shared" si="13"/>
        <v>-855</v>
      </c>
      <c r="N235">
        <f t="shared" si="14"/>
        <v>-95691</v>
      </c>
      <c r="O235" t="str">
        <f t="shared" si="15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12"/>
        <v>1188</v>
      </c>
      <c r="M236">
        <f t="shared" si="13"/>
        <v>-810</v>
      </c>
      <c r="N236">
        <f t="shared" si="14"/>
        <v>-90834</v>
      </c>
      <c r="O236" t="str">
        <f t="shared" si="15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12"/>
        <v>1188</v>
      </c>
      <c r="M237">
        <f t="shared" si="13"/>
        <v>-765</v>
      </c>
      <c r="N237">
        <f t="shared" si="14"/>
        <v>-85952</v>
      </c>
      <c r="O237" t="str">
        <f t="shared" si="15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12"/>
        <v>1188</v>
      </c>
      <c r="M238">
        <f t="shared" si="13"/>
        <v>-720</v>
      </c>
      <c r="N238">
        <f t="shared" si="14"/>
        <v>-81044</v>
      </c>
      <c r="O238" t="str">
        <f t="shared" si="15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12"/>
        <v>1188</v>
      </c>
      <c r="M239">
        <f t="shared" si="13"/>
        <v>-675</v>
      </c>
      <c r="N239">
        <f t="shared" si="14"/>
        <v>-76110</v>
      </c>
      <c r="O239" t="str">
        <f t="shared" si="15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12"/>
        <v>1188</v>
      </c>
      <c r="M240">
        <f t="shared" si="13"/>
        <v>-630</v>
      </c>
      <c r="N240">
        <f t="shared" si="14"/>
        <v>-71151</v>
      </c>
      <c r="O240" t="str">
        <f t="shared" si="15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12"/>
        <v>1188</v>
      </c>
      <c r="M241">
        <f t="shared" si="13"/>
        <v>-585</v>
      </c>
      <c r="N241">
        <f t="shared" si="14"/>
        <v>-66166</v>
      </c>
      <c r="O241" t="str">
        <f t="shared" si="15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12"/>
        <v>1188</v>
      </c>
      <c r="M242">
        <f t="shared" si="13"/>
        <v>-540</v>
      </c>
      <c r="N242">
        <f t="shared" si="14"/>
        <v>-61156</v>
      </c>
      <c r="O242" t="str">
        <f t="shared" si="15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12"/>
        <v>1188</v>
      </c>
      <c r="M243">
        <f t="shared" si="13"/>
        <v>-495</v>
      </c>
      <c r="N243">
        <f t="shared" si="14"/>
        <v>-56120</v>
      </c>
      <c r="O243" t="str">
        <f t="shared" si="15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12"/>
        <v>1188</v>
      </c>
      <c r="M244">
        <f t="shared" si="13"/>
        <v>-450</v>
      </c>
      <c r="N244">
        <f t="shared" si="14"/>
        <v>-51059</v>
      </c>
      <c r="O244" t="str">
        <f t="shared" si="15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12"/>
        <v>1188</v>
      </c>
      <c r="M245">
        <f t="shared" si="13"/>
        <v>-405</v>
      </c>
      <c r="N245">
        <f t="shared" si="14"/>
        <v>-45972</v>
      </c>
      <c r="O245" t="str">
        <f t="shared" si="15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12"/>
        <v>1188</v>
      </c>
      <c r="M246">
        <f t="shared" si="13"/>
        <v>-360</v>
      </c>
      <c r="N246">
        <f t="shared" si="14"/>
        <v>-40859</v>
      </c>
      <c r="O246" t="str">
        <f t="shared" si="15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12"/>
        <v>1188</v>
      </c>
      <c r="M247">
        <f t="shared" si="13"/>
        <v>-315</v>
      </c>
      <c r="N247">
        <f t="shared" si="14"/>
        <v>-35721</v>
      </c>
      <c r="O247" t="str">
        <f t="shared" si="15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12"/>
        <v>1188</v>
      </c>
      <c r="M248">
        <f t="shared" si="13"/>
        <v>-270</v>
      </c>
      <c r="N248">
        <f t="shared" si="14"/>
        <v>-30558</v>
      </c>
      <c r="O248" t="str">
        <f t="shared" si="15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12"/>
        <v>1188</v>
      </c>
      <c r="M249">
        <f t="shared" si="13"/>
        <v>-225</v>
      </c>
      <c r="N249">
        <f t="shared" si="14"/>
        <v>-25369</v>
      </c>
      <c r="O249" t="str">
        <f t="shared" si="15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12"/>
        <v>1188</v>
      </c>
      <c r="M250">
        <f t="shared" si="13"/>
        <v>-180</v>
      </c>
      <c r="N250">
        <f t="shared" si="14"/>
        <v>-20154</v>
      </c>
      <c r="O250" t="str">
        <f t="shared" si="15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12"/>
        <v>1188</v>
      </c>
      <c r="M251">
        <f t="shared" si="13"/>
        <v>-135</v>
      </c>
      <c r="N251">
        <f t="shared" si="14"/>
        <v>-14914</v>
      </c>
      <c r="O251" t="str">
        <f t="shared" si="15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12"/>
        <v>1188</v>
      </c>
      <c r="M252">
        <f t="shared" si="13"/>
        <v>-90</v>
      </c>
      <c r="N252">
        <f t="shared" si="14"/>
        <v>-9649</v>
      </c>
      <c r="O252" t="str">
        <f t="shared" si="15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12"/>
        <v>1188</v>
      </c>
      <c r="M253">
        <f t="shared" si="13"/>
        <v>-45</v>
      </c>
      <c r="N253">
        <f t="shared" si="14"/>
        <v>-4358</v>
      </c>
      <c r="O253" t="str">
        <f t="shared" si="15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12"/>
        <v>1188</v>
      </c>
      <c r="M254">
        <f t="shared" si="13"/>
        <v>-9</v>
      </c>
      <c r="N254">
        <f t="shared" si="14"/>
        <v>-107</v>
      </c>
      <c r="O254" t="str">
        <f t="shared" si="15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12"/>
        <v>1188</v>
      </c>
      <c r="M255">
        <f t="shared" si="13"/>
        <v>9</v>
      </c>
      <c r="N255">
        <f t="shared" si="14"/>
        <v>2217</v>
      </c>
      <c r="O255" t="str">
        <f t="shared" si="15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12"/>
        <v>1188</v>
      </c>
      <c r="M256">
        <f t="shared" si="13"/>
        <v>45</v>
      </c>
      <c r="N256">
        <f t="shared" si="14"/>
        <v>6935</v>
      </c>
      <c r="O256" t="str">
        <f t="shared" si="15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12"/>
        <v>1188</v>
      </c>
      <c r="M257">
        <f t="shared" si="13"/>
        <v>90</v>
      </c>
      <c r="N257">
        <f t="shared" si="14"/>
        <v>12857</v>
      </c>
      <c r="O257" t="str">
        <f t="shared" si="15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12"/>
        <v>1188</v>
      </c>
      <c r="M258">
        <f t="shared" si="13"/>
        <v>135</v>
      </c>
      <c r="N258">
        <f t="shared" si="14"/>
        <v>18806</v>
      </c>
      <c r="O258" t="str">
        <f t="shared" si="15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L322" si="16">A259</f>
        <v>1188</v>
      </c>
      <c r="M259">
        <f t="shared" ref="M259:M322" si="17">B259</f>
        <v>180</v>
      </c>
      <c r="N259">
        <f t="shared" ref="N259:N322" si="18">C259*1000</f>
        <v>24784</v>
      </c>
      <c r="O259" t="str">
        <f t="shared" ref="O259:O322" si="19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6"/>
        <v>1188</v>
      </c>
      <c r="M260">
        <f t="shared" si="17"/>
        <v>225</v>
      </c>
      <c r="N260">
        <f t="shared" si="18"/>
        <v>30789</v>
      </c>
      <c r="O260" t="str">
        <f t="shared" si="19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6"/>
        <v>1188</v>
      </c>
      <c r="M261">
        <f t="shared" si="17"/>
        <v>270</v>
      </c>
      <c r="N261">
        <f t="shared" si="18"/>
        <v>36821</v>
      </c>
      <c r="O261" t="str">
        <f t="shared" si="19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6"/>
        <v>1188</v>
      </c>
      <c r="M262">
        <f t="shared" si="17"/>
        <v>315</v>
      </c>
      <c r="N262">
        <f t="shared" si="18"/>
        <v>42882</v>
      </c>
      <c r="O262" t="str">
        <f t="shared" si="19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6"/>
        <v>1188</v>
      </c>
      <c r="M263">
        <f t="shared" si="17"/>
        <v>360</v>
      </c>
      <c r="N263">
        <f t="shared" si="18"/>
        <v>48970</v>
      </c>
      <c r="O263" t="str">
        <f t="shared" si="19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6"/>
        <v>1188</v>
      </c>
      <c r="M264">
        <f t="shared" si="17"/>
        <v>405</v>
      </c>
      <c r="N264">
        <f t="shared" si="18"/>
        <v>55086</v>
      </c>
      <c r="O264" t="str">
        <f t="shared" si="19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6"/>
        <v>1188</v>
      </c>
      <c r="M265">
        <f t="shared" si="17"/>
        <v>450</v>
      </c>
      <c r="N265">
        <f t="shared" si="18"/>
        <v>61230</v>
      </c>
      <c r="O265" t="str">
        <f t="shared" si="19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6"/>
        <v>1188</v>
      </c>
      <c r="M266">
        <f t="shared" si="17"/>
        <v>495</v>
      </c>
      <c r="N266">
        <f t="shared" si="18"/>
        <v>67401</v>
      </c>
      <c r="O266" t="str">
        <f t="shared" si="19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6"/>
        <v>1188</v>
      </c>
      <c r="M267">
        <f t="shared" si="17"/>
        <v>540</v>
      </c>
      <c r="N267">
        <f t="shared" si="18"/>
        <v>73600</v>
      </c>
      <c r="O267" t="str">
        <f t="shared" si="19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6"/>
        <v>1188</v>
      </c>
      <c r="M268">
        <f t="shared" si="17"/>
        <v>585</v>
      </c>
      <c r="N268">
        <f t="shared" si="18"/>
        <v>79826</v>
      </c>
      <c r="O268" t="str">
        <f t="shared" si="19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6"/>
        <v>1188</v>
      </c>
      <c r="M269">
        <f t="shared" si="17"/>
        <v>630</v>
      </c>
      <c r="N269">
        <f t="shared" si="18"/>
        <v>86081</v>
      </c>
      <c r="O269" t="str">
        <f t="shared" si="19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6"/>
        <v>1188</v>
      </c>
      <c r="M270">
        <f t="shared" si="17"/>
        <v>675</v>
      </c>
      <c r="N270">
        <f t="shared" si="18"/>
        <v>92363</v>
      </c>
      <c r="O270" t="str">
        <f t="shared" si="19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6"/>
        <v>1188</v>
      </c>
      <c r="M271">
        <f t="shared" si="17"/>
        <v>720</v>
      </c>
      <c r="N271">
        <f t="shared" si="18"/>
        <v>98673</v>
      </c>
      <c r="O271" t="str">
        <f t="shared" si="19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6"/>
        <v>1188</v>
      </c>
      <c r="M272">
        <f t="shared" si="17"/>
        <v>765</v>
      </c>
      <c r="N272">
        <f t="shared" si="18"/>
        <v>105010</v>
      </c>
      <c r="O272" t="str">
        <f t="shared" si="19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6"/>
        <v>1188</v>
      </c>
      <c r="M273">
        <f t="shared" si="17"/>
        <v>810</v>
      </c>
      <c r="N273">
        <f t="shared" si="18"/>
        <v>111375</v>
      </c>
      <c r="O273" t="str">
        <f t="shared" si="19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6"/>
        <v>1188</v>
      </c>
      <c r="M274">
        <f t="shared" si="17"/>
        <v>855</v>
      </c>
      <c r="N274">
        <f t="shared" si="18"/>
        <v>117768</v>
      </c>
      <c r="O274" t="str">
        <f t="shared" si="19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6"/>
        <v>1188</v>
      </c>
      <c r="M275">
        <f t="shared" si="17"/>
        <v>900</v>
      </c>
      <c r="N275">
        <f t="shared" si="18"/>
        <v>124189</v>
      </c>
      <c r="O275" t="str">
        <f t="shared" si="19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6"/>
        <v>1188</v>
      </c>
      <c r="M276">
        <f t="shared" si="17"/>
        <v>945</v>
      </c>
      <c r="N276">
        <f t="shared" si="18"/>
        <v>130637</v>
      </c>
      <c r="O276" t="str">
        <f t="shared" si="19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6"/>
        <v>1188</v>
      </c>
      <c r="M277">
        <f t="shared" si="17"/>
        <v>990</v>
      </c>
      <c r="N277">
        <f t="shared" si="18"/>
        <v>137113</v>
      </c>
      <c r="O277" t="str">
        <f t="shared" si="19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6"/>
        <v>1485</v>
      </c>
      <c r="M278">
        <f t="shared" si="17"/>
        <v>-990</v>
      </c>
      <c r="N278">
        <f t="shared" si="18"/>
        <v>-137428</v>
      </c>
      <c r="O278" t="str">
        <f t="shared" si="19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6"/>
        <v>1485</v>
      </c>
      <c r="M279">
        <f t="shared" si="17"/>
        <v>-945</v>
      </c>
      <c r="N279">
        <f t="shared" si="18"/>
        <v>-131463</v>
      </c>
      <c r="O279" t="str">
        <f t="shared" si="19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6"/>
        <v>1485</v>
      </c>
      <c r="M280">
        <f t="shared" si="17"/>
        <v>-900</v>
      </c>
      <c r="N280">
        <f t="shared" si="18"/>
        <v>-125465</v>
      </c>
      <c r="O280" t="str">
        <f t="shared" si="19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6"/>
        <v>1485</v>
      </c>
      <c r="M281">
        <f t="shared" si="17"/>
        <v>-855</v>
      </c>
      <c r="N281">
        <f t="shared" si="18"/>
        <v>-119434</v>
      </c>
      <c r="O281" t="str">
        <f t="shared" si="19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6"/>
        <v>1485</v>
      </c>
      <c r="M282">
        <f t="shared" si="17"/>
        <v>-810</v>
      </c>
      <c r="N282">
        <f t="shared" si="18"/>
        <v>-113370</v>
      </c>
      <c r="O282" t="str">
        <f t="shared" si="19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6"/>
        <v>1485</v>
      </c>
      <c r="M283">
        <f t="shared" si="17"/>
        <v>-765</v>
      </c>
      <c r="N283">
        <f t="shared" si="18"/>
        <v>-107273</v>
      </c>
      <c r="O283" t="str">
        <f t="shared" si="19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6"/>
        <v>1485</v>
      </c>
      <c r="M284">
        <f t="shared" si="17"/>
        <v>-720</v>
      </c>
      <c r="N284">
        <f t="shared" si="18"/>
        <v>-101143</v>
      </c>
      <c r="O284" t="str">
        <f t="shared" si="19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6"/>
        <v>1485</v>
      </c>
      <c r="M285">
        <f t="shared" si="17"/>
        <v>-675</v>
      </c>
      <c r="N285">
        <f t="shared" si="18"/>
        <v>-94981</v>
      </c>
      <c r="O285" t="str">
        <f t="shared" si="19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6"/>
        <v>1485</v>
      </c>
      <c r="M286">
        <f t="shared" si="17"/>
        <v>-630</v>
      </c>
      <c r="N286">
        <f t="shared" si="18"/>
        <v>-88785</v>
      </c>
      <c r="O286" t="str">
        <f t="shared" si="19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6"/>
        <v>1485</v>
      </c>
      <c r="M287">
        <f t="shared" si="17"/>
        <v>-585</v>
      </c>
      <c r="N287">
        <f t="shared" si="18"/>
        <v>-82556</v>
      </c>
      <c r="O287" t="str">
        <f t="shared" si="19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6"/>
        <v>1485</v>
      </c>
      <c r="M288">
        <f t="shared" si="17"/>
        <v>-540</v>
      </c>
      <c r="N288">
        <f t="shared" si="18"/>
        <v>-76295</v>
      </c>
      <c r="O288" t="str">
        <f t="shared" si="19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6"/>
        <v>1485</v>
      </c>
      <c r="M289">
        <f t="shared" si="17"/>
        <v>-495</v>
      </c>
      <c r="N289">
        <f t="shared" si="18"/>
        <v>-70000</v>
      </c>
      <c r="O289" t="str">
        <f t="shared" si="19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6"/>
        <v>1485</v>
      </c>
      <c r="M290">
        <f t="shared" si="17"/>
        <v>-450</v>
      </c>
      <c r="N290">
        <f t="shared" si="18"/>
        <v>-63673</v>
      </c>
      <c r="O290" t="str">
        <f t="shared" si="19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6"/>
        <v>1485</v>
      </c>
      <c r="M291">
        <f t="shared" si="17"/>
        <v>-405</v>
      </c>
      <c r="N291">
        <f t="shared" si="18"/>
        <v>-57313</v>
      </c>
      <c r="O291" t="str">
        <f t="shared" si="19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6"/>
        <v>1485</v>
      </c>
      <c r="M292">
        <f t="shared" si="17"/>
        <v>-360</v>
      </c>
      <c r="N292">
        <f t="shared" si="18"/>
        <v>-50920</v>
      </c>
      <c r="O292" t="str">
        <f t="shared" si="19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6"/>
        <v>1485</v>
      </c>
      <c r="M293">
        <f t="shared" si="17"/>
        <v>-315</v>
      </c>
      <c r="N293">
        <f t="shared" si="18"/>
        <v>-44494</v>
      </c>
      <c r="O293" t="str">
        <f t="shared" si="19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6"/>
        <v>1485</v>
      </c>
      <c r="M294">
        <f t="shared" si="17"/>
        <v>-270</v>
      </c>
      <c r="N294">
        <f t="shared" si="18"/>
        <v>-38035</v>
      </c>
      <c r="O294" t="str">
        <f t="shared" si="19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6"/>
        <v>1485</v>
      </c>
      <c r="M295">
        <f t="shared" si="17"/>
        <v>-225</v>
      </c>
      <c r="N295">
        <f t="shared" si="18"/>
        <v>-31543</v>
      </c>
      <c r="O295" t="str">
        <f t="shared" si="19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6"/>
        <v>1485</v>
      </c>
      <c r="M296">
        <f t="shared" si="17"/>
        <v>-180</v>
      </c>
      <c r="N296">
        <f t="shared" si="18"/>
        <v>-25018</v>
      </c>
      <c r="O296" t="str">
        <f t="shared" si="19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6"/>
        <v>1485</v>
      </c>
      <c r="M297">
        <f t="shared" si="17"/>
        <v>-135</v>
      </c>
      <c r="N297">
        <f t="shared" si="18"/>
        <v>-18460</v>
      </c>
      <c r="O297" t="str">
        <f t="shared" si="19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6"/>
        <v>1485</v>
      </c>
      <c r="M298">
        <f t="shared" si="17"/>
        <v>-90</v>
      </c>
      <c r="N298">
        <f t="shared" si="18"/>
        <v>-11869</v>
      </c>
      <c r="O298" t="str">
        <f t="shared" si="19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6"/>
        <v>1485</v>
      </c>
      <c r="M299">
        <f t="shared" si="17"/>
        <v>-45</v>
      </c>
      <c r="N299">
        <f t="shared" si="18"/>
        <v>-5246</v>
      </c>
      <c r="O299" t="str">
        <f t="shared" si="19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6"/>
        <v>1485</v>
      </c>
      <c r="M300">
        <f t="shared" si="17"/>
        <v>-9</v>
      </c>
      <c r="N300">
        <f t="shared" si="18"/>
        <v>0</v>
      </c>
      <c r="O300" t="str">
        <f t="shared" si="19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6"/>
        <v>1485</v>
      </c>
      <c r="M301">
        <f t="shared" si="17"/>
        <v>9</v>
      </c>
      <c r="N301">
        <f t="shared" si="18"/>
        <v>2999</v>
      </c>
      <c r="O301" t="str">
        <f t="shared" si="19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6"/>
        <v>1485</v>
      </c>
      <c r="M302">
        <f t="shared" si="17"/>
        <v>45</v>
      </c>
      <c r="N302">
        <f t="shared" si="18"/>
        <v>8887</v>
      </c>
      <c r="O302" t="str">
        <f t="shared" si="19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6"/>
        <v>1485</v>
      </c>
      <c r="M303">
        <f t="shared" si="17"/>
        <v>90</v>
      </c>
      <c r="N303">
        <f t="shared" si="18"/>
        <v>16279</v>
      </c>
      <c r="O303" t="str">
        <f t="shared" si="19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6"/>
        <v>1485</v>
      </c>
      <c r="M304">
        <f t="shared" si="17"/>
        <v>135</v>
      </c>
      <c r="N304">
        <f t="shared" si="18"/>
        <v>23706</v>
      </c>
      <c r="O304" t="str">
        <f t="shared" si="19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6"/>
        <v>1485</v>
      </c>
      <c r="M305">
        <f t="shared" si="17"/>
        <v>180</v>
      </c>
      <c r="N305">
        <f t="shared" si="18"/>
        <v>31170</v>
      </c>
      <c r="O305" t="str">
        <f t="shared" si="19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6"/>
        <v>1485</v>
      </c>
      <c r="M306">
        <f t="shared" si="17"/>
        <v>225</v>
      </c>
      <c r="N306">
        <f t="shared" si="18"/>
        <v>38669</v>
      </c>
      <c r="O306" t="str">
        <f t="shared" si="19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6"/>
        <v>1485</v>
      </c>
      <c r="M307">
        <f t="shared" si="17"/>
        <v>270</v>
      </c>
      <c r="N307">
        <f t="shared" si="18"/>
        <v>46204</v>
      </c>
      <c r="O307" t="str">
        <f t="shared" si="19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6"/>
        <v>1485</v>
      </c>
      <c r="M308">
        <f t="shared" si="17"/>
        <v>315</v>
      </c>
      <c r="N308">
        <f t="shared" si="18"/>
        <v>53774</v>
      </c>
      <c r="O308" t="str">
        <f t="shared" si="19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6"/>
        <v>1485</v>
      </c>
      <c r="M309">
        <f t="shared" si="17"/>
        <v>360</v>
      </c>
      <c r="N309">
        <f t="shared" si="18"/>
        <v>61380</v>
      </c>
      <c r="O309" t="str">
        <f t="shared" si="19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6"/>
        <v>1485</v>
      </c>
      <c r="M310">
        <f t="shared" si="17"/>
        <v>405</v>
      </c>
      <c r="N310">
        <f t="shared" si="18"/>
        <v>69022</v>
      </c>
      <c r="O310" t="str">
        <f t="shared" si="19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6"/>
        <v>1485</v>
      </c>
      <c r="M311">
        <f t="shared" si="17"/>
        <v>450</v>
      </c>
      <c r="N311">
        <f t="shared" si="18"/>
        <v>76700</v>
      </c>
      <c r="O311" t="str">
        <f t="shared" si="19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6"/>
        <v>1485</v>
      </c>
      <c r="M312">
        <f t="shared" si="17"/>
        <v>495</v>
      </c>
      <c r="N312">
        <f t="shared" si="18"/>
        <v>84413</v>
      </c>
      <c r="O312" t="str">
        <f t="shared" si="19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6"/>
        <v>1485</v>
      </c>
      <c r="M313">
        <f t="shared" si="17"/>
        <v>540</v>
      </c>
      <c r="N313">
        <f t="shared" si="18"/>
        <v>92162</v>
      </c>
      <c r="O313" t="str">
        <f t="shared" si="19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6"/>
        <v>1485</v>
      </c>
      <c r="M314">
        <f t="shared" si="17"/>
        <v>585</v>
      </c>
      <c r="N314">
        <f t="shared" si="18"/>
        <v>99947</v>
      </c>
      <c r="O314" t="str">
        <f t="shared" si="19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6"/>
        <v>1485</v>
      </c>
      <c r="M315">
        <f t="shared" si="17"/>
        <v>630</v>
      </c>
      <c r="N315">
        <f t="shared" si="18"/>
        <v>107768</v>
      </c>
      <c r="O315" t="str">
        <f t="shared" si="19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6"/>
        <v>1485</v>
      </c>
      <c r="M316">
        <f t="shared" si="17"/>
        <v>675</v>
      </c>
      <c r="N316">
        <f t="shared" si="18"/>
        <v>115624</v>
      </c>
      <c r="O316" t="str">
        <f t="shared" si="19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6"/>
        <v>1485</v>
      </c>
      <c r="M317">
        <f t="shared" si="17"/>
        <v>720</v>
      </c>
      <c r="N317">
        <f t="shared" si="18"/>
        <v>123516</v>
      </c>
      <c r="O317" t="str">
        <f t="shared" si="19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6"/>
        <v>1485</v>
      </c>
      <c r="M318">
        <f t="shared" si="17"/>
        <v>765</v>
      </c>
      <c r="N318">
        <f t="shared" si="18"/>
        <v>131443</v>
      </c>
      <c r="O318" t="str">
        <f t="shared" si="19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6"/>
        <v>1485</v>
      </c>
      <c r="M319">
        <f t="shared" si="17"/>
        <v>810</v>
      </c>
      <c r="N319">
        <f t="shared" si="18"/>
        <v>139407</v>
      </c>
      <c r="O319" t="str">
        <f t="shared" si="19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6"/>
        <v>1485</v>
      </c>
      <c r="M320">
        <f t="shared" si="17"/>
        <v>855</v>
      </c>
      <c r="N320">
        <f t="shared" si="18"/>
        <v>147406</v>
      </c>
      <c r="O320" t="str">
        <f t="shared" si="19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6"/>
        <v>1485</v>
      </c>
      <c r="M321">
        <f t="shared" si="17"/>
        <v>900</v>
      </c>
      <c r="N321">
        <f t="shared" si="18"/>
        <v>155441</v>
      </c>
      <c r="O321" t="str">
        <f t="shared" si="19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6"/>
        <v>1485</v>
      </c>
      <c r="M322">
        <f t="shared" si="17"/>
        <v>945</v>
      </c>
      <c r="N322">
        <f t="shared" si="18"/>
        <v>163511</v>
      </c>
      <c r="O322" t="str">
        <f t="shared" si="19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L386" si="20">A323</f>
        <v>1485</v>
      </c>
      <c r="M323">
        <f t="shared" ref="M323:M386" si="21">B323</f>
        <v>990</v>
      </c>
      <c r="N323">
        <f t="shared" ref="N323:N386" si="22">C323*1000</f>
        <v>171618</v>
      </c>
      <c r="O323" t="str">
        <f t="shared" ref="O323:O386" si="23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20"/>
        <v>1782</v>
      </c>
      <c r="M324">
        <f t="shared" si="21"/>
        <v>-990</v>
      </c>
      <c r="N324">
        <f t="shared" si="22"/>
        <v>-164233</v>
      </c>
      <c r="O324" t="str">
        <f t="shared" si="23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20"/>
        <v>1782</v>
      </c>
      <c r="M325">
        <f t="shared" si="21"/>
        <v>-945</v>
      </c>
      <c r="N325">
        <f t="shared" si="22"/>
        <v>-157118</v>
      </c>
      <c r="O325" t="str">
        <f t="shared" si="23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20"/>
        <v>1782</v>
      </c>
      <c r="M326">
        <f t="shared" si="21"/>
        <v>-900</v>
      </c>
      <c r="N326">
        <f t="shared" si="22"/>
        <v>-149961</v>
      </c>
      <c r="O326" t="str">
        <f t="shared" si="23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20"/>
        <v>1782</v>
      </c>
      <c r="M327">
        <f t="shared" si="21"/>
        <v>-855</v>
      </c>
      <c r="N327">
        <f t="shared" si="22"/>
        <v>-142762</v>
      </c>
      <c r="O327" t="str">
        <f t="shared" si="23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20"/>
        <v>1782</v>
      </c>
      <c r="M328">
        <f t="shared" si="21"/>
        <v>-810</v>
      </c>
      <c r="N328">
        <f t="shared" si="22"/>
        <v>-135521</v>
      </c>
      <c r="O328" t="str">
        <f t="shared" si="23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20"/>
        <v>1782</v>
      </c>
      <c r="M329">
        <f t="shared" si="21"/>
        <v>-765</v>
      </c>
      <c r="N329">
        <f t="shared" si="22"/>
        <v>-128238</v>
      </c>
      <c r="O329" t="str">
        <f t="shared" si="23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20"/>
        <v>1782</v>
      </c>
      <c r="M330">
        <f t="shared" si="21"/>
        <v>-720</v>
      </c>
      <c r="N330">
        <f t="shared" si="22"/>
        <v>-120913</v>
      </c>
      <c r="O330" t="str">
        <f t="shared" si="23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20"/>
        <v>1782</v>
      </c>
      <c r="M331">
        <f t="shared" si="21"/>
        <v>-675</v>
      </c>
      <c r="N331">
        <f t="shared" si="22"/>
        <v>-113546</v>
      </c>
      <c r="O331" t="str">
        <f t="shared" si="23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20"/>
        <v>1782</v>
      </c>
      <c r="M332">
        <f t="shared" si="21"/>
        <v>-630</v>
      </c>
      <c r="N332">
        <f t="shared" si="22"/>
        <v>-106137</v>
      </c>
      <c r="O332" t="str">
        <f t="shared" si="23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20"/>
        <v>1782</v>
      </c>
      <c r="M333">
        <f t="shared" si="21"/>
        <v>-585</v>
      </c>
      <c r="N333">
        <f t="shared" si="22"/>
        <v>-98687</v>
      </c>
      <c r="O333" t="str">
        <f t="shared" si="23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20"/>
        <v>1782</v>
      </c>
      <c r="M334">
        <f t="shared" si="21"/>
        <v>-540</v>
      </c>
      <c r="N334">
        <f t="shared" si="22"/>
        <v>-91194</v>
      </c>
      <c r="O334" t="str">
        <f t="shared" si="23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20"/>
        <v>1782</v>
      </c>
      <c r="M335">
        <f t="shared" si="21"/>
        <v>-495</v>
      </c>
      <c r="N335">
        <f t="shared" si="22"/>
        <v>-83660</v>
      </c>
      <c r="O335" t="str">
        <f t="shared" si="23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20"/>
        <v>1782</v>
      </c>
      <c r="M336">
        <f t="shared" si="21"/>
        <v>-450</v>
      </c>
      <c r="N336">
        <f t="shared" si="22"/>
        <v>-76083</v>
      </c>
      <c r="O336" t="str">
        <f t="shared" si="23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20"/>
        <v>1782</v>
      </c>
      <c r="M337">
        <f t="shared" si="21"/>
        <v>-405</v>
      </c>
      <c r="N337">
        <f t="shared" si="22"/>
        <v>-68465</v>
      </c>
      <c r="O337" t="str">
        <f t="shared" si="23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20"/>
        <v>1782</v>
      </c>
      <c r="M338">
        <f t="shared" si="21"/>
        <v>-360</v>
      </c>
      <c r="N338">
        <f t="shared" si="22"/>
        <v>-60805</v>
      </c>
      <c r="O338" t="str">
        <f t="shared" si="23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20"/>
        <v>1782</v>
      </c>
      <c r="M339">
        <f t="shared" si="21"/>
        <v>-315</v>
      </c>
      <c r="N339">
        <f t="shared" si="22"/>
        <v>-53103</v>
      </c>
      <c r="O339" t="str">
        <f t="shared" si="23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20"/>
        <v>1782</v>
      </c>
      <c r="M340">
        <f t="shared" si="21"/>
        <v>-270</v>
      </c>
      <c r="N340">
        <f t="shared" si="22"/>
        <v>-45358</v>
      </c>
      <c r="O340" t="str">
        <f t="shared" si="23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20"/>
        <v>1782</v>
      </c>
      <c r="M341">
        <f t="shared" si="21"/>
        <v>-225</v>
      </c>
      <c r="N341">
        <f t="shared" si="22"/>
        <v>-37572</v>
      </c>
      <c r="O341" t="str">
        <f t="shared" si="23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20"/>
        <v>1782</v>
      </c>
      <c r="M342">
        <f t="shared" si="21"/>
        <v>-180</v>
      </c>
      <c r="N342">
        <f t="shared" si="22"/>
        <v>-29745</v>
      </c>
      <c r="O342" t="str">
        <f t="shared" si="23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20"/>
        <v>1782</v>
      </c>
      <c r="M343">
        <f t="shared" si="21"/>
        <v>-135</v>
      </c>
      <c r="N343">
        <f t="shared" si="22"/>
        <v>-21875</v>
      </c>
      <c r="O343" t="str">
        <f t="shared" si="23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20"/>
        <v>1782</v>
      </c>
      <c r="M344">
        <f t="shared" si="21"/>
        <v>-90</v>
      </c>
      <c r="N344">
        <f t="shared" si="22"/>
        <v>-13963</v>
      </c>
      <c r="O344" t="str">
        <f t="shared" si="23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20"/>
        <v>1782</v>
      </c>
      <c r="M345">
        <f t="shared" si="21"/>
        <v>-45</v>
      </c>
      <c r="N345">
        <f t="shared" si="22"/>
        <v>-6009</v>
      </c>
      <c r="O345" t="str">
        <f t="shared" si="23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20"/>
        <v>1782</v>
      </c>
      <c r="M346">
        <f t="shared" si="21"/>
        <v>-9</v>
      </c>
      <c r="N346">
        <f t="shared" si="22"/>
        <v>0</v>
      </c>
      <c r="O346" t="str">
        <f t="shared" si="23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20"/>
        <v>1782</v>
      </c>
      <c r="M347">
        <f t="shared" si="21"/>
        <v>9</v>
      </c>
      <c r="N347">
        <f t="shared" si="22"/>
        <v>3916</v>
      </c>
      <c r="O347" t="str">
        <f t="shared" si="23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20"/>
        <v>1782</v>
      </c>
      <c r="M348">
        <f t="shared" si="21"/>
        <v>45</v>
      </c>
      <c r="N348">
        <f t="shared" si="22"/>
        <v>10974</v>
      </c>
      <c r="O348" t="str">
        <f t="shared" si="23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20"/>
        <v>1782</v>
      </c>
      <c r="M349">
        <f t="shared" si="21"/>
        <v>90</v>
      </c>
      <c r="N349">
        <f t="shared" si="22"/>
        <v>19839</v>
      </c>
      <c r="O349" t="str">
        <f t="shared" si="23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20"/>
        <v>1782</v>
      </c>
      <c r="M350">
        <f t="shared" si="21"/>
        <v>135</v>
      </c>
      <c r="N350">
        <f t="shared" si="22"/>
        <v>28749</v>
      </c>
      <c r="O350" t="str">
        <f t="shared" si="23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20"/>
        <v>1782</v>
      </c>
      <c r="M351">
        <f t="shared" si="21"/>
        <v>180</v>
      </c>
      <c r="N351">
        <f t="shared" si="22"/>
        <v>37704</v>
      </c>
      <c r="O351" t="str">
        <f t="shared" si="23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20"/>
        <v>1782</v>
      </c>
      <c r="M352">
        <f t="shared" si="21"/>
        <v>225</v>
      </c>
      <c r="N352">
        <f t="shared" si="22"/>
        <v>46705</v>
      </c>
      <c r="O352" t="str">
        <f t="shared" si="23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20"/>
        <v>1782</v>
      </c>
      <c r="M353">
        <f t="shared" si="21"/>
        <v>270</v>
      </c>
      <c r="N353">
        <f t="shared" si="22"/>
        <v>55751</v>
      </c>
      <c r="O353" t="str">
        <f t="shared" si="23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20"/>
        <v>1782</v>
      </c>
      <c r="M354">
        <f t="shared" si="21"/>
        <v>315</v>
      </c>
      <c r="N354">
        <f t="shared" si="22"/>
        <v>64843</v>
      </c>
      <c r="O354" t="str">
        <f t="shared" si="23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20"/>
        <v>1782</v>
      </c>
      <c r="M355">
        <f t="shared" si="21"/>
        <v>360</v>
      </c>
      <c r="N355">
        <f t="shared" si="22"/>
        <v>73981</v>
      </c>
      <c r="O355" t="str">
        <f t="shared" si="23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20"/>
        <v>1782</v>
      </c>
      <c r="M356">
        <f t="shared" si="21"/>
        <v>405</v>
      </c>
      <c r="N356">
        <f t="shared" si="22"/>
        <v>83163</v>
      </c>
      <c r="O356" t="str">
        <f t="shared" si="23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20"/>
        <v>1782</v>
      </c>
      <c r="M357">
        <f t="shared" si="21"/>
        <v>450</v>
      </c>
      <c r="N357">
        <f t="shared" si="22"/>
        <v>92392</v>
      </c>
      <c r="O357" t="str">
        <f t="shared" si="23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20"/>
        <v>1782</v>
      </c>
      <c r="M358">
        <f t="shared" si="21"/>
        <v>495</v>
      </c>
      <c r="N358">
        <f t="shared" si="22"/>
        <v>101666</v>
      </c>
      <c r="O358" t="str">
        <f t="shared" si="23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20"/>
        <v>1782</v>
      </c>
      <c r="M359">
        <f t="shared" si="21"/>
        <v>540</v>
      </c>
      <c r="N359">
        <f t="shared" si="22"/>
        <v>110985</v>
      </c>
      <c r="O359" t="str">
        <f t="shared" si="23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20"/>
        <v>1782</v>
      </c>
      <c r="M360">
        <f t="shared" si="21"/>
        <v>585</v>
      </c>
      <c r="N360">
        <f t="shared" si="22"/>
        <v>120350</v>
      </c>
      <c r="O360" t="str">
        <f t="shared" si="23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20"/>
        <v>1782</v>
      </c>
      <c r="M361">
        <f t="shared" si="21"/>
        <v>630</v>
      </c>
      <c r="N361">
        <f t="shared" si="22"/>
        <v>129759.99999999999</v>
      </c>
      <c r="O361" t="str">
        <f t="shared" si="23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20"/>
        <v>1782</v>
      </c>
      <c r="M362">
        <f t="shared" si="21"/>
        <v>675</v>
      </c>
      <c r="N362">
        <f t="shared" si="22"/>
        <v>139216</v>
      </c>
      <c r="O362" t="str">
        <f t="shared" si="23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20"/>
        <v>1782</v>
      </c>
      <c r="M363">
        <f t="shared" si="21"/>
        <v>720</v>
      </c>
      <c r="N363">
        <f t="shared" si="22"/>
        <v>148717</v>
      </c>
      <c r="O363" t="str">
        <f t="shared" si="23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20"/>
        <v>1782</v>
      </c>
      <c r="M364">
        <f t="shared" si="21"/>
        <v>765</v>
      </c>
      <c r="N364">
        <f t="shared" si="22"/>
        <v>158264</v>
      </c>
      <c r="O364" t="str">
        <f t="shared" si="23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20"/>
        <v>1782</v>
      </c>
      <c r="M365">
        <f t="shared" si="21"/>
        <v>810</v>
      </c>
      <c r="N365">
        <f t="shared" si="22"/>
        <v>167856</v>
      </c>
      <c r="O365" t="str">
        <f t="shared" si="23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20"/>
        <v>1782</v>
      </c>
      <c r="M366">
        <f t="shared" si="21"/>
        <v>855</v>
      </c>
      <c r="N366">
        <f t="shared" si="22"/>
        <v>177494</v>
      </c>
      <c r="O366" t="str">
        <f t="shared" si="23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20"/>
        <v>1782</v>
      </c>
      <c r="M367">
        <f t="shared" si="21"/>
        <v>900</v>
      </c>
      <c r="N367">
        <f t="shared" si="22"/>
        <v>187177</v>
      </c>
      <c r="O367" t="str">
        <f t="shared" si="23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20"/>
        <v>1782</v>
      </c>
      <c r="M368">
        <f t="shared" si="21"/>
        <v>945</v>
      </c>
      <c r="N368">
        <f t="shared" si="22"/>
        <v>196906</v>
      </c>
      <c r="O368" t="str">
        <f t="shared" si="23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20"/>
        <v>1782</v>
      </c>
      <c r="M369">
        <f t="shared" si="21"/>
        <v>990</v>
      </c>
      <c r="N369">
        <f t="shared" si="22"/>
        <v>206680</v>
      </c>
      <c r="O369" t="str">
        <f t="shared" si="23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20"/>
        <v>2079</v>
      </c>
      <c r="M370">
        <f t="shared" si="21"/>
        <v>-990</v>
      </c>
      <c r="N370">
        <f t="shared" si="22"/>
        <v>-190505</v>
      </c>
      <c r="O370" t="str">
        <f t="shared" si="23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20"/>
        <v>2079</v>
      </c>
      <c r="M371">
        <f t="shared" si="21"/>
        <v>-945</v>
      </c>
      <c r="N371">
        <f t="shared" si="22"/>
        <v>-182275</v>
      </c>
      <c r="O371" t="str">
        <f t="shared" si="23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20"/>
        <v>2079</v>
      </c>
      <c r="M372">
        <f t="shared" si="21"/>
        <v>-900</v>
      </c>
      <c r="N372">
        <f t="shared" si="22"/>
        <v>-173991</v>
      </c>
      <c r="O372" t="str">
        <f t="shared" si="23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20"/>
        <v>2079</v>
      </c>
      <c r="M373">
        <f t="shared" si="21"/>
        <v>-855</v>
      </c>
      <c r="N373">
        <f t="shared" si="22"/>
        <v>-165656</v>
      </c>
      <c r="O373" t="str">
        <f t="shared" si="23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20"/>
        <v>2079</v>
      </c>
      <c r="M374">
        <f t="shared" si="21"/>
        <v>-810</v>
      </c>
      <c r="N374">
        <f t="shared" si="22"/>
        <v>-157267</v>
      </c>
      <c r="O374" t="str">
        <f t="shared" si="23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20"/>
        <v>2079</v>
      </c>
      <c r="M375">
        <f t="shared" si="21"/>
        <v>-765</v>
      </c>
      <c r="N375">
        <f t="shared" si="22"/>
        <v>-148827</v>
      </c>
      <c r="O375" t="str">
        <f t="shared" si="23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20"/>
        <v>2079</v>
      </c>
      <c r="M376">
        <f t="shared" si="21"/>
        <v>-720</v>
      </c>
      <c r="N376">
        <f t="shared" si="22"/>
        <v>-140333</v>
      </c>
      <c r="O376" t="str">
        <f t="shared" si="23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20"/>
        <v>2079</v>
      </c>
      <c r="M377">
        <f t="shared" si="21"/>
        <v>-675</v>
      </c>
      <c r="N377">
        <f t="shared" si="22"/>
        <v>-131787</v>
      </c>
      <c r="O377" t="str">
        <f t="shared" si="23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20"/>
        <v>2079</v>
      </c>
      <c r="M378">
        <f t="shared" si="21"/>
        <v>-630</v>
      </c>
      <c r="N378">
        <f t="shared" si="22"/>
        <v>-123189</v>
      </c>
      <c r="O378" t="str">
        <f t="shared" si="23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20"/>
        <v>2079</v>
      </c>
      <c r="M379">
        <f t="shared" si="21"/>
        <v>-585</v>
      </c>
      <c r="N379">
        <f t="shared" si="22"/>
        <v>-114538</v>
      </c>
      <c r="O379" t="str">
        <f t="shared" si="23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20"/>
        <v>2079</v>
      </c>
      <c r="M380">
        <f t="shared" si="21"/>
        <v>-540</v>
      </c>
      <c r="N380">
        <f t="shared" si="22"/>
        <v>-105835</v>
      </c>
      <c r="O380" t="str">
        <f t="shared" si="23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20"/>
        <v>2079</v>
      </c>
      <c r="M381">
        <f t="shared" si="21"/>
        <v>-495</v>
      </c>
      <c r="N381">
        <f t="shared" si="22"/>
        <v>-97079</v>
      </c>
      <c r="O381" t="str">
        <f t="shared" si="23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20"/>
        <v>2079</v>
      </c>
      <c r="M382">
        <f t="shared" si="21"/>
        <v>-450</v>
      </c>
      <c r="N382">
        <f t="shared" si="22"/>
        <v>-88270</v>
      </c>
      <c r="O382" t="str">
        <f t="shared" si="23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20"/>
        <v>2079</v>
      </c>
      <c r="M383">
        <f t="shared" si="21"/>
        <v>-405</v>
      </c>
      <c r="N383">
        <f t="shared" si="22"/>
        <v>-79409</v>
      </c>
      <c r="O383" t="str">
        <f t="shared" si="23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20"/>
        <v>2079</v>
      </c>
      <c r="M384">
        <f t="shared" si="21"/>
        <v>-360</v>
      </c>
      <c r="N384">
        <f t="shared" si="22"/>
        <v>-70495</v>
      </c>
      <c r="O384" t="str">
        <f t="shared" si="23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20"/>
        <v>2079</v>
      </c>
      <c r="M385">
        <f t="shared" si="21"/>
        <v>-315</v>
      </c>
      <c r="N385">
        <f t="shared" si="22"/>
        <v>-61529</v>
      </c>
      <c r="O385" t="str">
        <f t="shared" si="23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20"/>
        <v>2079</v>
      </c>
      <c r="M386">
        <f t="shared" si="21"/>
        <v>-270</v>
      </c>
      <c r="N386">
        <f t="shared" si="22"/>
        <v>-52510</v>
      </c>
      <c r="O386" t="str">
        <f t="shared" si="23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L450" si="24">A387</f>
        <v>2079</v>
      </c>
      <c r="M387">
        <f t="shared" ref="M387:M450" si="25">B387</f>
        <v>-225</v>
      </c>
      <c r="N387">
        <f t="shared" ref="N387:N450" si="26">C387*1000</f>
        <v>-43439</v>
      </c>
      <c r="O387" t="str">
        <f t="shared" ref="O387:O450" si="27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24"/>
        <v>2079</v>
      </c>
      <c r="M388">
        <f t="shared" si="25"/>
        <v>-180</v>
      </c>
      <c r="N388">
        <f t="shared" si="26"/>
        <v>-34315</v>
      </c>
      <c r="O388" t="str">
        <f t="shared" si="27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24"/>
        <v>2079</v>
      </c>
      <c r="M389">
        <f t="shared" si="25"/>
        <v>-135</v>
      </c>
      <c r="N389">
        <f t="shared" si="26"/>
        <v>-25139</v>
      </c>
      <c r="O389" t="str">
        <f t="shared" si="27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24"/>
        <v>2079</v>
      </c>
      <c r="M390">
        <f t="shared" si="25"/>
        <v>-90</v>
      </c>
      <c r="N390">
        <f t="shared" si="26"/>
        <v>-15910</v>
      </c>
      <c r="O390" t="str">
        <f t="shared" si="27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24"/>
        <v>2079</v>
      </c>
      <c r="M391">
        <f t="shared" si="25"/>
        <v>-45</v>
      </c>
      <c r="N391">
        <f t="shared" si="26"/>
        <v>-6629</v>
      </c>
      <c r="O391" t="str">
        <f t="shared" si="27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24"/>
        <v>2079</v>
      </c>
      <c r="M392">
        <f t="shared" si="25"/>
        <v>-9</v>
      </c>
      <c r="N392">
        <f t="shared" si="26"/>
        <v>0</v>
      </c>
      <c r="O392" t="str">
        <f t="shared" si="27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24"/>
        <v>2079</v>
      </c>
      <c r="M393">
        <f t="shared" si="25"/>
        <v>9</v>
      </c>
      <c r="N393">
        <f t="shared" si="26"/>
        <v>4987</v>
      </c>
      <c r="O393" t="str">
        <f t="shared" si="27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24"/>
        <v>2079</v>
      </c>
      <c r="M394">
        <f t="shared" si="25"/>
        <v>45</v>
      </c>
      <c r="N394">
        <f t="shared" si="26"/>
        <v>13218</v>
      </c>
      <c r="O394" t="str">
        <f t="shared" si="27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24"/>
        <v>2079</v>
      </c>
      <c r="M395">
        <f t="shared" si="25"/>
        <v>90</v>
      </c>
      <c r="N395">
        <f t="shared" si="26"/>
        <v>23557</v>
      </c>
      <c r="O395" t="str">
        <f t="shared" si="27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24"/>
        <v>2079</v>
      </c>
      <c r="M396">
        <f t="shared" si="25"/>
        <v>135</v>
      </c>
      <c r="N396">
        <f t="shared" si="26"/>
        <v>33954</v>
      </c>
      <c r="O396" t="str">
        <f t="shared" si="27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24"/>
        <v>2079</v>
      </c>
      <c r="M397">
        <f t="shared" si="25"/>
        <v>180</v>
      </c>
      <c r="N397">
        <f t="shared" si="26"/>
        <v>44407</v>
      </c>
      <c r="O397" t="str">
        <f t="shared" si="27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24"/>
        <v>2079</v>
      </c>
      <c r="M398">
        <f t="shared" si="25"/>
        <v>225</v>
      </c>
      <c r="N398">
        <f t="shared" si="26"/>
        <v>54918</v>
      </c>
      <c r="O398" t="str">
        <f t="shared" si="27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24"/>
        <v>2079</v>
      </c>
      <c r="M399">
        <f t="shared" si="25"/>
        <v>270</v>
      </c>
      <c r="N399">
        <f t="shared" si="26"/>
        <v>65486.000000000007</v>
      </c>
      <c r="O399" t="str">
        <f t="shared" si="27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24"/>
        <v>2079</v>
      </c>
      <c r="M400">
        <f t="shared" si="25"/>
        <v>315</v>
      </c>
      <c r="N400">
        <f t="shared" si="26"/>
        <v>76110</v>
      </c>
      <c r="O400" t="str">
        <f t="shared" si="27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24"/>
        <v>2079</v>
      </c>
      <c r="M401">
        <f t="shared" si="25"/>
        <v>360</v>
      </c>
      <c r="N401">
        <f t="shared" si="26"/>
        <v>86792</v>
      </c>
      <c r="O401" t="str">
        <f t="shared" si="27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24"/>
        <v>2079</v>
      </c>
      <c r="M402">
        <f t="shared" si="25"/>
        <v>405</v>
      </c>
      <c r="N402">
        <f t="shared" si="26"/>
        <v>97531</v>
      </c>
      <c r="O402" t="str">
        <f t="shared" si="27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24"/>
        <v>2079</v>
      </c>
      <c r="M403">
        <f t="shared" si="25"/>
        <v>450</v>
      </c>
      <c r="N403">
        <f t="shared" si="26"/>
        <v>108326</v>
      </c>
      <c r="O403" t="str">
        <f t="shared" si="27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24"/>
        <v>2079</v>
      </c>
      <c r="M404">
        <f t="shared" si="25"/>
        <v>495</v>
      </c>
      <c r="N404">
        <f t="shared" si="26"/>
        <v>119179</v>
      </c>
      <c r="O404" t="str">
        <f t="shared" si="27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24"/>
        <v>2079</v>
      </c>
      <c r="M405">
        <f t="shared" si="25"/>
        <v>540</v>
      </c>
      <c r="N405">
        <f t="shared" si="26"/>
        <v>130089</v>
      </c>
      <c r="O405" t="str">
        <f t="shared" si="27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24"/>
        <v>2079</v>
      </c>
      <c r="M406">
        <f t="shared" si="25"/>
        <v>585</v>
      </c>
      <c r="N406">
        <f t="shared" si="26"/>
        <v>141055</v>
      </c>
      <c r="O406" t="str">
        <f t="shared" si="27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24"/>
        <v>2079</v>
      </c>
      <c r="M407">
        <f t="shared" si="25"/>
        <v>630</v>
      </c>
      <c r="N407">
        <f t="shared" si="26"/>
        <v>152079</v>
      </c>
      <c r="O407" t="str">
        <f t="shared" si="27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24"/>
        <v>2079</v>
      </c>
      <c r="M408">
        <f t="shared" si="25"/>
        <v>675</v>
      </c>
      <c r="N408">
        <f t="shared" si="26"/>
        <v>163160</v>
      </c>
      <c r="O408" t="str">
        <f t="shared" si="27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24"/>
        <v>2079</v>
      </c>
      <c r="M409">
        <f t="shared" si="25"/>
        <v>720</v>
      </c>
      <c r="N409">
        <f t="shared" si="26"/>
        <v>174297</v>
      </c>
      <c r="O409" t="str">
        <f t="shared" si="27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24"/>
        <v>2079</v>
      </c>
      <c r="M410">
        <f t="shared" si="25"/>
        <v>765</v>
      </c>
      <c r="N410">
        <f t="shared" si="26"/>
        <v>185492</v>
      </c>
      <c r="O410" t="str">
        <f t="shared" si="27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24"/>
        <v>2079</v>
      </c>
      <c r="M411">
        <f t="shared" si="25"/>
        <v>810</v>
      </c>
      <c r="N411">
        <f t="shared" si="26"/>
        <v>196744</v>
      </c>
      <c r="O411" t="str">
        <f t="shared" si="27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24"/>
        <v>2079</v>
      </c>
      <c r="M412">
        <f t="shared" si="25"/>
        <v>855</v>
      </c>
      <c r="N412">
        <f t="shared" si="26"/>
        <v>208052</v>
      </c>
      <c r="O412" t="str">
        <f t="shared" si="27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24"/>
        <v>2079</v>
      </c>
      <c r="M413">
        <f t="shared" si="25"/>
        <v>900</v>
      </c>
      <c r="N413">
        <f t="shared" si="26"/>
        <v>219418</v>
      </c>
      <c r="O413" t="str">
        <f t="shared" si="27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24"/>
        <v>2079</v>
      </c>
      <c r="M414">
        <f t="shared" si="25"/>
        <v>945</v>
      </c>
      <c r="N414">
        <f t="shared" si="26"/>
        <v>230841</v>
      </c>
      <c r="O414" t="str">
        <f t="shared" si="27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24"/>
        <v>2079</v>
      </c>
      <c r="M415">
        <f t="shared" si="25"/>
        <v>990</v>
      </c>
      <c r="N415">
        <f t="shared" si="26"/>
        <v>242320</v>
      </c>
      <c r="O415" t="str">
        <f t="shared" si="27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24"/>
        <v>2376</v>
      </c>
      <c r="M416">
        <f t="shared" si="25"/>
        <v>-990</v>
      </c>
      <c r="N416">
        <f t="shared" si="26"/>
        <v>-216225</v>
      </c>
      <c r="O416" t="str">
        <f t="shared" si="27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24"/>
        <v>2376</v>
      </c>
      <c r="M417">
        <f t="shared" si="25"/>
        <v>-945</v>
      </c>
      <c r="N417">
        <f t="shared" si="26"/>
        <v>-206913</v>
      </c>
      <c r="O417" t="str">
        <f t="shared" si="27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24"/>
        <v>2376</v>
      </c>
      <c r="M418">
        <f t="shared" si="25"/>
        <v>-900</v>
      </c>
      <c r="N418">
        <f t="shared" si="26"/>
        <v>-197537</v>
      </c>
      <c r="O418" t="str">
        <f t="shared" si="27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24"/>
        <v>2376</v>
      </c>
      <c r="M419">
        <f t="shared" si="25"/>
        <v>-855</v>
      </c>
      <c r="N419">
        <f t="shared" si="26"/>
        <v>-188096</v>
      </c>
      <c r="O419" t="str">
        <f t="shared" si="27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24"/>
        <v>2376</v>
      </c>
      <c r="M420">
        <f t="shared" si="25"/>
        <v>-810</v>
      </c>
      <c r="N420">
        <f t="shared" si="26"/>
        <v>-178591</v>
      </c>
      <c r="O420" t="str">
        <f t="shared" si="27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24"/>
        <v>2376</v>
      </c>
      <c r="M421">
        <f t="shared" si="25"/>
        <v>-765</v>
      </c>
      <c r="N421">
        <f t="shared" si="26"/>
        <v>-169020</v>
      </c>
      <c r="O421" t="str">
        <f t="shared" si="27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24"/>
        <v>2376</v>
      </c>
      <c r="M422">
        <f t="shared" si="25"/>
        <v>-720</v>
      </c>
      <c r="N422">
        <f t="shared" si="26"/>
        <v>-159385</v>
      </c>
      <c r="O422" t="str">
        <f t="shared" si="27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24"/>
        <v>2376</v>
      </c>
      <c r="M423">
        <f t="shared" si="25"/>
        <v>-675</v>
      </c>
      <c r="N423">
        <f t="shared" si="26"/>
        <v>-149685</v>
      </c>
      <c r="O423" t="str">
        <f t="shared" si="27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24"/>
        <v>2376</v>
      </c>
      <c r="M424">
        <f t="shared" si="25"/>
        <v>-630</v>
      </c>
      <c r="N424">
        <f t="shared" si="26"/>
        <v>-139920</v>
      </c>
      <c r="O424" t="str">
        <f t="shared" si="27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24"/>
        <v>2376</v>
      </c>
      <c r="M425">
        <f t="shared" si="25"/>
        <v>-585</v>
      </c>
      <c r="N425">
        <f t="shared" si="26"/>
        <v>-130091.00000000001</v>
      </c>
      <c r="O425" t="str">
        <f t="shared" si="27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24"/>
        <v>2376</v>
      </c>
      <c r="M426">
        <f t="shared" si="25"/>
        <v>-540</v>
      </c>
      <c r="N426">
        <f t="shared" si="26"/>
        <v>-120197</v>
      </c>
      <c r="O426" t="str">
        <f t="shared" si="27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24"/>
        <v>2376</v>
      </c>
      <c r="M427">
        <f t="shared" si="25"/>
        <v>-495</v>
      </c>
      <c r="N427">
        <f t="shared" si="26"/>
        <v>-110238</v>
      </c>
      <c r="O427" t="str">
        <f t="shared" si="27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24"/>
        <v>2376</v>
      </c>
      <c r="M428">
        <f t="shared" si="25"/>
        <v>-450</v>
      </c>
      <c r="N428">
        <f t="shared" si="26"/>
        <v>-100214</v>
      </c>
      <c r="O428" t="str">
        <f t="shared" si="27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24"/>
        <v>2376</v>
      </c>
      <c r="M429">
        <f t="shared" si="25"/>
        <v>-405</v>
      </c>
      <c r="N429">
        <f t="shared" si="26"/>
        <v>-90125</v>
      </c>
      <c r="O429" t="str">
        <f t="shared" si="27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24"/>
        <v>2376</v>
      </c>
      <c r="M430">
        <f t="shared" si="25"/>
        <v>-360</v>
      </c>
      <c r="N430">
        <f t="shared" si="26"/>
        <v>-79972</v>
      </c>
      <c r="O430" t="str">
        <f t="shared" si="27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24"/>
        <v>2376</v>
      </c>
      <c r="M431">
        <f t="shared" si="25"/>
        <v>-315</v>
      </c>
      <c r="N431">
        <f t="shared" si="26"/>
        <v>-69754</v>
      </c>
      <c r="O431" t="str">
        <f t="shared" si="27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24"/>
        <v>2376</v>
      </c>
      <c r="M432">
        <f t="shared" si="25"/>
        <v>-270</v>
      </c>
      <c r="N432">
        <f t="shared" si="26"/>
        <v>-59471</v>
      </c>
      <c r="O432" t="str">
        <f t="shared" si="27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24"/>
        <v>2376</v>
      </c>
      <c r="M433">
        <f t="shared" si="25"/>
        <v>-225</v>
      </c>
      <c r="N433">
        <f t="shared" si="26"/>
        <v>-49123</v>
      </c>
      <c r="O433" t="str">
        <f t="shared" si="27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24"/>
        <v>2376</v>
      </c>
      <c r="M434">
        <f t="shared" si="25"/>
        <v>-180</v>
      </c>
      <c r="N434">
        <f t="shared" si="26"/>
        <v>-38711</v>
      </c>
      <c r="O434" t="str">
        <f t="shared" si="27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24"/>
        <v>2376</v>
      </c>
      <c r="M435">
        <f t="shared" si="25"/>
        <v>-135</v>
      </c>
      <c r="N435">
        <f t="shared" si="26"/>
        <v>-28234</v>
      </c>
      <c r="O435" t="str">
        <f t="shared" si="27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24"/>
        <v>2376</v>
      </c>
      <c r="M436">
        <f t="shared" si="25"/>
        <v>-90</v>
      </c>
      <c r="N436">
        <f t="shared" si="26"/>
        <v>-17692</v>
      </c>
      <c r="O436" t="str">
        <f t="shared" si="27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24"/>
        <v>2376</v>
      </c>
      <c r="M437">
        <f t="shared" si="25"/>
        <v>-45</v>
      </c>
      <c r="N437">
        <f t="shared" si="26"/>
        <v>-7086</v>
      </c>
      <c r="O437" t="str">
        <f t="shared" si="27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24"/>
        <v>2376</v>
      </c>
      <c r="M438">
        <f t="shared" si="25"/>
        <v>-9</v>
      </c>
      <c r="N438">
        <f t="shared" si="26"/>
        <v>0</v>
      </c>
      <c r="O438" t="str">
        <f t="shared" si="27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24"/>
        <v>2376</v>
      </c>
      <c r="M439">
        <f t="shared" si="25"/>
        <v>9</v>
      </c>
      <c r="N439">
        <f t="shared" si="26"/>
        <v>6235</v>
      </c>
      <c r="O439" t="str">
        <f t="shared" si="27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24"/>
        <v>2376</v>
      </c>
      <c r="M440">
        <f t="shared" si="25"/>
        <v>45</v>
      </c>
      <c r="N440">
        <f t="shared" si="26"/>
        <v>15638</v>
      </c>
      <c r="O440" t="str">
        <f t="shared" si="27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24"/>
        <v>2376</v>
      </c>
      <c r="M441">
        <f t="shared" si="25"/>
        <v>90</v>
      </c>
      <c r="N441">
        <f t="shared" si="26"/>
        <v>27455</v>
      </c>
      <c r="O441" t="str">
        <f t="shared" si="27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24"/>
        <v>2376</v>
      </c>
      <c r="M442">
        <f t="shared" si="25"/>
        <v>135</v>
      </c>
      <c r="N442">
        <f t="shared" si="26"/>
        <v>39343</v>
      </c>
      <c r="O442" t="str">
        <f t="shared" si="27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24"/>
        <v>2376</v>
      </c>
      <c r="M443">
        <f t="shared" si="25"/>
        <v>180</v>
      </c>
      <c r="N443">
        <f t="shared" si="26"/>
        <v>51301</v>
      </c>
      <c r="O443" t="str">
        <f t="shared" si="27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24"/>
        <v>2376</v>
      </c>
      <c r="M444">
        <f t="shared" si="25"/>
        <v>225</v>
      </c>
      <c r="N444">
        <f t="shared" si="26"/>
        <v>63329</v>
      </c>
      <c r="O444" t="str">
        <f t="shared" si="27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24"/>
        <v>2376</v>
      </c>
      <c r="M445">
        <f t="shared" si="25"/>
        <v>270</v>
      </c>
      <c r="N445">
        <f t="shared" si="26"/>
        <v>75428</v>
      </c>
      <c r="O445" t="str">
        <f t="shared" si="27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24"/>
        <v>2376</v>
      </c>
      <c r="M446">
        <f t="shared" si="25"/>
        <v>315</v>
      </c>
      <c r="N446">
        <f t="shared" si="26"/>
        <v>87596</v>
      </c>
      <c r="O446" t="str">
        <f t="shared" si="27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24"/>
        <v>2376</v>
      </c>
      <c r="M447">
        <f t="shared" si="25"/>
        <v>360</v>
      </c>
      <c r="N447">
        <f t="shared" si="26"/>
        <v>99836</v>
      </c>
      <c r="O447" t="str">
        <f t="shared" si="27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24"/>
        <v>2376</v>
      </c>
      <c r="M448">
        <f t="shared" si="25"/>
        <v>405</v>
      </c>
      <c r="N448">
        <f t="shared" si="26"/>
        <v>112145</v>
      </c>
      <c r="O448" t="str">
        <f t="shared" si="27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24"/>
        <v>2376</v>
      </c>
      <c r="M449">
        <f t="shared" si="25"/>
        <v>450</v>
      </c>
      <c r="N449">
        <f t="shared" si="26"/>
        <v>124524</v>
      </c>
      <c r="O449" t="str">
        <f t="shared" si="27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24"/>
        <v>2376</v>
      </c>
      <c r="M450">
        <f t="shared" si="25"/>
        <v>495</v>
      </c>
      <c r="N450">
        <f t="shared" si="26"/>
        <v>136974</v>
      </c>
      <c r="O450" t="str">
        <f t="shared" si="27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L514" si="28">A451</f>
        <v>2376</v>
      </c>
      <c r="M451">
        <f t="shared" ref="M451:M514" si="29">B451</f>
        <v>540</v>
      </c>
      <c r="N451">
        <f t="shared" ref="N451:N514" si="30">C451*1000</f>
        <v>149494</v>
      </c>
      <c r="O451" t="str">
        <f t="shared" ref="O451:O514" si="31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8"/>
        <v>2376</v>
      </c>
      <c r="M452">
        <f t="shared" si="29"/>
        <v>585</v>
      </c>
      <c r="N452">
        <f t="shared" si="30"/>
        <v>162085</v>
      </c>
      <c r="O452" t="str">
        <f t="shared" si="31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8"/>
        <v>2376</v>
      </c>
      <c r="M453">
        <f t="shared" si="29"/>
        <v>630</v>
      </c>
      <c r="N453">
        <f t="shared" si="30"/>
        <v>174745</v>
      </c>
      <c r="O453" t="str">
        <f t="shared" si="31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8"/>
        <v>2376</v>
      </c>
      <c r="M454">
        <f t="shared" si="29"/>
        <v>675</v>
      </c>
      <c r="N454">
        <f t="shared" si="30"/>
        <v>187476</v>
      </c>
      <c r="O454" t="str">
        <f t="shared" si="31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8"/>
        <v>2376</v>
      </c>
      <c r="M455">
        <f t="shared" si="29"/>
        <v>720</v>
      </c>
      <c r="N455">
        <f t="shared" si="30"/>
        <v>200277</v>
      </c>
      <c r="O455" t="str">
        <f t="shared" si="31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8"/>
        <v>2376</v>
      </c>
      <c r="M456">
        <f t="shared" si="29"/>
        <v>765</v>
      </c>
      <c r="N456">
        <f t="shared" si="30"/>
        <v>213149</v>
      </c>
      <c r="O456" t="str">
        <f t="shared" si="31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8"/>
        <v>2376</v>
      </c>
      <c r="M457">
        <f t="shared" si="29"/>
        <v>810</v>
      </c>
      <c r="N457">
        <f t="shared" si="30"/>
        <v>226091</v>
      </c>
      <c r="O457" t="str">
        <f t="shared" si="31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8"/>
        <v>2376</v>
      </c>
      <c r="M458">
        <f t="shared" si="29"/>
        <v>855</v>
      </c>
      <c r="N458">
        <f t="shared" si="30"/>
        <v>239103</v>
      </c>
      <c r="O458" t="str">
        <f t="shared" si="31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8"/>
        <v>2376</v>
      </c>
      <c r="M459">
        <f t="shared" si="29"/>
        <v>900</v>
      </c>
      <c r="N459">
        <f t="shared" si="30"/>
        <v>252185</v>
      </c>
      <c r="O459" t="str">
        <f t="shared" si="31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8"/>
        <v>2376</v>
      </c>
      <c r="M460">
        <f t="shared" si="29"/>
        <v>945</v>
      </c>
      <c r="N460">
        <f t="shared" si="30"/>
        <v>265338</v>
      </c>
      <c r="O460" t="str">
        <f t="shared" si="31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8"/>
        <v>2376</v>
      </c>
      <c r="M461">
        <f t="shared" si="29"/>
        <v>990</v>
      </c>
      <c r="N461">
        <f t="shared" si="30"/>
        <v>278560</v>
      </c>
      <c r="O461" t="str">
        <f t="shared" si="31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8"/>
        <v>2673</v>
      </c>
      <c r="M462">
        <f t="shared" si="29"/>
        <v>-990</v>
      </c>
      <c r="N462">
        <f t="shared" si="30"/>
        <v>-241372</v>
      </c>
      <c r="O462" t="str">
        <f t="shared" si="31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8"/>
        <v>2673</v>
      </c>
      <c r="M463">
        <f t="shared" si="29"/>
        <v>-945</v>
      </c>
      <c r="N463">
        <f t="shared" si="30"/>
        <v>-231015</v>
      </c>
      <c r="O463" t="str">
        <f t="shared" si="31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8"/>
        <v>2673</v>
      </c>
      <c r="M464">
        <f t="shared" si="29"/>
        <v>-900</v>
      </c>
      <c r="N464">
        <f t="shared" si="30"/>
        <v>-220579</v>
      </c>
      <c r="O464" t="str">
        <f t="shared" si="31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8"/>
        <v>2673</v>
      </c>
      <c r="M465">
        <f t="shared" si="29"/>
        <v>-855</v>
      </c>
      <c r="N465">
        <f t="shared" si="30"/>
        <v>-210064</v>
      </c>
      <c r="O465" t="str">
        <f t="shared" si="31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8"/>
        <v>2673</v>
      </c>
      <c r="M466">
        <f t="shared" si="29"/>
        <v>-810</v>
      </c>
      <c r="N466">
        <f t="shared" si="30"/>
        <v>-199471</v>
      </c>
      <c r="O466" t="str">
        <f t="shared" si="31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8"/>
        <v>2673</v>
      </c>
      <c r="M467">
        <f t="shared" si="29"/>
        <v>-765</v>
      </c>
      <c r="N467">
        <f t="shared" si="30"/>
        <v>-188799</v>
      </c>
      <c r="O467" t="str">
        <f t="shared" si="31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8"/>
        <v>2673</v>
      </c>
      <c r="M468">
        <f t="shared" si="29"/>
        <v>-720</v>
      </c>
      <c r="N468">
        <f t="shared" si="30"/>
        <v>-178049</v>
      </c>
      <c r="O468" t="str">
        <f t="shared" si="31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8"/>
        <v>2673</v>
      </c>
      <c r="M469">
        <f t="shared" si="29"/>
        <v>-675</v>
      </c>
      <c r="N469">
        <f t="shared" si="30"/>
        <v>-167220</v>
      </c>
      <c r="O469" t="str">
        <f t="shared" si="31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8"/>
        <v>2673</v>
      </c>
      <c r="M470">
        <f t="shared" si="29"/>
        <v>-630</v>
      </c>
      <c r="N470">
        <f t="shared" si="30"/>
        <v>-156312</v>
      </c>
      <c r="O470" t="str">
        <f t="shared" si="31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8"/>
        <v>2673</v>
      </c>
      <c r="M471">
        <f t="shared" si="29"/>
        <v>-585</v>
      </c>
      <c r="N471">
        <f t="shared" si="30"/>
        <v>-145326</v>
      </c>
      <c r="O471" t="str">
        <f t="shared" si="31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8"/>
        <v>2673</v>
      </c>
      <c r="M472">
        <f t="shared" si="29"/>
        <v>-540</v>
      </c>
      <c r="N472">
        <f t="shared" si="30"/>
        <v>-134261</v>
      </c>
      <c r="O472" t="str">
        <f t="shared" si="31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8"/>
        <v>2673</v>
      </c>
      <c r="M473">
        <f t="shared" si="29"/>
        <v>-495</v>
      </c>
      <c r="N473">
        <f t="shared" si="30"/>
        <v>-123117</v>
      </c>
      <c r="O473" t="str">
        <f t="shared" si="31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8"/>
        <v>2673</v>
      </c>
      <c r="M474">
        <f t="shared" si="29"/>
        <v>-450</v>
      </c>
      <c r="N474">
        <f t="shared" si="30"/>
        <v>-111895</v>
      </c>
      <c r="O474" t="str">
        <f t="shared" si="31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8"/>
        <v>2673</v>
      </c>
      <c r="M475">
        <f t="shared" si="29"/>
        <v>-405</v>
      </c>
      <c r="N475">
        <f t="shared" si="30"/>
        <v>-100595</v>
      </c>
      <c r="O475" t="str">
        <f t="shared" si="31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8"/>
        <v>2673</v>
      </c>
      <c r="M476">
        <f t="shared" si="29"/>
        <v>-360</v>
      </c>
      <c r="N476">
        <f t="shared" si="30"/>
        <v>-89215</v>
      </c>
      <c r="O476" t="str">
        <f t="shared" si="31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8"/>
        <v>2673</v>
      </c>
      <c r="M477">
        <f t="shared" si="29"/>
        <v>-315</v>
      </c>
      <c r="N477">
        <f t="shared" si="30"/>
        <v>-77757</v>
      </c>
      <c r="O477" t="str">
        <f t="shared" si="31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8"/>
        <v>2673</v>
      </c>
      <c r="M478">
        <f t="shared" si="29"/>
        <v>-270</v>
      </c>
      <c r="N478">
        <f t="shared" si="30"/>
        <v>-66221</v>
      </c>
      <c r="O478" t="str">
        <f t="shared" si="31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8"/>
        <v>2673</v>
      </c>
      <c r="M479">
        <f t="shared" si="29"/>
        <v>-225</v>
      </c>
      <c r="N479">
        <f t="shared" si="30"/>
        <v>-54606</v>
      </c>
      <c r="O479" t="str">
        <f t="shared" si="31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8"/>
        <v>2673</v>
      </c>
      <c r="M480">
        <f t="shared" si="29"/>
        <v>-180</v>
      </c>
      <c r="N480">
        <f t="shared" si="30"/>
        <v>-42912</v>
      </c>
      <c r="O480" t="str">
        <f t="shared" si="31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8"/>
        <v>2673</v>
      </c>
      <c r="M481">
        <f t="shared" si="29"/>
        <v>-135</v>
      </c>
      <c r="N481">
        <f t="shared" si="30"/>
        <v>-31140</v>
      </c>
      <c r="O481" t="str">
        <f t="shared" si="31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8"/>
        <v>2673</v>
      </c>
      <c r="M482">
        <f t="shared" si="29"/>
        <v>-90</v>
      </c>
      <c r="N482">
        <f t="shared" si="30"/>
        <v>-19289</v>
      </c>
      <c r="O482" t="str">
        <f t="shared" si="31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8"/>
        <v>2673</v>
      </c>
      <c r="M483">
        <f t="shared" si="29"/>
        <v>-45</v>
      </c>
      <c r="N483">
        <f t="shared" si="30"/>
        <v>-7360</v>
      </c>
      <c r="O483" t="str">
        <f t="shared" si="31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8"/>
        <v>2673</v>
      </c>
      <c r="M484">
        <f t="shared" si="29"/>
        <v>-9</v>
      </c>
      <c r="N484">
        <f t="shared" si="30"/>
        <v>0</v>
      </c>
      <c r="O484" t="str">
        <f t="shared" si="31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8"/>
        <v>2673</v>
      </c>
      <c r="M485">
        <f t="shared" si="29"/>
        <v>9</v>
      </c>
      <c r="N485">
        <f t="shared" si="30"/>
        <v>7679</v>
      </c>
      <c r="O485" t="str">
        <f t="shared" si="31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8"/>
        <v>2673</v>
      </c>
      <c r="M486">
        <f t="shared" si="29"/>
        <v>45</v>
      </c>
      <c r="N486">
        <f t="shared" si="30"/>
        <v>18256</v>
      </c>
      <c r="O486" t="str">
        <f t="shared" si="31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8"/>
        <v>2673</v>
      </c>
      <c r="M487">
        <f t="shared" si="29"/>
        <v>90</v>
      </c>
      <c r="N487">
        <f t="shared" si="30"/>
        <v>31554</v>
      </c>
      <c r="O487" t="str">
        <f t="shared" si="31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8"/>
        <v>2673</v>
      </c>
      <c r="M488">
        <f t="shared" si="29"/>
        <v>135</v>
      </c>
      <c r="N488">
        <f t="shared" si="30"/>
        <v>44937</v>
      </c>
      <c r="O488" t="str">
        <f t="shared" si="31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8"/>
        <v>2673</v>
      </c>
      <c r="M489">
        <f t="shared" si="29"/>
        <v>180</v>
      </c>
      <c r="N489">
        <f t="shared" si="30"/>
        <v>58406</v>
      </c>
      <c r="O489" t="str">
        <f t="shared" si="31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8"/>
        <v>2673</v>
      </c>
      <c r="M490">
        <f t="shared" si="29"/>
        <v>225</v>
      </c>
      <c r="N490">
        <f t="shared" si="30"/>
        <v>71959</v>
      </c>
      <c r="O490" t="str">
        <f t="shared" si="31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8"/>
        <v>2673</v>
      </c>
      <c r="M491">
        <f t="shared" si="29"/>
        <v>270</v>
      </c>
      <c r="N491">
        <f t="shared" si="30"/>
        <v>85598</v>
      </c>
      <c r="O491" t="str">
        <f t="shared" si="31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8"/>
        <v>2673</v>
      </c>
      <c r="M492">
        <f t="shared" si="29"/>
        <v>315</v>
      </c>
      <c r="N492">
        <f t="shared" si="30"/>
        <v>99323</v>
      </c>
      <c r="O492" t="str">
        <f t="shared" si="31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8"/>
        <v>2673</v>
      </c>
      <c r="M493">
        <f t="shared" si="29"/>
        <v>360</v>
      </c>
      <c r="N493">
        <f t="shared" si="30"/>
        <v>113132</v>
      </c>
      <c r="O493" t="str">
        <f t="shared" si="31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8"/>
        <v>2673</v>
      </c>
      <c r="M494">
        <f t="shared" si="29"/>
        <v>405</v>
      </c>
      <c r="N494">
        <f t="shared" si="30"/>
        <v>127027</v>
      </c>
      <c r="O494" t="str">
        <f t="shared" si="31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8"/>
        <v>2673</v>
      </c>
      <c r="M495">
        <f t="shared" si="29"/>
        <v>450</v>
      </c>
      <c r="N495">
        <f t="shared" si="30"/>
        <v>141007</v>
      </c>
      <c r="O495" t="str">
        <f t="shared" si="31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8"/>
        <v>2673</v>
      </c>
      <c r="M496">
        <f t="shared" si="29"/>
        <v>495</v>
      </c>
      <c r="N496">
        <f t="shared" si="30"/>
        <v>155072</v>
      </c>
      <c r="O496" t="str">
        <f t="shared" si="31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8"/>
        <v>2673</v>
      </c>
      <c r="M497">
        <f t="shared" si="29"/>
        <v>540</v>
      </c>
      <c r="N497">
        <f t="shared" si="30"/>
        <v>169223</v>
      </c>
      <c r="O497" t="str">
        <f t="shared" si="31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8"/>
        <v>2673</v>
      </c>
      <c r="M498">
        <f t="shared" si="29"/>
        <v>585</v>
      </c>
      <c r="N498">
        <f t="shared" si="30"/>
        <v>183459</v>
      </c>
      <c r="O498" t="str">
        <f t="shared" si="31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8"/>
        <v>2673</v>
      </c>
      <c r="M499">
        <f t="shared" si="29"/>
        <v>630</v>
      </c>
      <c r="N499">
        <f t="shared" si="30"/>
        <v>197780</v>
      </c>
      <c r="O499" t="str">
        <f t="shared" si="31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8"/>
        <v>2673</v>
      </c>
      <c r="M500">
        <f t="shared" si="29"/>
        <v>675</v>
      </c>
      <c r="N500">
        <f t="shared" si="30"/>
        <v>212187</v>
      </c>
      <c r="O500" t="str">
        <f t="shared" si="31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8"/>
        <v>2673</v>
      </c>
      <c r="M501">
        <f t="shared" si="29"/>
        <v>720</v>
      </c>
      <c r="N501">
        <f t="shared" si="30"/>
        <v>226679</v>
      </c>
      <c r="O501" t="str">
        <f t="shared" si="31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8"/>
        <v>2673</v>
      </c>
      <c r="M502">
        <f t="shared" si="29"/>
        <v>765</v>
      </c>
      <c r="N502">
        <f t="shared" si="30"/>
        <v>241256</v>
      </c>
      <c r="O502" t="str">
        <f t="shared" si="31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8"/>
        <v>2673</v>
      </c>
      <c r="M503">
        <f t="shared" si="29"/>
        <v>810</v>
      </c>
      <c r="N503">
        <f t="shared" si="30"/>
        <v>255918</v>
      </c>
      <c r="O503" t="str">
        <f t="shared" si="31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8"/>
        <v>2673</v>
      </c>
      <c r="M504">
        <f t="shared" si="29"/>
        <v>855</v>
      </c>
      <c r="N504">
        <f t="shared" si="30"/>
        <v>270666</v>
      </c>
      <c r="O504" t="str">
        <f t="shared" si="31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8"/>
        <v>2673</v>
      </c>
      <c r="M505">
        <f t="shared" si="29"/>
        <v>900</v>
      </c>
      <c r="N505">
        <f t="shared" si="30"/>
        <v>285499</v>
      </c>
      <c r="O505" t="str">
        <f t="shared" si="31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8"/>
        <v>2673</v>
      </c>
      <c r="M506">
        <f t="shared" si="29"/>
        <v>945</v>
      </c>
      <c r="N506">
        <f t="shared" si="30"/>
        <v>300417</v>
      </c>
      <c r="O506" t="str">
        <f t="shared" si="31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8"/>
        <v>2673</v>
      </c>
      <c r="M507">
        <f t="shared" si="29"/>
        <v>990</v>
      </c>
      <c r="N507">
        <f t="shared" si="30"/>
        <v>315421</v>
      </c>
      <c r="O507" t="str">
        <f t="shared" si="31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8"/>
        <v>2970</v>
      </c>
      <c r="M508">
        <f t="shared" si="29"/>
        <v>-990</v>
      </c>
      <c r="N508">
        <f t="shared" si="30"/>
        <v>-265929</v>
      </c>
      <c r="O508" t="str">
        <f t="shared" si="31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8"/>
        <v>2970</v>
      </c>
      <c r="M509">
        <f t="shared" si="29"/>
        <v>-945</v>
      </c>
      <c r="N509">
        <f t="shared" si="30"/>
        <v>-254560</v>
      </c>
      <c r="O509" t="str">
        <f t="shared" si="31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8"/>
        <v>2970</v>
      </c>
      <c r="M510">
        <f t="shared" si="29"/>
        <v>-900</v>
      </c>
      <c r="N510">
        <f t="shared" si="30"/>
        <v>-243097</v>
      </c>
      <c r="O510" t="str">
        <f t="shared" si="31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8"/>
        <v>2970</v>
      </c>
      <c r="M511">
        <f t="shared" si="29"/>
        <v>-855</v>
      </c>
      <c r="N511">
        <f t="shared" si="30"/>
        <v>-231540</v>
      </c>
      <c r="O511" t="str">
        <f t="shared" si="31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8"/>
        <v>2970</v>
      </c>
      <c r="M512">
        <f t="shared" si="29"/>
        <v>-810</v>
      </c>
      <c r="N512">
        <f t="shared" si="30"/>
        <v>-219889</v>
      </c>
      <c r="O512" t="str">
        <f t="shared" si="31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8"/>
        <v>2970</v>
      </c>
      <c r="M513">
        <f t="shared" si="29"/>
        <v>-765</v>
      </c>
      <c r="N513">
        <f t="shared" si="30"/>
        <v>-208144</v>
      </c>
      <c r="O513" t="str">
        <f t="shared" si="31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8"/>
        <v>2970</v>
      </c>
      <c r="M514">
        <f t="shared" si="29"/>
        <v>-720</v>
      </c>
      <c r="N514">
        <f t="shared" si="30"/>
        <v>-196305</v>
      </c>
      <c r="O514" t="str">
        <f t="shared" si="31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L578" si="32">A515</f>
        <v>2970</v>
      </c>
      <c r="M515">
        <f t="shared" ref="M515:M578" si="33">B515</f>
        <v>-675</v>
      </c>
      <c r="N515">
        <f t="shared" ref="N515:N578" si="34">C515*1000</f>
        <v>-184372</v>
      </c>
      <c r="O515" t="str">
        <f t="shared" ref="O515:O578" si="35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32"/>
        <v>2970</v>
      </c>
      <c r="M516">
        <f t="shared" si="33"/>
        <v>-630</v>
      </c>
      <c r="N516">
        <f t="shared" si="34"/>
        <v>-172344</v>
      </c>
      <c r="O516" t="str">
        <f t="shared" si="35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32"/>
        <v>2970</v>
      </c>
      <c r="M517">
        <f t="shared" si="33"/>
        <v>-585</v>
      </c>
      <c r="N517">
        <f t="shared" si="34"/>
        <v>-160223</v>
      </c>
      <c r="O517" t="str">
        <f t="shared" si="35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32"/>
        <v>2970</v>
      </c>
      <c r="M518">
        <f t="shared" si="33"/>
        <v>-540</v>
      </c>
      <c r="N518">
        <f t="shared" si="34"/>
        <v>-148008</v>
      </c>
      <c r="O518" t="str">
        <f t="shared" si="35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32"/>
        <v>2970</v>
      </c>
      <c r="M519">
        <f t="shared" si="33"/>
        <v>-495</v>
      </c>
      <c r="N519">
        <f t="shared" si="34"/>
        <v>-135699</v>
      </c>
      <c r="O519" t="str">
        <f t="shared" si="35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32"/>
        <v>2970</v>
      </c>
      <c r="M520">
        <f t="shared" si="33"/>
        <v>-450</v>
      </c>
      <c r="N520">
        <f t="shared" si="34"/>
        <v>-123295</v>
      </c>
      <c r="O520" t="str">
        <f t="shared" si="35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32"/>
        <v>2970</v>
      </c>
      <c r="M521">
        <f t="shared" si="33"/>
        <v>-405</v>
      </c>
      <c r="N521">
        <f t="shared" si="34"/>
        <v>-110798</v>
      </c>
      <c r="O521" t="str">
        <f t="shared" si="35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32"/>
        <v>2970</v>
      </c>
      <c r="M522">
        <f t="shared" si="33"/>
        <v>-360</v>
      </c>
      <c r="N522">
        <f t="shared" si="34"/>
        <v>-98206</v>
      </c>
      <c r="O522" t="str">
        <f t="shared" si="35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32"/>
        <v>2970</v>
      </c>
      <c r="M523">
        <f t="shared" si="33"/>
        <v>-315</v>
      </c>
      <c r="N523">
        <f t="shared" si="34"/>
        <v>-85521</v>
      </c>
      <c r="O523" t="str">
        <f t="shared" si="35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32"/>
        <v>2970</v>
      </c>
      <c r="M524">
        <f t="shared" si="33"/>
        <v>-270</v>
      </c>
      <c r="N524">
        <f t="shared" si="34"/>
        <v>-72741</v>
      </c>
      <c r="O524" t="str">
        <f t="shared" si="35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32"/>
        <v>2970</v>
      </c>
      <c r="M525">
        <f t="shared" si="33"/>
        <v>-225</v>
      </c>
      <c r="N525">
        <f t="shared" si="34"/>
        <v>-59867</v>
      </c>
      <c r="O525" t="str">
        <f t="shared" si="35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32"/>
        <v>2970</v>
      </c>
      <c r="M526">
        <f t="shared" si="33"/>
        <v>-180</v>
      </c>
      <c r="N526">
        <f t="shared" si="34"/>
        <v>-46900</v>
      </c>
      <c r="O526" t="str">
        <f t="shared" si="35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32"/>
        <v>2970</v>
      </c>
      <c r="M527">
        <f t="shared" si="33"/>
        <v>-135</v>
      </c>
      <c r="N527">
        <f t="shared" si="34"/>
        <v>-33838</v>
      </c>
      <c r="O527" t="str">
        <f t="shared" si="35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32"/>
        <v>2970</v>
      </c>
      <c r="M528">
        <f t="shared" si="33"/>
        <v>-90</v>
      </c>
      <c r="N528">
        <f t="shared" si="34"/>
        <v>-20682</v>
      </c>
      <c r="O528" t="str">
        <f t="shared" si="35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32"/>
        <v>2970</v>
      </c>
      <c r="M529">
        <f t="shared" si="33"/>
        <v>-45</v>
      </c>
      <c r="N529">
        <f t="shared" si="34"/>
        <v>-7432</v>
      </c>
      <c r="O529" t="str">
        <f t="shared" si="35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32"/>
        <v>2970</v>
      </c>
      <c r="M530">
        <f t="shared" si="33"/>
        <v>-9</v>
      </c>
      <c r="N530">
        <f t="shared" si="34"/>
        <v>0</v>
      </c>
      <c r="O530" t="str">
        <f t="shared" si="35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32"/>
        <v>2970</v>
      </c>
      <c r="M531">
        <f t="shared" si="33"/>
        <v>9</v>
      </c>
      <c r="N531">
        <f t="shared" si="34"/>
        <v>9342</v>
      </c>
      <c r="O531" t="str">
        <f t="shared" si="35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32"/>
        <v>2970</v>
      </c>
      <c r="M532">
        <f t="shared" si="33"/>
        <v>45</v>
      </c>
      <c r="N532">
        <f t="shared" si="34"/>
        <v>21094</v>
      </c>
      <c r="O532" t="str">
        <f t="shared" si="35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32"/>
        <v>2970</v>
      </c>
      <c r="M533">
        <f t="shared" si="33"/>
        <v>90</v>
      </c>
      <c r="N533">
        <f t="shared" si="34"/>
        <v>35874</v>
      </c>
      <c r="O533" t="str">
        <f t="shared" si="35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32"/>
        <v>2970</v>
      </c>
      <c r="M534">
        <f t="shared" si="33"/>
        <v>135</v>
      </c>
      <c r="N534">
        <f t="shared" si="34"/>
        <v>50757</v>
      </c>
      <c r="O534" t="str">
        <f t="shared" si="35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32"/>
        <v>2970</v>
      </c>
      <c r="M535">
        <f t="shared" si="33"/>
        <v>180</v>
      </c>
      <c r="N535">
        <f t="shared" si="34"/>
        <v>65742</v>
      </c>
      <c r="O535" t="str">
        <f t="shared" si="35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32"/>
        <v>2970</v>
      </c>
      <c r="M536">
        <f t="shared" si="33"/>
        <v>225</v>
      </c>
      <c r="N536">
        <f t="shared" si="34"/>
        <v>80829</v>
      </c>
      <c r="O536" t="str">
        <f t="shared" si="35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32"/>
        <v>2970</v>
      </c>
      <c r="M537">
        <f t="shared" si="33"/>
        <v>270</v>
      </c>
      <c r="N537">
        <f t="shared" si="34"/>
        <v>96018</v>
      </c>
      <c r="O537" t="str">
        <f t="shared" si="35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32"/>
        <v>2970</v>
      </c>
      <c r="M538">
        <f t="shared" si="33"/>
        <v>315</v>
      </c>
      <c r="N538">
        <f t="shared" si="34"/>
        <v>111310</v>
      </c>
      <c r="O538" t="str">
        <f t="shared" si="35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32"/>
        <v>2970</v>
      </c>
      <c r="M539">
        <f t="shared" si="33"/>
        <v>360</v>
      </c>
      <c r="N539">
        <f t="shared" si="34"/>
        <v>126703</v>
      </c>
      <c r="O539" t="str">
        <f t="shared" si="35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32"/>
        <v>2970</v>
      </c>
      <c r="M540">
        <f t="shared" si="33"/>
        <v>405</v>
      </c>
      <c r="N540">
        <f t="shared" si="34"/>
        <v>142198</v>
      </c>
      <c r="O540" t="str">
        <f t="shared" si="35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32"/>
        <v>2970</v>
      </c>
      <c r="M541">
        <f t="shared" si="33"/>
        <v>450</v>
      </c>
      <c r="N541">
        <f t="shared" si="34"/>
        <v>157795</v>
      </c>
      <c r="O541" t="str">
        <f t="shared" si="35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32"/>
        <v>2970</v>
      </c>
      <c r="M542">
        <f t="shared" si="33"/>
        <v>495</v>
      </c>
      <c r="N542">
        <f t="shared" si="34"/>
        <v>173495</v>
      </c>
      <c r="O542" t="str">
        <f t="shared" si="35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32"/>
        <v>2970</v>
      </c>
      <c r="M543">
        <f t="shared" si="33"/>
        <v>540</v>
      </c>
      <c r="N543">
        <f t="shared" si="34"/>
        <v>189296</v>
      </c>
      <c r="O543" t="str">
        <f t="shared" si="35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32"/>
        <v>2970</v>
      </c>
      <c r="M544">
        <f t="shared" si="33"/>
        <v>585</v>
      </c>
      <c r="N544">
        <f t="shared" si="34"/>
        <v>205199</v>
      </c>
      <c r="O544" t="str">
        <f t="shared" si="35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32"/>
        <v>2970</v>
      </c>
      <c r="M545">
        <f t="shared" si="33"/>
        <v>630</v>
      </c>
      <c r="N545">
        <f t="shared" si="34"/>
        <v>221205</v>
      </c>
      <c r="O545" t="str">
        <f t="shared" si="35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32"/>
        <v>2970</v>
      </c>
      <c r="M546">
        <f t="shared" si="33"/>
        <v>675</v>
      </c>
      <c r="N546">
        <f t="shared" si="34"/>
        <v>237313</v>
      </c>
      <c r="O546" t="str">
        <f t="shared" si="35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32"/>
        <v>2970</v>
      </c>
      <c r="M547">
        <f t="shared" si="33"/>
        <v>720</v>
      </c>
      <c r="N547">
        <f t="shared" si="34"/>
        <v>253522</v>
      </c>
      <c r="O547" t="str">
        <f t="shared" si="35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32"/>
        <v>2970</v>
      </c>
      <c r="M548">
        <f t="shared" si="33"/>
        <v>765</v>
      </c>
      <c r="N548">
        <f t="shared" si="34"/>
        <v>269834</v>
      </c>
      <c r="O548" t="str">
        <f t="shared" si="35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32"/>
        <v>2970</v>
      </c>
      <c r="M549">
        <f t="shared" si="33"/>
        <v>810</v>
      </c>
      <c r="N549">
        <f t="shared" si="34"/>
        <v>286248</v>
      </c>
      <c r="O549" t="str">
        <f t="shared" si="35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32"/>
        <v>2970</v>
      </c>
      <c r="M550">
        <f t="shared" si="33"/>
        <v>855</v>
      </c>
      <c r="N550">
        <f t="shared" si="34"/>
        <v>302763</v>
      </c>
      <c r="O550" t="str">
        <f t="shared" si="35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32"/>
        <v>2970</v>
      </c>
      <c r="M551">
        <f t="shared" si="33"/>
        <v>900</v>
      </c>
      <c r="N551">
        <f t="shared" si="34"/>
        <v>319381</v>
      </c>
      <c r="O551" t="str">
        <f t="shared" si="35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32"/>
        <v>2970</v>
      </c>
      <c r="M552">
        <f t="shared" si="33"/>
        <v>945</v>
      </c>
      <c r="N552">
        <f t="shared" si="34"/>
        <v>336101</v>
      </c>
      <c r="O552" t="str">
        <f t="shared" si="35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32"/>
        <v>2970</v>
      </c>
      <c r="M553">
        <f t="shared" si="33"/>
        <v>990</v>
      </c>
      <c r="N553">
        <f t="shared" si="34"/>
        <v>352923</v>
      </c>
      <c r="O553" t="str">
        <f t="shared" si="35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32"/>
        <v>3267</v>
      </c>
      <c r="M554">
        <f t="shared" si="33"/>
        <v>-990</v>
      </c>
      <c r="N554">
        <f t="shared" si="34"/>
        <v>-289874</v>
      </c>
      <c r="O554" t="str">
        <f t="shared" si="35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32"/>
        <v>3267</v>
      </c>
      <c r="M555">
        <f t="shared" si="33"/>
        <v>-945</v>
      </c>
      <c r="N555">
        <f t="shared" si="34"/>
        <v>-277529</v>
      </c>
      <c r="O555" t="str">
        <f t="shared" si="35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32"/>
        <v>3267</v>
      </c>
      <c r="M556">
        <f t="shared" si="33"/>
        <v>-900</v>
      </c>
      <c r="N556">
        <f t="shared" si="34"/>
        <v>-265072</v>
      </c>
      <c r="O556" t="str">
        <f t="shared" si="35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32"/>
        <v>3267</v>
      </c>
      <c r="M557">
        <f t="shared" si="33"/>
        <v>-855</v>
      </c>
      <c r="N557">
        <f t="shared" si="34"/>
        <v>-252504</v>
      </c>
      <c r="O557" t="str">
        <f t="shared" si="35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32"/>
        <v>3267</v>
      </c>
      <c r="M558">
        <f t="shared" si="33"/>
        <v>-810</v>
      </c>
      <c r="N558">
        <f t="shared" si="34"/>
        <v>-239825</v>
      </c>
      <c r="O558" t="str">
        <f t="shared" si="35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32"/>
        <v>3267</v>
      </c>
      <c r="M559">
        <f t="shared" si="33"/>
        <v>-765</v>
      </c>
      <c r="N559">
        <f t="shared" si="34"/>
        <v>-227035</v>
      </c>
      <c r="O559" t="str">
        <f t="shared" si="35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32"/>
        <v>3267</v>
      </c>
      <c r="M560">
        <f t="shared" si="33"/>
        <v>-720</v>
      </c>
      <c r="N560">
        <f t="shared" si="34"/>
        <v>-214134</v>
      </c>
      <c r="O560" t="str">
        <f t="shared" si="35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32"/>
        <v>3267</v>
      </c>
      <c r="M561">
        <f t="shared" si="33"/>
        <v>-675</v>
      </c>
      <c r="N561">
        <f t="shared" si="34"/>
        <v>-201122</v>
      </c>
      <c r="O561" t="str">
        <f t="shared" si="35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32"/>
        <v>3267</v>
      </c>
      <c r="M562">
        <f t="shared" si="33"/>
        <v>-630</v>
      </c>
      <c r="N562">
        <f t="shared" si="34"/>
        <v>-187999</v>
      </c>
      <c r="O562" t="str">
        <f t="shared" si="35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32"/>
        <v>3267</v>
      </c>
      <c r="M563">
        <f t="shared" si="33"/>
        <v>-585</v>
      </c>
      <c r="N563">
        <f t="shared" si="34"/>
        <v>-174764</v>
      </c>
      <c r="O563" t="str">
        <f t="shared" si="35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32"/>
        <v>3267</v>
      </c>
      <c r="M564">
        <f t="shared" si="33"/>
        <v>-540</v>
      </c>
      <c r="N564">
        <f t="shared" si="34"/>
        <v>-161419</v>
      </c>
      <c r="O564" t="str">
        <f t="shared" si="35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32"/>
        <v>3267</v>
      </c>
      <c r="M565">
        <f t="shared" si="33"/>
        <v>-495</v>
      </c>
      <c r="N565">
        <f t="shared" si="34"/>
        <v>-147962</v>
      </c>
      <c r="O565" t="str">
        <f t="shared" si="35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32"/>
        <v>3267</v>
      </c>
      <c r="M566">
        <f t="shared" si="33"/>
        <v>-450</v>
      </c>
      <c r="N566">
        <f t="shared" si="34"/>
        <v>-134394</v>
      </c>
      <c r="O566" t="str">
        <f t="shared" si="35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32"/>
        <v>3267</v>
      </c>
      <c r="M567">
        <f t="shared" si="33"/>
        <v>-405</v>
      </c>
      <c r="N567">
        <f t="shared" si="34"/>
        <v>-120715</v>
      </c>
      <c r="O567" t="str">
        <f t="shared" si="35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32"/>
        <v>3267</v>
      </c>
      <c r="M568">
        <f t="shared" si="33"/>
        <v>-360</v>
      </c>
      <c r="N568">
        <f t="shared" si="34"/>
        <v>-106925</v>
      </c>
      <c r="O568" t="str">
        <f t="shared" si="35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32"/>
        <v>3267</v>
      </c>
      <c r="M569">
        <f t="shared" si="33"/>
        <v>-315</v>
      </c>
      <c r="N569">
        <f t="shared" si="34"/>
        <v>-93024</v>
      </c>
      <c r="O569" t="str">
        <f t="shared" si="35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32"/>
        <v>3267</v>
      </c>
      <c r="M570">
        <f t="shared" si="33"/>
        <v>-270</v>
      </c>
      <c r="N570">
        <f t="shared" si="34"/>
        <v>-79012</v>
      </c>
      <c r="O570" t="str">
        <f t="shared" si="35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32"/>
        <v>3267</v>
      </c>
      <c r="M571">
        <f t="shared" si="33"/>
        <v>-225</v>
      </c>
      <c r="N571">
        <f t="shared" si="34"/>
        <v>-64888.000000000007</v>
      </c>
      <c r="O571" t="str">
        <f t="shared" si="35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32"/>
        <v>3267</v>
      </c>
      <c r="M572">
        <f t="shared" si="33"/>
        <v>-180</v>
      </c>
      <c r="N572">
        <f t="shared" si="34"/>
        <v>-50654</v>
      </c>
      <c r="O572" t="str">
        <f t="shared" si="35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32"/>
        <v>3267</v>
      </c>
      <c r="M573">
        <f t="shared" si="33"/>
        <v>-135</v>
      </c>
      <c r="N573">
        <f t="shared" si="34"/>
        <v>-36308</v>
      </c>
      <c r="O573" t="str">
        <f t="shared" si="35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32"/>
        <v>3267</v>
      </c>
      <c r="M574">
        <f t="shared" si="33"/>
        <v>-90</v>
      </c>
      <c r="N574">
        <f t="shared" si="34"/>
        <v>-21851</v>
      </c>
      <c r="O574" t="str">
        <f t="shared" si="35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32"/>
        <v>3267</v>
      </c>
      <c r="M575">
        <f t="shared" si="33"/>
        <v>-45</v>
      </c>
      <c r="N575">
        <f t="shared" si="34"/>
        <v>-7283</v>
      </c>
      <c r="O575" t="str">
        <f t="shared" si="35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32"/>
        <v>3267</v>
      </c>
      <c r="M576">
        <f t="shared" si="33"/>
        <v>-9</v>
      </c>
      <c r="N576">
        <f t="shared" si="34"/>
        <v>0</v>
      </c>
      <c r="O576" t="str">
        <f t="shared" si="35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32"/>
        <v>3267</v>
      </c>
      <c r="M577">
        <f t="shared" si="33"/>
        <v>9</v>
      </c>
      <c r="N577">
        <f t="shared" si="34"/>
        <v>11244</v>
      </c>
      <c r="O577" t="str">
        <f t="shared" si="35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32"/>
        <v>3267</v>
      </c>
      <c r="M578">
        <f t="shared" si="33"/>
        <v>45</v>
      </c>
      <c r="N578">
        <f t="shared" si="34"/>
        <v>24171</v>
      </c>
      <c r="O578" t="str">
        <f t="shared" si="35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L642" si="36">A579</f>
        <v>3267</v>
      </c>
      <c r="M579">
        <f t="shared" ref="M579:M642" si="37">B579</f>
        <v>90</v>
      </c>
      <c r="N579">
        <f t="shared" ref="N579:N642" si="38">C579*1000</f>
        <v>40437</v>
      </c>
      <c r="O579" t="str">
        <f t="shared" ref="O579:O642" si="3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36"/>
        <v>3267</v>
      </c>
      <c r="M580">
        <f t="shared" si="37"/>
        <v>135</v>
      </c>
      <c r="N580">
        <f t="shared" si="38"/>
        <v>56824</v>
      </c>
      <c r="O580" t="str">
        <f t="shared" si="3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36"/>
        <v>3267</v>
      </c>
      <c r="M581">
        <f t="shared" si="37"/>
        <v>180</v>
      </c>
      <c r="N581">
        <f t="shared" si="38"/>
        <v>73332</v>
      </c>
      <c r="O581" t="str">
        <f t="shared" si="3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36"/>
        <v>3267</v>
      </c>
      <c r="M582">
        <f t="shared" si="37"/>
        <v>225</v>
      </c>
      <c r="N582">
        <f t="shared" si="38"/>
        <v>89960</v>
      </c>
      <c r="O582" t="str">
        <f t="shared" si="3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36"/>
        <v>3267</v>
      </c>
      <c r="M583">
        <f t="shared" si="37"/>
        <v>270</v>
      </c>
      <c r="N583">
        <f t="shared" si="38"/>
        <v>106709</v>
      </c>
      <c r="O583" t="str">
        <f t="shared" si="3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36"/>
        <v>3267</v>
      </c>
      <c r="M584">
        <f t="shared" si="37"/>
        <v>315</v>
      </c>
      <c r="N584">
        <f t="shared" si="38"/>
        <v>123579</v>
      </c>
      <c r="O584" t="str">
        <f t="shared" si="3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36"/>
        <v>3267</v>
      </c>
      <c r="M585">
        <f t="shared" si="37"/>
        <v>360</v>
      </c>
      <c r="N585">
        <f t="shared" si="38"/>
        <v>140569</v>
      </c>
      <c r="O585" t="str">
        <f t="shared" si="3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36"/>
        <v>3267</v>
      </c>
      <c r="M586">
        <f t="shared" si="37"/>
        <v>405</v>
      </c>
      <c r="N586">
        <f t="shared" si="38"/>
        <v>157679</v>
      </c>
      <c r="O586" t="str">
        <f t="shared" si="3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36"/>
        <v>3267</v>
      </c>
      <c r="M587">
        <f t="shared" si="37"/>
        <v>450</v>
      </c>
      <c r="N587">
        <f t="shared" si="38"/>
        <v>174910</v>
      </c>
      <c r="O587" t="str">
        <f t="shared" si="3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36"/>
        <v>3267</v>
      </c>
      <c r="M588">
        <f t="shared" si="37"/>
        <v>495</v>
      </c>
      <c r="N588">
        <f t="shared" si="38"/>
        <v>192262</v>
      </c>
      <c r="O588" t="str">
        <f t="shared" si="3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36"/>
        <v>3267</v>
      </c>
      <c r="M589">
        <f t="shared" si="37"/>
        <v>540</v>
      </c>
      <c r="N589">
        <f t="shared" si="38"/>
        <v>209734</v>
      </c>
      <c r="O589" t="str">
        <f t="shared" si="3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36"/>
        <v>3267</v>
      </c>
      <c r="M590">
        <f t="shared" si="37"/>
        <v>585</v>
      </c>
      <c r="N590">
        <f t="shared" si="38"/>
        <v>227327</v>
      </c>
      <c r="O590" t="str">
        <f t="shared" si="3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36"/>
        <v>3267</v>
      </c>
      <c r="M591">
        <f t="shared" si="37"/>
        <v>630</v>
      </c>
      <c r="N591">
        <f t="shared" si="38"/>
        <v>245040</v>
      </c>
      <c r="O591" t="str">
        <f t="shared" si="3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36"/>
        <v>3267</v>
      </c>
      <c r="M592">
        <f t="shared" si="37"/>
        <v>675</v>
      </c>
      <c r="N592">
        <f t="shared" si="38"/>
        <v>262874</v>
      </c>
      <c r="O592" t="str">
        <f t="shared" si="3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36"/>
        <v>3267</v>
      </c>
      <c r="M593">
        <f t="shared" si="37"/>
        <v>720</v>
      </c>
      <c r="N593">
        <f t="shared" si="38"/>
        <v>280829</v>
      </c>
      <c r="O593" t="str">
        <f t="shared" si="3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36"/>
        <v>3267</v>
      </c>
      <c r="M594">
        <f t="shared" si="37"/>
        <v>765</v>
      </c>
      <c r="N594">
        <f t="shared" si="38"/>
        <v>298904</v>
      </c>
      <c r="O594" t="str">
        <f t="shared" si="3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36"/>
        <v>3267</v>
      </c>
      <c r="M595">
        <f t="shared" si="37"/>
        <v>810</v>
      </c>
      <c r="N595">
        <f t="shared" si="38"/>
        <v>317099</v>
      </c>
      <c r="O595" t="str">
        <f t="shared" si="3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36"/>
        <v>3267</v>
      </c>
      <c r="M596">
        <f t="shared" si="37"/>
        <v>855</v>
      </c>
      <c r="N596">
        <f t="shared" si="38"/>
        <v>335415</v>
      </c>
      <c r="O596" t="str">
        <f t="shared" si="3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36"/>
        <v>3267</v>
      </c>
      <c r="M597">
        <f t="shared" si="37"/>
        <v>900</v>
      </c>
      <c r="N597">
        <f t="shared" si="38"/>
        <v>353852</v>
      </c>
      <c r="O597" t="str">
        <f t="shared" si="3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36"/>
        <v>3267</v>
      </c>
      <c r="M598">
        <f t="shared" si="37"/>
        <v>945</v>
      </c>
      <c r="N598">
        <f t="shared" si="38"/>
        <v>372410</v>
      </c>
      <c r="O598" t="str">
        <f t="shared" si="3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36"/>
        <v>3267</v>
      </c>
      <c r="M599">
        <f t="shared" si="37"/>
        <v>990</v>
      </c>
      <c r="N599">
        <f t="shared" si="38"/>
        <v>391087</v>
      </c>
      <c r="O599" t="str">
        <f t="shared" si="3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36"/>
        <v>3564</v>
      </c>
      <c r="M600">
        <f t="shared" si="37"/>
        <v>-990</v>
      </c>
      <c r="N600">
        <f t="shared" si="38"/>
        <v>-313190</v>
      </c>
      <c r="O600" t="str">
        <f t="shared" si="3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36"/>
        <v>3564</v>
      </c>
      <c r="M601">
        <f t="shared" si="37"/>
        <v>-945</v>
      </c>
      <c r="N601">
        <f t="shared" si="38"/>
        <v>-299903</v>
      </c>
      <c r="O601" t="str">
        <f t="shared" si="3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36"/>
        <v>3564</v>
      </c>
      <c r="M602">
        <f t="shared" si="37"/>
        <v>-900</v>
      </c>
      <c r="N602">
        <f t="shared" si="38"/>
        <v>-286485</v>
      </c>
      <c r="O602" t="str">
        <f t="shared" si="3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36"/>
        <v>3564</v>
      </c>
      <c r="M603">
        <f t="shared" si="37"/>
        <v>-855</v>
      </c>
      <c r="N603">
        <f t="shared" si="38"/>
        <v>-272938</v>
      </c>
      <c r="O603" t="str">
        <f t="shared" si="3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36"/>
        <v>3564</v>
      </c>
      <c r="M604">
        <f t="shared" si="37"/>
        <v>-810</v>
      </c>
      <c r="N604">
        <f t="shared" si="38"/>
        <v>-259261.00000000003</v>
      </c>
      <c r="O604" t="str">
        <f t="shared" si="3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36"/>
        <v>3564</v>
      </c>
      <c r="M605">
        <f t="shared" si="37"/>
        <v>-765</v>
      </c>
      <c r="N605">
        <f t="shared" si="38"/>
        <v>-245454</v>
      </c>
      <c r="O605" t="str">
        <f t="shared" si="3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36"/>
        <v>3564</v>
      </c>
      <c r="M606">
        <f t="shared" si="37"/>
        <v>-720</v>
      </c>
      <c r="N606">
        <f t="shared" si="38"/>
        <v>-231518</v>
      </c>
      <c r="O606" t="str">
        <f t="shared" si="3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36"/>
        <v>3564</v>
      </c>
      <c r="M607">
        <f t="shared" si="37"/>
        <v>-675</v>
      </c>
      <c r="N607">
        <f t="shared" si="38"/>
        <v>-217451</v>
      </c>
      <c r="O607" t="str">
        <f t="shared" si="3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36"/>
        <v>3564</v>
      </c>
      <c r="M608">
        <f t="shared" si="37"/>
        <v>-630</v>
      </c>
      <c r="N608">
        <f t="shared" si="38"/>
        <v>-203255</v>
      </c>
      <c r="O608" t="str">
        <f t="shared" si="3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36"/>
        <v>3564</v>
      </c>
      <c r="M609">
        <f t="shared" si="37"/>
        <v>-585</v>
      </c>
      <c r="N609">
        <f t="shared" si="38"/>
        <v>-188929</v>
      </c>
      <c r="O609" t="str">
        <f t="shared" si="3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36"/>
        <v>3564</v>
      </c>
      <c r="M610">
        <f t="shared" si="37"/>
        <v>-540</v>
      </c>
      <c r="N610">
        <f t="shared" si="38"/>
        <v>-174474</v>
      </c>
      <c r="O610" t="str">
        <f t="shared" si="3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36"/>
        <v>3564</v>
      </c>
      <c r="M611">
        <f t="shared" si="37"/>
        <v>-495</v>
      </c>
      <c r="N611">
        <f t="shared" si="38"/>
        <v>-159888</v>
      </c>
      <c r="O611" t="str">
        <f t="shared" si="3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36"/>
        <v>3564</v>
      </c>
      <c r="M612">
        <f t="shared" si="37"/>
        <v>-450</v>
      </c>
      <c r="N612">
        <f t="shared" si="38"/>
        <v>-145173</v>
      </c>
      <c r="O612" t="str">
        <f t="shared" si="3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36"/>
        <v>3564</v>
      </c>
      <c r="M613">
        <f t="shared" si="37"/>
        <v>-405</v>
      </c>
      <c r="N613">
        <f t="shared" si="38"/>
        <v>-130328</v>
      </c>
      <c r="O613" t="str">
        <f t="shared" si="3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36"/>
        <v>3564</v>
      </c>
      <c r="M614">
        <f t="shared" si="37"/>
        <v>-360</v>
      </c>
      <c r="N614">
        <f t="shared" si="38"/>
        <v>-115353</v>
      </c>
      <c r="O614" t="str">
        <f t="shared" si="3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36"/>
        <v>3564</v>
      </c>
      <c r="M615">
        <f t="shared" si="37"/>
        <v>-315</v>
      </c>
      <c r="N615">
        <f t="shared" si="38"/>
        <v>-100248</v>
      </c>
      <c r="O615" t="str">
        <f t="shared" si="3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36"/>
        <v>3564</v>
      </c>
      <c r="M616">
        <f t="shared" si="37"/>
        <v>-270</v>
      </c>
      <c r="N616">
        <f t="shared" si="38"/>
        <v>-85013</v>
      </c>
      <c r="O616" t="str">
        <f t="shared" si="3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36"/>
        <v>3564</v>
      </c>
      <c r="M617">
        <f t="shared" si="37"/>
        <v>-225</v>
      </c>
      <c r="N617">
        <f t="shared" si="38"/>
        <v>-69649</v>
      </c>
      <c r="O617" t="str">
        <f t="shared" si="3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36"/>
        <v>3564</v>
      </c>
      <c r="M618">
        <f t="shared" si="37"/>
        <v>-180</v>
      </c>
      <c r="N618">
        <f t="shared" si="38"/>
        <v>-54155</v>
      </c>
      <c r="O618" t="str">
        <f t="shared" si="3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36"/>
        <v>3564</v>
      </c>
      <c r="M619">
        <f t="shared" si="37"/>
        <v>-135</v>
      </c>
      <c r="N619">
        <f t="shared" si="38"/>
        <v>-38531</v>
      </c>
      <c r="O619" t="str">
        <f t="shared" si="3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36"/>
        <v>3564</v>
      </c>
      <c r="M620">
        <f t="shared" si="37"/>
        <v>-90</v>
      </c>
      <c r="N620">
        <f t="shared" si="38"/>
        <v>-22777</v>
      </c>
      <c r="O620" t="str">
        <f t="shared" si="3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36"/>
        <v>3564</v>
      </c>
      <c r="M621">
        <f t="shared" si="37"/>
        <v>-45</v>
      </c>
      <c r="N621">
        <f t="shared" si="38"/>
        <v>-6894</v>
      </c>
      <c r="O621" t="str">
        <f t="shared" si="3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36"/>
        <v>3564</v>
      </c>
      <c r="M622">
        <f t="shared" si="37"/>
        <v>-9</v>
      </c>
      <c r="N622">
        <f t="shared" si="38"/>
        <v>0</v>
      </c>
      <c r="O622" t="str">
        <f t="shared" si="3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36"/>
        <v>3564</v>
      </c>
      <c r="M623">
        <f t="shared" si="37"/>
        <v>9</v>
      </c>
      <c r="N623">
        <f t="shared" si="38"/>
        <v>13407</v>
      </c>
      <c r="O623" t="str">
        <f t="shared" si="3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36"/>
        <v>3564</v>
      </c>
      <c r="M624">
        <f t="shared" si="37"/>
        <v>45</v>
      </c>
      <c r="N624">
        <f t="shared" si="38"/>
        <v>27509</v>
      </c>
      <c r="O624" t="str">
        <f t="shared" si="3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36"/>
        <v>3564</v>
      </c>
      <c r="M625">
        <f t="shared" si="37"/>
        <v>90</v>
      </c>
      <c r="N625">
        <f t="shared" si="38"/>
        <v>45264</v>
      </c>
      <c r="O625" t="str">
        <f t="shared" si="3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36"/>
        <v>3564</v>
      </c>
      <c r="M626">
        <f t="shared" si="37"/>
        <v>135</v>
      </c>
      <c r="N626">
        <f t="shared" si="38"/>
        <v>63160</v>
      </c>
      <c r="O626" t="str">
        <f t="shared" si="3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36"/>
        <v>3564</v>
      </c>
      <c r="M627">
        <f t="shared" si="37"/>
        <v>180</v>
      </c>
      <c r="N627">
        <f t="shared" si="38"/>
        <v>81196</v>
      </c>
      <c r="O627" t="str">
        <f t="shared" si="3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36"/>
        <v>3564</v>
      </c>
      <c r="M628">
        <f t="shared" si="37"/>
        <v>225</v>
      </c>
      <c r="N628">
        <f t="shared" si="38"/>
        <v>99373</v>
      </c>
      <c r="O628" t="str">
        <f t="shared" si="3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36"/>
        <v>3564</v>
      </c>
      <c r="M629">
        <f t="shared" si="37"/>
        <v>270</v>
      </c>
      <c r="N629">
        <f t="shared" si="38"/>
        <v>117692</v>
      </c>
      <c r="O629" t="str">
        <f t="shared" si="3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36"/>
        <v>3564</v>
      </c>
      <c r="M630">
        <f t="shared" si="37"/>
        <v>315</v>
      </c>
      <c r="N630">
        <f t="shared" si="38"/>
        <v>136151</v>
      </c>
      <c r="O630" t="str">
        <f t="shared" si="3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36"/>
        <v>3564</v>
      </c>
      <c r="M631">
        <f t="shared" si="37"/>
        <v>360</v>
      </c>
      <c r="N631">
        <f t="shared" si="38"/>
        <v>154750</v>
      </c>
      <c r="O631" t="str">
        <f t="shared" si="3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36"/>
        <v>3564</v>
      </c>
      <c r="M632">
        <f t="shared" si="37"/>
        <v>405</v>
      </c>
      <c r="N632">
        <f t="shared" si="38"/>
        <v>173491</v>
      </c>
      <c r="O632" t="str">
        <f t="shared" si="3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36"/>
        <v>3564</v>
      </c>
      <c r="M633">
        <f t="shared" si="37"/>
        <v>450</v>
      </c>
      <c r="N633">
        <f t="shared" si="38"/>
        <v>192372</v>
      </c>
      <c r="O633" t="str">
        <f t="shared" si="3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36"/>
        <v>3564</v>
      </c>
      <c r="M634">
        <f t="shared" si="37"/>
        <v>495</v>
      </c>
      <c r="N634">
        <f t="shared" si="38"/>
        <v>211395</v>
      </c>
      <c r="O634" t="str">
        <f t="shared" si="3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36"/>
        <v>3564</v>
      </c>
      <c r="M635">
        <f t="shared" si="37"/>
        <v>540</v>
      </c>
      <c r="N635">
        <f t="shared" si="38"/>
        <v>230558</v>
      </c>
      <c r="O635" t="str">
        <f t="shared" si="3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36"/>
        <v>3564</v>
      </c>
      <c r="M636">
        <f t="shared" si="37"/>
        <v>585</v>
      </c>
      <c r="N636">
        <f t="shared" si="38"/>
        <v>249862</v>
      </c>
      <c r="O636" t="str">
        <f t="shared" si="3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36"/>
        <v>3564</v>
      </c>
      <c r="M637">
        <f t="shared" si="37"/>
        <v>630</v>
      </c>
      <c r="N637">
        <f t="shared" si="38"/>
        <v>269307</v>
      </c>
      <c r="O637" t="str">
        <f t="shared" si="3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36"/>
        <v>3564</v>
      </c>
      <c r="M638">
        <f t="shared" si="37"/>
        <v>675</v>
      </c>
      <c r="N638">
        <f t="shared" si="38"/>
        <v>288892</v>
      </c>
      <c r="O638" t="str">
        <f t="shared" si="3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36"/>
        <v>3564</v>
      </c>
      <c r="M639">
        <f t="shared" si="37"/>
        <v>720</v>
      </c>
      <c r="N639">
        <f t="shared" si="38"/>
        <v>308619</v>
      </c>
      <c r="O639" t="str">
        <f t="shared" si="3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36"/>
        <v>3564</v>
      </c>
      <c r="M640">
        <f t="shared" si="37"/>
        <v>765</v>
      </c>
      <c r="N640">
        <f t="shared" si="38"/>
        <v>328486</v>
      </c>
      <c r="O640" t="str">
        <f t="shared" si="3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36"/>
        <v>3564</v>
      </c>
      <c r="M641">
        <f t="shared" si="37"/>
        <v>810</v>
      </c>
      <c r="N641">
        <f t="shared" si="38"/>
        <v>348494</v>
      </c>
      <c r="O641" t="str">
        <f t="shared" si="3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36"/>
        <v>3564</v>
      </c>
      <c r="M642">
        <f t="shared" si="37"/>
        <v>855</v>
      </c>
      <c r="N642">
        <f t="shared" si="38"/>
        <v>368643</v>
      </c>
      <c r="O642" t="str">
        <f t="shared" si="3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L706" si="40">A643</f>
        <v>3564</v>
      </c>
      <c r="M643">
        <f t="shared" ref="M643:M706" si="41">B643</f>
        <v>900</v>
      </c>
      <c r="N643">
        <f t="shared" ref="N643:N706" si="42">C643*1000</f>
        <v>388933</v>
      </c>
      <c r="O643" t="str">
        <f t="shared" ref="O643:O706" si="43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40"/>
        <v>3564</v>
      </c>
      <c r="M644">
        <f t="shared" si="41"/>
        <v>945</v>
      </c>
      <c r="N644">
        <f t="shared" si="42"/>
        <v>409364</v>
      </c>
      <c r="O644" t="str">
        <f t="shared" si="43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40"/>
        <v>3564</v>
      </c>
      <c r="M645">
        <f t="shared" si="41"/>
        <v>990</v>
      </c>
      <c r="N645">
        <f t="shared" si="42"/>
        <v>429935</v>
      </c>
      <c r="O645" t="str">
        <f t="shared" si="43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40"/>
        <v>3861</v>
      </c>
      <c r="M646">
        <f t="shared" si="41"/>
        <v>-990</v>
      </c>
      <c r="N646">
        <f t="shared" si="42"/>
        <v>-335857</v>
      </c>
      <c r="O646" t="str">
        <f t="shared" si="43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40"/>
        <v>3861</v>
      </c>
      <c r="M647">
        <f t="shared" si="41"/>
        <v>-945</v>
      </c>
      <c r="N647">
        <f t="shared" si="42"/>
        <v>-321662</v>
      </c>
      <c r="O647" t="str">
        <f t="shared" si="43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40"/>
        <v>3861</v>
      </c>
      <c r="M648">
        <f t="shared" si="41"/>
        <v>-900</v>
      </c>
      <c r="N648">
        <f t="shared" si="42"/>
        <v>-307317</v>
      </c>
      <c r="O648" t="str">
        <f t="shared" si="43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40"/>
        <v>3861</v>
      </c>
      <c r="M649">
        <f t="shared" si="41"/>
        <v>-855</v>
      </c>
      <c r="N649">
        <f t="shared" si="42"/>
        <v>-292822</v>
      </c>
      <c r="O649" t="str">
        <f t="shared" si="43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40"/>
        <v>3861</v>
      </c>
      <c r="M650">
        <f t="shared" si="41"/>
        <v>-810</v>
      </c>
      <c r="N650">
        <f t="shared" si="42"/>
        <v>-278177</v>
      </c>
      <c r="O650" t="str">
        <f t="shared" si="43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40"/>
        <v>3861</v>
      </c>
      <c r="M651">
        <f t="shared" si="41"/>
        <v>-765</v>
      </c>
      <c r="N651">
        <f t="shared" si="42"/>
        <v>-263381</v>
      </c>
      <c r="O651" t="str">
        <f t="shared" si="43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40"/>
        <v>3861</v>
      </c>
      <c r="M652">
        <f t="shared" si="41"/>
        <v>-720</v>
      </c>
      <c r="N652">
        <f t="shared" si="42"/>
        <v>-248436</v>
      </c>
      <c r="O652" t="str">
        <f t="shared" si="43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40"/>
        <v>3861</v>
      </c>
      <c r="M653">
        <f t="shared" si="41"/>
        <v>-675</v>
      </c>
      <c r="N653">
        <f t="shared" si="42"/>
        <v>-233340</v>
      </c>
      <c r="O653" t="str">
        <f t="shared" si="43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40"/>
        <v>3861</v>
      </c>
      <c r="M654">
        <f t="shared" si="41"/>
        <v>-630</v>
      </c>
      <c r="N654">
        <f t="shared" si="42"/>
        <v>-218095</v>
      </c>
      <c r="O654" t="str">
        <f t="shared" si="43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40"/>
        <v>3861</v>
      </c>
      <c r="M655">
        <f t="shared" si="41"/>
        <v>-585</v>
      </c>
      <c r="N655">
        <f t="shared" si="42"/>
        <v>-202699</v>
      </c>
      <c r="O655" t="str">
        <f t="shared" si="43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40"/>
        <v>3861</v>
      </c>
      <c r="M656">
        <f t="shared" si="41"/>
        <v>-540</v>
      </c>
      <c r="N656">
        <f t="shared" si="42"/>
        <v>-187153</v>
      </c>
      <c r="O656" t="str">
        <f t="shared" si="43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40"/>
        <v>3861</v>
      </c>
      <c r="M657">
        <f t="shared" si="41"/>
        <v>-495</v>
      </c>
      <c r="N657">
        <f t="shared" si="42"/>
        <v>-171457</v>
      </c>
      <c r="O657" t="str">
        <f t="shared" si="43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40"/>
        <v>3861</v>
      </c>
      <c r="M658">
        <f t="shared" si="41"/>
        <v>-450</v>
      </c>
      <c r="N658">
        <f t="shared" si="42"/>
        <v>-155612</v>
      </c>
      <c r="O658" t="str">
        <f t="shared" si="43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40"/>
        <v>3861</v>
      </c>
      <c r="M659">
        <f t="shared" si="41"/>
        <v>-405</v>
      </c>
      <c r="N659">
        <f t="shared" si="42"/>
        <v>-139616</v>
      </c>
      <c r="O659" t="str">
        <f t="shared" si="43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40"/>
        <v>3861</v>
      </c>
      <c r="M660">
        <f t="shared" si="41"/>
        <v>-360</v>
      </c>
      <c r="N660">
        <f t="shared" si="42"/>
        <v>-123470</v>
      </c>
      <c r="O660" t="str">
        <f t="shared" si="43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40"/>
        <v>3861</v>
      </c>
      <c r="M661">
        <f t="shared" si="41"/>
        <v>-315</v>
      </c>
      <c r="N661">
        <f t="shared" si="42"/>
        <v>-107173</v>
      </c>
      <c r="O661" t="str">
        <f t="shared" si="43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40"/>
        <v>3861</v>
      </c>
      <c r="M662">
        <f t="shared" si="41"/>
        <v>-270</v>
      </c>
      <c r="N662">
        <f t="shared" si="42"/>
        <v>-90727</v>
      </c>
      <c r="O662" t="str">
        <f t="shared" si="43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40"/>
        <v>3861</v>
      </c>
      <c r="M663">
        <f t="shared" si="41"/>
        <v>-225</v>
      </c>
      <c r="N663">
        <f t="shared" si="42"/>
        <v>-74131</v>
      </c>
      <c r="O663" t="str">
        <f t="shared" si="43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40"/>
        <v>3861</v>
      </c>
      <c r="M664">
        <f t="shared" si="41"/>
        <v>-180</v>
      </c>
      <c r="N664">
        <f t="shared" si="42"/>
        <v>-57384</v>
      </c>
      <c r="O664" t="str">
        <f t="shared" si="43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40"/>
        <v>3861</v>
      </c>
      <c r="M665">
        <f t="shared" si="41"/>
        <v>-135</v>
      </c>
      <c r="N665">
        <f t="shared" si="42"/>
        <v>-40488</v>
      </c>
      <c r="O665" t="str">
        <f t="shared" si="43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40"/>
        <v>3861</v>
      </c>
      <c r="M666">
        <f t="shared" si="41"/>
        <v>-90</v>
      </c>
      <c r="N666">
        <f t="shared" si="42"/>
        <v>-23441</v>
      </c>
      <c r="O666" t="str">
        <f t="shared" si="43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40"/>
        <v>3861</v>
      </c>
      <c r="M667">
        <f t="shared" si="41"/>
        <v>-45</v>
      </c>
      <c r="N667">
        <f t="shared" si="42"/>
        <v>-6245</v>
      </c>
      <c r="O667" t="str">
        <f t="shared" si="43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40"/>
        <v>3861</v>
      </c>
      <c r="M668">
        <f t="shared" si="41"/>
        <v>-9</v>
      </c>
      <c r="N668">
        <f t="shared" si="42"/>
        <v>0</v>
      </c>
      <c r="O668" t="str">
        <f t="shared" si="43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40"/>
        <v>3861</v>
      </c>
      <c r="M669">
        <f t="shared" si="41"/>
        <v>9</v>
      </c>
      <c r="N669">
        <f t="shared" si="42"/>
        <v>15850</v>
      </c>
      <c r="O669" t="str">
        <f t="shared" si="43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40"/>
        <v>3861</v>
      </c>
      <c r="M670">
        <f t="shared" si="41"/>
        <v>45</v>
      </c>
      <c r="N670">
        <f t="shared" si="42"/>
        <v>31129</v>
      </c>
      <c r="O670" t="str">
        <f t="shared" si="43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40"/>
        <v>3861</v>
      </c>
      <c r="M671">
        <f t="shared" si="41"/>
        <v>90</v>
      </c>
      <c r="N671">
        <f t="shared" si="42"/>
        <v>50375</v>
      </c>
      <c r="O671" t="str">
        <f t="shared" si="43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40"/>
        <v>3861</v>
      </c>
      <c r="M672">
        <f t="shared" si="41"/>
        <v>135</v>
      </c>
      <c r="N672">
        <f t="shared" si="42"/>
        <v>69784</v>
      </c>
      <c r="O672" t="str">
        <f t="shared" si="43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40"/>
        <v>3861</v>
      </c>
      <c r="M673">
        <f t="shared" si="41"/>
        <v>180</v>
      </c>
      <c r="N673">
        <f t="shared" si="42"/>
        <v>89355</v>
      </c>
      <c r="O673" t="str">
        <f t="shared" si="43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40"/>
        <v>3861</v>
      </c>
      <c r="M674">
        <f t="shared" si="41"/>
        <v>225</v>
      </c>
      <c r="N674">
        <f t="shared" si="42"/>
        <v>109089</v>
      </c>
      <c r="O674" t="str">
        <f t="shared" si="43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40"/>
        <v>3861</v>
      </c>
      <c r="M675">
        <f t="shared" si="41"/>
        <v>270</v>
      </c>
      <c r="N675">
        <f t="shared" si="42"/>
        <v>128985.99999999999</v>
      </c>
      <c r="O675" t="str">
        <f t="shared" si="43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40"/>
        <v>3861</v>
      </c>
      <c r="M676">
        <f t="shared" si="41"/>
        <v>315</v>
      </c>
      <c r="N676">
        <f t="shared" si="42"/>
        <v>149046</v>
      </c>
      <c r="O676" t="str">
        <f t="shared" si="43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40"/>
        <v>3861</v>
      </c>
      <c r="M677">
        <f t="shared" si="41"/>
        <v>360</v>
      </c>
      <c r="N677">
        <f t="shared" si="42"/>
        <v>169269</v>
      </c>
      <c r="O677" t="str">
        <f t="shared" si="43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40"/>
        <v>3861</v>
      </c>
      <c r="M678">
        <f t="shared" si="41"/>
        <v>405</v>
      </c>
      <c r="N678">
        <f t="shared" si="42"/>
        <v>189655</v>
      </c>
      <c r="O678" t="str">
        <f t="shared" si="43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40"/>
        <v>3861</v>
      </c>
      <c r="M679">
        <f t="shared" si="41"/>
        <v>450</v>
      </c>
      <c r="N679">
        <f t="shared" si="42"/>
        <v>210203</v>
      </c>
      <c r="O679" t="str">
        <f t="shared" si="43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40"/>
        <v>3861</v>
      </c>
      <c r="M680">
        <f t="shared" si="41"/>
        <v>495</v>
      </c>
      <c r="N680">
        <f t="shared" si="42"/>
        <v>230915</v>
      </c>
      <c r="O680" t="str">
        <f t="shared" si="43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40"/>
        <v>3861</v>
      </c>
      <c r="M681">
        <f t="shared" si="41"/>
        <v>540</v>
      </c>
      <c r="N681">
        <f t="shared" si="42"/>
        <v>251789</v>
      </c>
      <c r="O681" t="str">
        <f t="shared" si="43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40"/>
        <v>3861</v>
      </c>
      <c r="M682">
        <f t="shared" si="41"/>
        <v>585</v>
      </c>
      <c r="N682">
        <f t="shared" si="42"/>
        <v>272826</v>
      </c>
      <c r="O682" t="str">
        <f t="shared" si="43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40"/>
        <v>3861</v>
      </c>
      <c r="M683">
        <f t="shared" si="41"/>
        <v>630</v>
      </c>
      <c r="N683">
        <f t="shared" si="42"/>
        <v>294026</v>
      </c>
      <c r="O683" t="str">
        <f t="shared" si="43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40"/>
        <v>3861</v>
      </c>
      <c r="M684">
        <f t="shared" si="41"/>
        <v>675</v>
      </c>
      <c r="N684">
        <f t="shared" si="42"/>
        <v>315389</v>
      </c>
      <c r="O684" t="str">
        <f t="shared" si="43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40"/>
        <v>3861</v>
      </c>
      <c r="M685">
        <f t="shared" si="41"/>
        <v>720</v>
      </c>
      <c r="N685">
        <f t="shared" si="42"/>
        <v>336914</v>
      </c>
      <c r="O685" t="str">
        <f t="shared" si="43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40"/>
        <v>3861</v>
      </c>
      <c r="M686">
        <f t="shared" si="41"/>
        <v>765</v>
      </c>
      <c r="N686">
        <f t="shared" si="42"/>
        <v>358603</v>
      </c>
      <c r="O686" t="str">
        <f t="shared" si="43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40"/>
        <v>3861</v>
      </c>
      <c r="M687">
        <f t="shared" si="41"/>
        <v>810</v>
      </c>
      <c r="N687">
        <f t="shared" si="42"/>
        <v>380454</v>
      </c>
      <c r="O687" t="str">
        <f t="shared" si="43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40"/>
        <v>3861</v>
      </c>
      <c r="M688">
        <f t="shared" si="41"/>
        <v>855</v>
      </c>
      <c r="N688">
        <f t="shared" si="42"/>
        <v>402468</v>
      </c>
      <c r="O688" t="str">
        <f t="shared" si="43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40"/>
        <v>3861</v>
      </c>
      <c r="M689">
        <f t="shared" si="41"/>
        <v>900</v>
      </c>
      <c r="N689">
        <f t="shared" si="42"/>
        <v>424645</v>
      </c>
      <c r="O689" t="str">
        <f t="shared" si="43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40"/>
        <v>3861</v>
      </c>
      <c r="M690">
        <f t="shared" si="41"/>
        <v>945</v>
      </c>
      <c r="N690">
        <f t="shared" si="42"/>
        <v>446985</v>
      </c>
      <c r="O690" t="str">
        <f t="shared" si="43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40"/>
        <v>3861</v>
      </c>
      <c r="M691">
        <f t="shared" si="41"/>
        <v>990</v>
      </c>
      <c r="N691">
        <f t="shared" si="42"/>
        <v>469488</v>
      </c>
      <c r="O691" t="str">
        <f t="shared" si="43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40"/>
        <v>4158</v>
      </c>
      <c r="M692">
        <f t="shared" si="41"/>
        <v>-990</v>
      </c>
      <c r="N692">
        <f t="shared" si="42"/>
        <v>-357855</v>
      </c>
      <c r="O692" t="str">
        <f t="shared" si="43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40"/>
        <v>4158</v>
      </c>
      <c r="M693">
        <f t="shared" si="41"/>
        <v>-945</v>
      </c>
      <c r="N693">
        <f t="shared" si="42"/>
        <v>-342788</v>
      </c>
      <c r="O693" t="str">
        <f t="shared" si="43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40"/>
        <v>4158</v>
      </c>
      <c r="M694">
        <f t="shared" si="41"/>
        <v>-900</v>
      </c>
      <c r="N694">
        <f t="shared" si="42"/>
        <v>-327548</v>
      </c>
      <c r="O694" t="str">
        <f t="shared" si="43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40"/>
        <v>4158</v>
      </c>
      <c r="M695">
        <f t="shared" si="41"/>
        <v>-855</v>
      </c>
      <c r="N695">
        <f t="shared" si="42"/>
        <v>-312136</v>
      </c>
      <c r="O695" t="str">
        <f t="shared" si="43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40"/>
        <v>4158</v>
      </c>
      <c r="M696">
        <f t="shared" si="41"/>
        <v>-810</v>
      </c>
      <c r="N696">
        <f t="shared" si="42"/>
        <v>-296552</v>
      </c>
      <c r="O696" t="str">
        <f t="shared" si="43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40"/>
        <v>4158</v>
      </c>
      <c r="M697">
        <f t="shared" si="41"/>
        <v>-765</v>
      </c>
      <c r="N697">
        <f t="shared" si="42"/>
        <v>-280797</v>
      </c>
      <c r="O697" t="str">
        <f t="shared" si="43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40"/>
        <v>4158</v>
      </c>
      <c r="M698">
        <f t="shared" si="41"/>
        <v>-720</v>
      </c>
      <c r="N698">
        <f t="shared" si="42"/>
        <v>-264869</v>
      </c>
      <c r="O698" t="str">
        <f t="shared" si="43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40"/>
        <v>4158</v>
      </c>
      <c r="M699">
        <f t="shared" si="41"/>
        <v>-675</v>
      </c>
      <c r="N699">
        <f t="shared" si="42"/>
        <v>-248769</v>
      </c>
      <c r="O699" t="str">
        <f t="shared" si="43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40"/>
        <v>4158</v>
      </c>
      <c r="M700">
        <f t="shared" si="41"/>
        <v>-630</v>
      </c>
      <c r="N700">
        <f t="shared" si="42"/>
        <v>-232498</v>
      </c>
      <c r="O700" t="str">
        <f t="shared" si="43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40"/>
        <v>4158</v>
      </c>
      <c r="M701">
        <f t="shared" si="41"/>
        <v>-585</v>
      </c>
      <c r="N701">
        <f t="shared" si="42"/>
        <v>-216054</v>
      </c>
      <c r="O701" t="str">
        <f t="shared" si="43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40"/>
        <v>4158</v>
      </c>
      <c r="M702">
        <f t="shared" si="41"/>
        <v>-540</v>
      </c>
      <c r="N702">
        <f t="shared" si="42"/>
        <v>-199439</v>
      </c>
      <c r="O702" t="str">
        <f t="shared" si="43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40"/>
        <v>4158</v>
      </c>
      <c r="M703">
        <f t="shared" si="41"/>
        <v>-495</v>
      </c>
      <c r="N703">
        <f t="shared" si="42"/>
        <v>-182651</v>
      </c>
      <c r="O703" t="str">
        <f t="shared" si="43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40"/>
        <v>4158</v>
      </c>
      <c r="M704">
        <f t="shared" si="41"/>
        <v>-450</v>
      </c>
      <c r="N704">
        <f t="shared" si="42"/>
        <v>-165691</v>
      </c>
      <c r="O704" t="str">
        <f t="shared" si="43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40"/>
        <v>4158</v>
      </c>
      <c r="M705">
        <f t="shared" si="41"/>
        <v>-405</v>
      </c>
      <c r="N705">
        <f t="shared" si="42"/>
        <v>-148560</v>
      </c>
      <c r="O705" t="str">
        <f t="shared" si="43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40"/>
        <v>4158</v>
      </c>
      <c r="M706">
        <f t="shared" si="41"/>
        <v>-360</v>
      </c>
      <c r="N706">
        <f t="shared" si="42"/>
        <v>-131256</v>
      </c>
      <c r="O706" t="str">
        <f t="shared" si="43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L770" si="44">A707</f>
        <v>4158</v>
      </c>
      <c r="M707">
        <f t="shared" ref="M707:M770" si="45">B707</f>
        <v>-315</v>
      </c>
      <c r="N707">
        <f t="shared" ref="N707:N770" si="46">C707*1000</f>
        <v>-113781</v>
      </c>
      <c r="O707" t="str">
        <f t="shared" ref="O707:O770" si="47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44"/>
        <v>4158</v>
      </c>
      <c r="M708">
        <f t="shared" si="45"/>
        <v>-270</v>
      </c>
      <c r="N708">
        <f t="shared" si="46"/>
        <v>-96134</v>
      </c>
      <c r="O708" t="str">
        <f t="shared" si="47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44"/>
        <v>4158</v>
      </c>
      <c r="M709">
        <f t="shared" si="45"/>
        <v>-225</v>
      </c>
      <c r="N709">
        <f t="shared" si="46"/>
        <v>-78314</v>
      </c>
      <c r="O709" t="str">
        <f t="shared" si="47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44"/>
        <v>4158</v>
      </c>
      <c r="M710">
        <f t="shared" si="45"/>
        <v>-180</v>
      </c>
      <c r="N710">
        <f t="shared" si="46"/>
        <v>-60323</v>
      </c>
      <c r="O710" t="str">
        <f t="shared" si="47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44"/>
        <v>4158</v>
      </c>
      <c r="M711">
        <f t="shared" si="45"/>
        <v>-135</v>
      </c>
      <c r="N711">
        <f t="shared" si="46"/>
        <v>-42159</v>
      </c>
      <c r="O711" t="str">
        <f t="shared" si="47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44"/>
        <v>4158</v>
      </c>
      <c r="M712">
        <f t="shared" si="45"/>
        <v>-90</v>
      </c>
      <c r="N712">
        <f t="shared" si="46"/>
        <v>-23824</v>
      </c>
      <c r="O712" t="str">
        <f t="shared" si="47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44"/>
        <v>4158</v>
      </c>
      <c r="M713">
        <f t="shared" si="45"/>
        <v>-45</v>
      </c>
      <c r="N713">
        <f t="shared" si="46"/>
        <v>-5316</v>
      </c>
      <c r="O713" t="str">
        <f t="shared" si="47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44"/>
        <v>4158</v>
      </c>
      <c r="M714">
        <f t="shared" si="45"/>
        <v>-9</v>
      </c>
      <c r="N714">
        <f t="shared" si="46"/>
        <v>0</v>
      </c>
      <c r="O714" t="str">
        <f t="shared" si="47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44"/>
        <v>4158</v>
      </c>
      <c r="M715">
        <f t="shared" si="45"/>
        <v>9</v>
      </c>
      <c r="N715">
        <f t="shared" si="46"/>
        <v>18595</v>
      </c>
      <c r="O715" t="str">
        <f t="shared" si="47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44"/>
        <v>4158</v>
      </c>
      <c r="M716">
        <f t="shared" si="45"/>
        <v>45</v>
      </c>
      <c r="N716">
        <f t="shared" si="46"/>
        <v>35052</v>
      </c>
      <c r="O716" t="str">
        <f t="shared" si="47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44"/>
        <v>4158</v>
      </c>
      <c r="M717">
        <f t="shared" si="45"/>
        <v>90</v>
      </c>
      <c r="N717">
        <f t="shared" si="46"/>
        <v>55792</v>
      </c>
      <c r="O717" t="str">
        <f t="shared" si="47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44"/>
        <v>4158</v>
      </c>
      <c r="M718">
        <f t="shared" si="45"/>
        <v>135</v>
      </c>
      <c r="N718">
        <f t="shared" si="46"/>
        <v>76718</v>
      </c>
      <c r="O718" t="str">
        <f t="shared" si="47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44"/>
        <v>4158</v>
      </c>
      <c r="M719">
        <f t="shared" si="45"/>
        <v>180</v>
      </c>
      <c r="N719">
        <f t="shared" si="46"/>
        <v>97830</v>
      </c>
      <c r="O719" t="str">
        <f t="shared" si="47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44"/>
        <v>4158</v>
      </c>
      <c r="M720">
        <f t="shared" si="45"/>
        <v>225</v>
      </c>
      <c r="N720">
        <f t="shared" si="46"/>
        <v>119129</v>
      </c>
      <c r="O720" t="str">
        <f t="shared" si="47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44"/>
        <v>4158</v>
      </c>
      <c r="M721">
        <f t="shared" si="45"/>
        <v>270</v>
      </c>
      <c r="N721">
        <f t="shared" si="46"/>
        <v>140615</v>
      </c>
      <c r="O721" t="str">
        <f t="shared" si="47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44"/>
        <v>4158</v>
      </c>
      <c r="M722">
        <f t="shared" si="45"/>
        <v>315</v>
      </c>
      <c r="N722">
        <f t="shared" si="46"/>
        <v>162287</v>
      </c>
      <c r="O722" t="str">
        <f t="shared" si="47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44"/>
        <v>4158</v>
      </c>
      <c r="M723">
        <f t="shared" si="45"/>
        <v>360</v>
      </c>
      <c r="N723">
        <f t="shared" si="46"/>
        <v>184146</v>
      </c>
      <c r="O723" t="str">
        <f t="shared" si="47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44"/>
        <v>4158</v>
      </c>
      <c r="M724">
        <f t="shared" si="45"/>
        <v>405</v>
      </c>
      <c r="N724">
        <f t="shared" si="46"/>
        <v>206192</v>
      </c>
      <c r="O724" t="str">
        <f t="shared" si="47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44"/>
        <v>4158</v>
      </c>
      <c r="M725">
        <f t="shared" si="45"/>
        <v>450</v>
      </c>
      <c r="N725">
        <f t="shared" si="46"/>
        <v>228424</v>
      </c>
      <c r="O725" t="str">
        <f t="shared" si="47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44"/>
        <v>4158</v>
      </c>
      <c r="M726">
        <f t="shared" si="45"/>
        <v>495</v>
      </c>
      <c r="N726">
        <f t="shared" si="46"/>
        <v>250843</v>
      </c>
      <c r="O726" t="str">
        <f t="shared" si="47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44"/>
        <v>4158</v>
      </c>
      <c r="M727">
        <f t="shared" si="45"/>
        <v>540</v>
      </c>
      <c r="N727">
        <f t="shared" si="46"/>
        <v>273448</v>
      </c>
      <c r="O727" t="str">
        <f t="shared" si="47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44"/>
        <v>4158</v>
      </c>
      <c r="M728">
        <f t="shared" si="45"/>
        <v>585</v>
      </c>
      <c r="N728">
        <f t="shared" si="46"/>
        <v>296240</v>
      </c>
      <c r="O728" t="str">
        <f t="shared" si="47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44"/>
        <v>4158</v>
      </c>
      <c r="M729">
        <f t="shared" si="45"/>
        <v>630</v>
      </c>
      <c r="N729">
        <f t="shared" si="46"/>
        <v>319219</v>
      </c>
      <c r="O729" t="str">
        <f t="shared" si="47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44"/>
        <v>4158</v>
      </c>
      <c r="M730">
        <f t="shared" si="45"/>
        <v>675</v>
      </c>
      <c r="N730">
        <f t="shared" si="46"/>
        <v>342384</v>
      </c>
      <c r="O730" t="str">
        <f t="shared" si="47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44"/>
        <v>4158</v>
      </c>
      <c r="M731">
        <f t="shared" si="45"/>
        <v>720</v>
      </c>
      <c r="N731">
        <f t="shared" si="46"/>
        <v>365736</v>
      </c>
      <c r="O731" t="str">
        <f t="shared" si="47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44"/>
        <v>4158</v>
      </c>
      <c r="M732">
        <f t="shared" si="45"/>
        <v>765</v>
      </c>
      <c r="N732">
        <f t="shared" si="46"/>
        <v>389274</v>
      </c>
      <c r="O732" t="str">
        <f t="shared" si="47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44"/>
        <v>4158</v>
      </c>
      <c r="M733">
        <f t="shared" si="45"/>
        <v>810</v>
      </c>
      <c r="N733">
        <f t="shared" si="46"/>
        <v>412999</v>
      </c>
      <c r="O733" t="str">
        <f t="shared" si="47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44"/>
        <v>4158</v>
      </c>
      <c r="M734">
        <f t="shared" si="45"/>
        <v>855</v>
      </c>
      <c r="N734">
        <f t="shared" si="46"/>
        <v>436911</v>
      </c>
      <c r="O734" t="str">
        <f t="shared" si="47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44"/>
        <v>4158</v>
      </c>
      <c r="M735">
        <f t="shared" si="45"/>
        <v>900</v>
      </c>
      <c r="N735">
        <f t="shared" si="46"/>
        <v>461009</v>
      </c>
      <c r="O735" t="str">
        <f t="shared" si="47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44"/>
        <v>4158</v>
      </c>
      <c r="M736">
        <f t="shared" si="45"/>
        <v>945</v>
      </c>
      <c r="N736">
        <f t="shared" si="46"/>
        <v>485294</v>
      </c>
      <c r="O736" t="str">
        <f t="shared" si="47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44"/>
        <v>4158</v>
      </c>
      <c r="M737">
        <f t="shared" si="45"/>
        <v>990</v>
      </c>
      <c r="N737">
        <f t="shared" si="46"/>
        <v>509766</v>
      </c>
      <c r="O737" t="str">
        <f t="shared" si="47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44"/>
        <v>4455</v>
      </c>
      <c r="M738">
        <f t="shared" si="45"/>
        <v>-990</v>
      </c>
      <c r="N738">
        <f t="shared" si="46"/>
        <v>-379166</v>
      </c>
      <c r="O738" t="str">
        <f t="shared" si="47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44"/>
        <v>4455</v>
      </c>
      <c r="M739">
        <f t="shared" si="45"/>
        <v>-945</v>
      </c>
      <c r="N739">
        <f t="shared" si="46"/>
        <v>-363260</v>
      </c>
      <c r="O739" t="str">
        <f t="shared" si="47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44"/>
        <v>4455</v>
      </c>
      <c r="M740">
        <f t="shared" si="45"/>
        <v>-900</v>
      </c>
      <c r="N740">
        <f t="shared" si="46"/>
        <v>-347158</v>
      </c>
      <c r="O740" t="str">
        <f t="shared" si="47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44"/>
        <v>4455</v>
      </c>
      <c r="M741">
        <f t="shared" si="45"/>
        <v>-855</v>
      </c>
      <c r="N741">
        <f t="shared" si="46"/>
        <v>-330862</v>
      </c>
      <c r="O741" t="str">
        <f t="shared" si="47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44"/>
        <v>4455</v>
      </c>
      <c r="M742">
        <f t="shared" si="45"/>
        <v>-810</v>
      </c>
      <c r="N742">
        <f t="shared" si="46"/>
        <v>-314369</v>
      </c>
      <c r="O742" t="str">
        <f t="shared" si="47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44"/>
        <v>4455</v>
      </c>
      <c r="M743">
        <f t="shared" si="45"/>
        <v>-765</v>
      </c>
      <c r="N743">
        <f t="shared" si="46"/>
        <v>-297681</v>
      </c>
      <c r="O743" t="str">
        <f t="shared" si="47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44"/>
        <v>4455</v>
      </c>
      <c r="M744">
        <f t="shared" si="45"/>
        <v>-720</v>
      </c>
      <c r="N744">
        <f t="shared" si="46"/>
        <v>-280798</v>
      </c>
      <c r="O744" t="str">
        <f t="shared" si="47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44"/>
        <v>4455</v>
      </c>
      <c r="M745">
        <f t="shared" si="45"/>
        <v>-675</v>
      </c>
      <c r="N745">
        <f t="shared" si="46"/>
        <v>-263719</v>
      </c>
      <c r="O745" t="str">
        <f t="shared" si="47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44"/>
        <v>4455</v>
      </c>
      <c r="M746">
        <f t="shared" si="45"/>
        <v>-630</v>
      </c>
      <c r="N746">
        <f t="shared" si="46"/>
        <v>-246445</v>
      </c>
      <c r="O746" t="str">
        <f t="shared" si="47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44"/>
        <v>4455</v>
      </c>
      <c r="M747">
        <f t="shared" si="45"/>
        <v>-585</v>
      </c>
      <c r="N747">
        <f t="shared" si="46"/>
        <v>-228975</v>
      </c>
      <c r="O747" t="str">
        <f t="shared" si="47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44"/>
        <v>4455</v>
      </c>
      <c r="M748">
        <f t="shared" si="45"/>
        <v>-540</v>
      </c>
      <c r="N748">
        <f t="shared" si="46"/>
        <v>-211310</v>
      </c>
      <c r="O748" t="str">
        <f t="shared" si="47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44"/>
        <v>4455</v>
      </c>
      <c r="M749">
        <f t="shared" si="45"/>
        <v>-495</v>
      </c>
      <c r="N749">
        <f t="shared" si="46"/>
        <v>-193449</v>
      </c>
      <c r="O749" t="str">
        <f t="shared" si="47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44"/>
        <v>4455</v>
      </c>
      <c r="M750">
        <f t="shared" si="45"/>
        <v>-450</v>
      </c>
      <c r="N750">
        <f t="shared" si="46"/>
        <v>-175393</v>
      </c>
      <c r="O750" t="str">
        <f t="shared" si="47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44"/>
        <v>4455</v>
      </c>
      <c r="M751">
        <f t="shared" si="45"/>
        <v>-405</v>
      </c>
      <c r="N751">
        <f t="shared" si="46"/>
        <v>-157141</v>
      </c>
      <c r="O751" t="str">
        <f t="shared" si="47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44"/>
        <v>4455</v>
      </c>
      <c r="M752">
        <f t="shared" si="45"/>
        <v>-360</v>
      </c>
      <c r="N752">
        <f t="shared" si="46"/>
        <v>-138694</v>
      </c>
      <c r="O752" t="str">
        <f t="shared" si="47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44"/>
        <v>4455</v>
      </c>
      <c r="M753">
        <f t="shared" si="45"/>
        <v>-315</v>
      </c>
      <c r="N753">
        <f t="shared" si="46"/>
        <v>-120051</v>
      </c>
      <c r="O753" t="str">
        <f t="shared" si="47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44"/>
        <v>4455</v>
      </c>
      <c r="M754">
        <f t="shared" si="45"/>
        <v>-270</v>
      </c>
      <c r="N754">
        <f t="shared" si="46"/>
        <v>-101213</v>
      </c>
      <c r="O754" t="str">
        <f t="shared" si="47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44"/>
        <v>4455</v>
      </c>
      <c r="M755">
        <f t="shared" si="45"/>
        <v>-225</v>
      </c>
      <c r="N755">
        <f t="shared" si="46"/>
        <v>-82179</v>
      </c>
      <c r="O755" t="str">
        <f t="shared" si="47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44"/>
        <v>4455</v>
      </c>
      <c r="M756">
        <f t="shared" si="45"/>
        <v>-180</v>
      </c>
      <c r="N756">
        <f t="shared" si="46"/>
        <v>-62950</v>
      </c>
      <c r="O756" t="str">
        <f t="shared" si="47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44"/>
        <v>4455</v>
      </c>
      <c r="M757">
        <f t="shared" si="45"/>
        <v>-135</v>
      </c>
      <c r="N757">
        <f t="shared" si="46"/>
        <v>-43525</v>
      </c>
      <c r="O757" t="str">
        <f t="shared" si="47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44"/>
        <v>4455</v>
      </c>
      <c r="M758">
        <f t="shared" si="45"/>
        <v>-90</v>
      </c>
      <c r="N758">
        <f t="shared" si="46"/>
        <v>-23905</v>
      </c>
      <c r="O758" t="str">
        <f t="shared" si="47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44"/>
        <v>4455</v>
      </c>
      <c r="M759">
        <f t="shared" si="45"/>
        <v>-45</v>
      </c>
      <c r="N759">
        <f t="shared" si="46"/>
        <v>-4090</v>
      </c>
      <c r="O759" t="str">
        <f t="shared" si="47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44"/>
        <v>4455</v>
      </c>
      <c r="M760">
        <f t="shared" si="45"/>
        <v>-9</v>
      </c>
      <c r="N760">
        <f t="shared" si="46"/>
        <v>0</v>
      </c>
      <c r="O760" t="str">
        <f t="shared" si="47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44"/>
        <v>4455</v>
      </c>
      <c r="M761">
        <f t="shared" si="45"/>
        <v>9</v>
      </c>
      <c r="N761">
        <f t="shared" si="46"/>
        <v>21664</v>
      </c>
      <c r="O761" t="str">
        <f t="shared" si="47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44"/>
        <v>4455</v>
      </c>
      <c r="M762">
        <f t="shared" si="45"/>
        <v>45</v>
      </c>
      <c r="N762">
        <f t="shared" si="46"/>
        <v>39299</v>
      </c>
      <c r="O762" t="str">
        <f t="shared" si="47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44"/>
        <v>4455</v>
      </c>
      <c r="M763">
        <f t="shared" si="45"/>
        <v>90</v>
      </c>
      <c r="N763">
        <f t="shared" si="46"/>
        <v>61535</v>
      </c>
      <c r="O763" t="str">
        <f t="shared" si="47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44"/>
        <v>4455</v>
      </c>
      <c r="M764">
        <f t="shared" si="45"/>
        <v>135</v>
      </c>
      <c r="N764">
        <f t="shared" si="46"/>
        <v>83982</v>
      </c>
      <c r="O764" t="str">
        <f t="shared" si="47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44"/>
        <v>4455</v>
      </c>
      <c r="M765">
        <f t="shared" si="45"/>
        <v>180</v>
      </c>
      <c r="N765">
        <f t="shared" si="46"/>
        <v>106642</v>
      </c>
      <c r="O765" t="str">
        <f t="shared" si="47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44"/>
        <v>4455</v>
      </c>
      <c r="M766">
        <f t="shared" si="45"/>
        <v>225</v>
      </c>
      <c r="N766">
        <f t="shared" si="46"/>
        <v>129514.00000000001</v>
      </c>
      <c r="O766" t="str">
        <f t="shared" si="47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44"/>
        <v>4455</v>
      </c>
      <c r="M767">
        <f t="shared" si="45"/>
        <v>270</v>
      </c>
      <c r="N767">
        <f t="shared" si="46"/>
        <v>152598</v>
      </c>
      <c r="O767" t="str">
        <f t="shared" si="47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44"/>
        <v>4455</v>
      </c>
      <c r="M768">
        <f t="shared" si="45"/>
        <v>315</v>
      </c>
      <c r="N768">
        <f t="shared" si="46"/>
        <v>175894</v>
      </c>
      <c r="O768" t="str">
        <f t="shared" si="47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44"/>
        <v>4455</v>
      </c>
      <c r="M769">
        <f t="shared" si="45"/>
        <v>360</v>
      </c>
      <c r="N769">
        <f t="shared" si="46"/>
        <v>199402</v>
      </c>
      <c r="O769" t="str">
        <f t="shared" si="47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44"/>
        <v>4455</v>
      </c>
      <c r="M770">
        <f t="shared" si="45"/>
        <v>405</v>
      </c>
      <c r="N770">
        <f t="shared" si="46"/>
        <v>223122</v>
      </c>
      <c r="O770" t="str">
        <f t="shared" si="47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L834" si="48">A771</f>
        <v>4455</v>
      </c>
      <c r="M771">
        <f t="shared" ref="M771:M834" si="49">B771</f>
        <v>450</v>
      </c>
      <c r="N771">
        <f t="shared" ref="N771:N834" si="50">C771*1000</f>
        <v>247055</v>
      </c>
      <c r="O771" t="str">
        <f t="shared" ref="O771:O834" si="51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48"/>
        <v>4455</v>
      </c>
      <c r="M772">
        <f t="shared" si="49"/>
        <v>495</v>
      </c>
      <c r="N772">
        <f t="shared" si="50"/>
        <v>271200</v>
      </c>
      <c r="O772" t="str">
        <f t="shared" si="51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48"/>
        <v>4455</v>
      </c>
      <c r="M773">
        <f t="shared" si="49"/>
        <v>540</v>
      </c>
      <c r="N773">
        <f t="shared" si="50"/>
        <v>295556</v>
      </c>
      <c r="O773" t="str">
        <f t="shared" si="51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48"/>
        <v>4455</v>
      </c>
      <c r="M774">
        <f t="shared" si="49"/>
        <v>585</v>
      </c>
      <c r="N774">
        <f t="shared" si="50"/>
        <v>320125</v>
      </c>
      <c r="O774" t="str">
        <f t="shared" si="51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48"/>
        <v>4455</v>
      </c>
      <c r="M775">
        <f t="shared" si="49"/>
        <v>630</v>
      </c>
      <c r="N775">
        <f t="shared" si="50"/>
        <v>344906</v>
      </c>
      <c r="O775" t="str">
        <f t="shared" si="51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48"/>
        <v>4455</v>
      </c>
      <c r="M776">
        <f t="shared" si="49"/>
        <v>675</v>
      </c>
      <c r="N776">
        <f t="shared" si="50"/>
        <v>369899</v>
      </c>
      <c r="O776" t="str">
        <f t="shared" si="51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48"/>
        <v>4455</v>
      </c>
      <c r="M777">
        <f t="shared" si="49"/>
        <v>720</v>
      </c>
      <c r="N777">
        <f t="shared" si="50"/>
        <v>395104</v>
      </c>
      <c r="O777" t="str">
        <f t="shared" si="51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48"/>
        <v>4455</v>
      </c>
      <c r="M778">
        <f t="shared" si="49"/>
        <v>765</v>
      </c>
      <c r="N778">
        <f t="shared" si="50"/>
        <v>420522</v>
      </c>
      <c r="O778" t="str">
        <f t="shared" si="51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48"/>
        <v>4455</v>
      </c>
      <c r="M779">
        <f t="shared" si="49"/>
        <v>810</v>
      </c>
      <c r="N779">
        <f t="shared" si="50"/>
        <v>446151</v>
      </c>
      <c r="O779" t="str">
        <f t="shared" si="51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48"/>
        <v>4455</v>
      </c>
      <c r="M780">
        <f t="shared" si="49"/>
        <v>855</v>
      </c>
      <c r="N780">
        <f t="shared" si="50"/>
        <v>471993</v>
      </c>
      <c r="O780" t="str">
        <f t="shared" si="51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48"/>
        <v>4455</v>
      </c>
      <c r="M781">
        <f t="shared" si="49"/>
        <v>900</v>
      </c>
      <c r="N781">
        <f t="shared" si="50"/>
        <v>498046</v>
      </c>
      <c r="O781" t="str">
        <f t="shared" si="51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48"/>
        <v>4455</v>
      </c>
      <c r="M782">
        <f t="shared" si="49"/>
        <v>945</v>
      </c>
      <c r="N782">
        <f t="shared" si="50"/>
        <v>524312</v>
      </c>
      <c r="O782" t="str">
        <f t="shared" si="51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48"/>
        <v>4455</v>
      </c>
      <c r="M783">
        <f t="shared" si="49"/>
        <v>990</v>
      </c>
      <c r="N783">
        <f t="shared" si="50"/>
        <v>550790</v>
      </c>
      <c r="O783" t="str">
        <f t="shared" si="51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48"/>
        <v>4752</v>
      </c>
      <c r="M784">
        <f t="shared" si="49"/>
        <v>-990</v>
      </c>
      <c r="N784">
        <f t="shared" si="50"/>
        <v>-399769</v>
      </c>
      <c r="O784" t="str">
        <f t="shared" si="51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48"/>
        <v>4752</v>
      </c>
      <c r="M785">
        <f t="shared" si="49"/>
        <v>-945</v>
      </c>
      <c r="N785">
        <f t="shared" si="50"/>
        <v>-383059</v>
      </c>
      <c r="O785" t="str">
        <f t="shared" si="51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48"/>
        <v>4752</v>
      </c>
      <c r="M786">
        <f t="shared" si="49"/>
        <v>-900</v>
      </c>
      <c r="N786">
        <f t="shared" si="50"/>
        <v>-366129</v>
      </c>
      <c r="O786" t="str">
        <f t="shared" si="51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48"/>
        <v>4752</v>
      </c>
      <c r="M787">
        <f t="shared" si="49"/>
        <v>-855</v>
      </c>
      <c r="N787">
        <f t="shared" si="50"/>
        <v>-348979</v>
      </c>
      <c r="O787" t="str">
        <f t="shared" si="51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48"/>
        <v>4752</v>
      </c>
      <c r="M788">
        <f t="shared" si="49"/>
        <v>-810</v>
      </c>
      <c r="N788">
        <f t="shared" si="50"/>
        <v>-331608</v>
      </c>
      <c r="O788" t="str">
        <f t="shared" si="51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48"/>
        <v>4752</v>
      </c>
      <c r="M789">
        <f t="shared" si="49"/>
        <v>-765</v>
      </c>
      <c r="N789">
        <f t="shared" si="50"/>
        <v>-314016</v>
      </c>
      <c r="O789" t="str">
        <f t="shared" si="51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48"/>
        <v>4752</v>
      </c>
      <c r="M790">
        <f t="shared" si="49"/>
        <v>-720</v>
      </c>
      <c r="N790">
        <f t="shared" si="50"/>
        <v>-296204</v>
      </c>
      <c r="O790" t="str">
        <f t="shared" si="51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48"/>
        <v>4752</v>
      </c>
      <c r="M791">
        <f t="shared" si="49"/>
        <v>-675</v>
      </c>
      <c r="N791">
        <f t="shared" si="50"/>
        <v>-278171</v>
      </c>
      <c r="O791" t="str">
        <f t="shared" si="51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48"/>
        <v>4752</v>
      </c>
      <c r="M792">
        <f t="shared" si="49"/>
        <v>-630</v>
      </c>
      <c r="N792">
        <f t="shared" si="50"/>
        <v>-259916.99999999997</v>
      </c>
      <c r="O792" t="str">
        <f t="shared" si="51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48"/>
        <v>4752</v>
      </c>
      <c r="M793">
        <f t="shared" si="49"/>
        <v>-585</v>
      </c>
      <c r="N793">
        <f t="shared" si="50"/>
        <v>-241443</v>
      </c>
      <c r="O793" t="str">
        <f t="shared" si="51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48"/>
        <v>4752</v>
      </c>
      <c r="M794">
        <f t="shared" si="49"/>
        <v>-540</v>
      </c>
      <c r="N794">
        <f t="shared" si="50"/>
        <v>-222748</v>
      </c>
      <c r="O794" t="str">
        <f t="shared" si="51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48"/>
        <v>4752</v>
      </c>
      <c r="M795">
        <f t="shared" si="49"/>
        <v>-495</v>
      </c>
      <c r="N795">
        <f t="shared" si="50"/>
        <v>-203833</v>
      </c>
      <c r="O795" t="str">
        <f t="shared" si="51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48"/>
        <v>4752</v>
      </c>
      <c r="M796">
        <f t="shared" si="49"/>
        <v>-450</v>
      </c>
      <c r="N796">
        <f t="shared" si="50"/>
        <v>-184697</v>
      </c>
      <c r="O796" t="str">
        <f t="shared" si="51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48"/>
        <v>4752</v>
      </c>
      <c r="M797">
        <f t="shared" si="49"/>
        <v>-405</v>
      </c>
      <c r="N797">
        <f t="shared" si="50"/>
        <v>-165340</v>
      </c>
      <c r="O797" t="str">
        <f t="shared" si="51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48"/>
        <v>4752</v>
      </c>
      <c r="M798">
        <f t="shared" si="49"/>
        <v>-360</v>
      </c>
      <c r="N798">
        <f t="shared" si="50"/>
        <v>-145763</v>
      </c>
      <c r="O798" t="str">
        <f t="shared" si="51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48"/>
        <v>4752</v>
      </c>
      <c r="M799">
        <f t="shared" si="49"/>
        <v>-315</v>
      </c>
      <c r="N799">
        <f t="shared" si="50"/>
        <v>-125965</v>
      </c>
      <c r="O799" t="str">
        <f t="shared" si="51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48"/>
        <v>4752</v>
      </c>
      <c r="M800">
        <f t="shared" si="49"/>
        <v>-270</v>
      </c>
      <c r="N800">
        <f t="shared" si="50"/>
        <v>-105947</v>
      </c>
      <c r="O800" t="str">
        <f t="shared" si="51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48"/>
        <v>4752</v>
      </c>
      <c r="M801">
        <f t="shared" si="49"/>
        <v>-225</v>
      </c>
      <c r="N801">
        <f t="shared" si="50"/>
        <v>-85707</v>
      </c>
      <c r="O801" t="str">
        <f t="shared" si="51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48"/>
        <v>4752</v>
      </c>
      <c r="M802">
        <f t="shared" si="49"/>
        <v>-180</v>
      </c>
      <c r="N802">
        <f t="shared" si="50"/>
        <v>-65248.000000000007</v>
      </c>
      <c r="O802" t="str">
        <f t="shared" si="51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48"/>
        <v>4752</v>
      </c>
      <c r="M803">
        <f t="shared" si="49"/>
        <v>-135</v>
      </c>
      <c r="N803">
        <f t="shared" si="50"/>
        <v>-44567</v>
      </c>
      <c r="O803" t="str">
        <f t="shared" si="51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48"/>
        <v>4752</v>
      </c>
      <c r="M804">
        <f t="shared" si="49"/>
        <v>-90</v>
      </c>
      <c r="N804">
        <f t="shared" si="50"/>
        <v>-23666</v>
      </c>
      <c r="O804" t="str">
        <f t="shared" si="51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48"/>
        <v>4752</v>
      </c>
      <c r="M805">
        <f t="shared" si="49"/>
        <v>-45</v>
      </c>
      <c r="N805">
        <f t="shared" si="50"/>
        <v>-2545</v>
      </c>
      <c r="O805" t="str">
        <f t="shared" si="51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48"/>
        <v>4752</v>
      </c>
      <c r="M806">
        <f t="shared" si="49"/>
        <v>-9</v>
      </c>
      <c r="N806">
        <f t="shared" si="50"/>
        <v>0</v>
      </c>
      <c r="O806" t="str">
        <f t="shared" si="51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48"/>
        <v>4752</v>
      </c>
      <c r="M807">
        <f t="shared" si="49"/>
        <v>9</v>
      </c>
      <c r="N807">
        <f t="shared" si="50"/>
        <v>25076</v>
      </c>
      <c r="O807" t="str">
        <f t="shared" si="51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48"/>
        <v>4752</v>
      </c>
      <c r="M808">
        <f t="shared" si="49"/>
        <v>45</v>
      </c>
      <c r="N808">
        <f t="shared" si="50"/>
        <v>43891</v>
      </c>
      <c r="O808" t="str">
        <f t="shared" si="51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48"/>
        <v>4752</v>
      </c>
      <c r="M809">
        <f t="shared" si="49"/>
        <v>90</v>
      </c>
      <c r="N809">
        <f t="shared" si="50"/>
        <v>67626</v>
      </c>
      <c r="O809" t="str">
        <f t="shared" si="51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48"/>
        <v>4752</v>
      </c>
      <c r="M810">
        <f t="shared" si="49"/>
        <v>135</v>
      </c>
      <c r="N810">
        <f t="shared" si="50"/>
        <v>91599</v>
      </c>
      <c r="O810" t="str">
        <f t="shared" si="51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48"/>
        <v>4752</v>
      </c>
      <c r="M811">
        <f t="shared" si="49"/>
        <v>180</v>
      </c>
      <c r="N811">
        <f t="shared" si="50"/>
        <v>115812</v>
      </c>
      <c r="O811" t="str">
        <f t="shared" si="51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48"/>
        <v>4752</v>
      </c>
      <c r="M812">
        <f t="shared" si="49"/>
        <v>225</v>
      </c>
      <c r="N812">
        <f t="shared" si="50"/>
        <v>140265</v>
      </c>
      <c r="O812" t="str">
        <f t="shared" si="51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48"/>
        <v>4752</v>
      </c>
      <c r="M813">
        <f t="shared" si="49"/>
        <v>270</v>
      </c>
      <c r="N813">
        <f t="shared" si="50"/>
        <v>164956</v>
      </c>
      <c r="O813" t="str">
        <f t="shared" si="51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48"/>
        <v>4752</v>
      </c>
      <c r="M814">
        <f t="shared" si="49"/>
        <v>315</v>
      </c>
      <c r="N814">
        <f t="shared" si="50"/>
        <v>189888</v>
      </c>
      <c r="O814" t="str">
        <f t="shared" si="51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48"/>
        <v>4752</v>
      </c>
      <c r="M815">
        <f t="shared" si="49"/>
        <v>360</v>
      </c>
      <c r="N815">
        <f t="shared" si="50"/>
        <v>215058</v>
      </c>
      <c r="O815" t="str">
        <f t="shared" si="51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48"/>
        <v>4752</v>
      </c>
      <c r="M816">
        <f t="shared" si="49"/>
        <v>405</v>
      </c>
      <c r="N816">
        <f t="shared" si="50"/>
        <v>240468</v>
      </c>
      <c r="O816" t="str">
        <f t="shared" si="51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48"/>
        <v>4752</v>
      </c>
      <c r="M817">
        <f t="shared" si="49"/>
        <v>450</v>
      </c>
      <c r="N817">
        <f t="shared" si="50"/>
        <v>266118</v>
      </c>
      <c r="O817" t="str">
        <f t="shared" si="51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48"/>
        <v>4752</v>
      </c>
      <c r="M818">
        <f t="shared" si="49"/>
        <v>495</v>
      </c>
      <c r="N818">
        <f t="shared" si="50"/>
        <v>292006</v>
      </c>
      <c r="O818" t="str">
        <f t="shared" si="51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48"/>
        <v>4752</v>
      </c>
      <c r="M819">
        <f t="shared" si="49"/>
        <v>540</v>
      </c>
      <c r="N819">
        <f t="shared" si="50"/>
        <v>318134</v>
      </c>
      <c r="O819" t="str">
        <f t="shared" si="51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48"/>
        <v>4752</v>
      </c>
      <c r="M820">
        <f t="shared" si="49"/>
        <v>585</v>
      </c>
      <c r="N820">
        <f t="shared" si="50"/>
        <v>344502</v>
      </c>
      <c r="O820" t="str">
        <f t="shared" si="51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48"/>
        <v>4752</v>
      </c>
      <c r="M821">
        <f t="shared" si="49"/>
        <v>630</v>
      </c>
      <c r="N821">
        <f t="shared" si="50"/>
        <v>371109</v>
      </c>
      <c r="O821" t="str">
        <f t="shared" si="51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48"/>
        <v>4752</v>
      </c>
      <c r="M822">
        <f t="shared" si="49"/>
        <v>675</v>
      </c>
      <c r="N822">
        <f t="shared" si="50"/>
        <v>397955</v>
      </c>
      <c r="O822" t="str">
        <f t="shared" si="51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48"/>
        <v>4752</v>
      </c>
      <c r="M823">
        <f t="shared" si="49"/>
        <v>720</v>
      </c>
      <c r="N823">
        <f t="shared" si="50"/>
        <v>425041</v>
      </c>
      <c r="O823" t="str">
        <f t="shared" si="51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48"/>
        <v>4752</v>
      </c>
      <c r="M824">
        <f t="shared" si="49"/>
        <v>765</v>
      </c>
      <c r="N824">
        <f t="shared" si="50"/>
        <v>452366</v>
      </c>
      <c r="O824" t="str">
        <f t="shared" si="51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48"/>
        <v>4752</v>
      </c>
      <c r="M825">
        <f t="shared" si="49"/>
        <v>810</v>
      </c>
      <c r="N825">
        <f t="shared" si="50"/>
        <v>479930</v>
      </c>
      <c r="O825" t="str">
        <f t="shared" si="51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48"/>
        <v>4752</v>
      </c>
      <c r="M826">
        <f t="shared" si="49"/>
        <v>855</v>
      </c>
      <c r="N826">
        <f t="shared" si="50"/>
        <v>507734</v>
      </c>
      <c r="O826" t="str">
        <f t="shared" si="51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48"/>
        <v>4752</v>
      </c>
      <c r="M827">
        <f t="shared" si="49"/>
        <v>900</v>
      </c>
      <c r="N827">
        <f t="shared" si="50"/>
        <v>535777</v>
      </c>
      <c r="O827" t="str">
        <f t="shared" si="51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48"/>
        <v>4752</v>
      </c>
      <c r="M828">
        <f t="shared" si="49"/>
        <v>945</v>
      </c>
      <c r="N828">
        <f t="shared" si="50"/>
        <v>564060</v>
      </c>
      <c r="O828" t="str">
        <f t="shared" si="51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48"/>
        <v>4752</v>
      </c>
      <c r="M829">
        <f t="shared" si="49"/>
        <v>990</v>
      </c>
      <c r="N829">
        <f t="shared" si="50"/>
        <v>592582</v>
      </c>
      <c r="O829" t="str">
        <f t="shared" si="51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48"/>
        <v>5049</v>
      </c>
      <c r="M830">
        <f t="shared" si="49"/>
        <v>-990</v>
      </c>
      <c r="N830">
        <f t="shared" si="50"/>
        <v>-419645</v>
      </c>
      <c r="O830" t="str">
        <f t="shared" si="51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48"/>
        <v>5049</v>
      </c>
      <c r="M831">
        <f t="shared" si="49"/>
        <v>-945</v>
      </c>
      <c r="N831">
        <f t="shared" si="50"/>
        <v>-402167</v>
      </c>
      <c r="O831" t="str">
        <f t="shared" si="51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48"/>
        <v>5049</v>
      </c>
      <c r="M832">
        <f t="shared" si="49"/>
        <v>-900</v>
      </c>
      <c r="N832">
        <f t="shared" si="50"/>
        <v>-384442</v>
      </c>
      <c r="O832" t="str">
        <f t="shared" si="51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48"/>
        <v>5049</v>
      </c>
      <c r="M833">
        <f t="shared" si="49"/>
        <v>-855</v>
      </c>
      <c r="N833">
        <f t="shared" si="50"/>
        <v>-366469</v>
      </c>
      <c r="O833" t="str">
        <f t="shared" si="51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48"/>
        <v>5049</v>
      </c>
      <c r="M834">
        <f t="shared" si="49"/>
        <v>-810</v>
      </c>
      <c r="N834">
        <f t="shared" si="50"/>
        <v>-348249</v>
      </c>
      <c r="O834" t="str">
        <f t="shared" si="51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L898" si="52">A835</f>
        <v>5049</v>
      </c>
      <c r="M835">
        <f t="shared" ref="M835:M898" si="53">B835</f>
        <v>-765</v>
      </c>
      <c r="N835">
        <f t="shared" ref="N835:N898" si="54">C835*1000</f>
        <v>-329781</v>
      </c>
      <c r="O835" t="str">
        <f t="shared" ref="O835:O898" si="55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52"/>
        <v>5049</v>
      </c>
      <c r="M836">
        <f t="shared" si="53"/>
        <v>-720</v>
      </c>
      <c r="N836">
        <f t="shared" si="54"/>
        <v>-311067</v>
      </c>
      <c r="O836" t="str">
        <f t="shared" si="55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52"/>
        <v>5049</v>
      </c>
      <c r="M837">
        <f t="shared" si="53"/>
        <v>-675</v>
      </c>
      <c r="N837">
        <f t="shared" si="54"/>
        <v>-292105</v>
      </c>
      <c r="O837" t="str">
        <f t="shared" si="55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52"/>
        <v>5049</v>
      </c>
      <c r="M838">
        <f t="shared" si="53"/>
        <v>-630</v>
      </c>
      <c r="N838">
        <f t="shared" si="54"/>
        <v>-272895</v>
      </c>
      <c r="O838" t="str">
        <f t="shared" si="55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52"/>
        <v>5049</v>
      </c>
      <c r="M839">
        <f t="shared" si="53"/>
        <v>-585</v>
      </c>
      <c r="N839">
        <f t="shared" si="54"/>
        <v>-253438</v>
      </c>
      <c r="O839" t="str">
        <f t="shared" si="55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52"/>
        <v>5049</v>
      </c>
      <c r="M840">
        <f t="shared" si="53"/>
        <v>-540</v>
      </c>
      <c r="N840">
        <f t="shared" si="54"/>
        <v>-233734</v>
      </c>
      <c r="O840" t="str">
        <f t="shared" si="55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52"/>
        <v>5049</v>
      </c>
      <c r="M841">
        <f t="shared" si="53"/>
        <v>-495</v>
      </c>
      <c r="N841">
        <f t="shared" si="54"/>
        <v>-213783</v>
      </c>
      <c r="O841" t="str">
        <f t="shared" si="55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52"/>
        <v>5049</v>
      </c>
      <c r="M842">
        <f t="shared" si="53"/>
        <v>-450</v>
      </c>
      <c r="N842">
        <f t="shared" si="54"/>
        <v>-193584</v>
      </c>
      <c r="O842" t="str">
        <f t="shared" si="55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52"/>
        <v>5049</v>
      </c>
      <c r="M843">
        <f t="shared" si="53"/>
        <v>-405</v>
      </c>
      <c r="N843">
        <f t="shared" si="54"/>
        <v>-173138</v>
      </c>
      <c r="O843" t="str">
        <f t="shared" si="55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52"/>
        <v>5049</v>
      </c>
      <c r="M844">
        <f t="shared" si="53"/>
        <v>-360</v>
      </c>
      <c r="N844">
        <f t="shared" si="54"/>
        <v>-152444</v>
      </c>
      <c r="O844" t="str">
        <f t="shared" si="55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52"/>
        <v>5049</v>
      </c>
      <c r="M845">
        <f t="shared" si="53"/>
        <v>-315</v>
      </c>
      <c r="N845">
        <f t="shared" si="54"/>
        <v>-131503</v>
      </c>
      <c r="O845" t="str">
        <f t="shared" si="55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52"/>
        <v>5049</v>
      </c>
      <c r="M846">
        <f t="shared" si="53"/>
        <v>-270</v>
      </c>
      <c r="N846">
        <f t="shared" si="54"/>
        <v>-110315</v>
      </c>
      <c r="O846" t="str">
        <f t="shared" si="55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52"/>
        <v>5049</v>
      </c>
      <c r="M847">
        <f t="shared" si="53"/>
        <v>-225</v>
      </c>
      <c r="N847">
        <f t="shared" si="54"/>
        <v>-88879</v>
      </c>
      <c r="O847" t="str">
        <f t="shared" si="55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52"/>
        <v>5049</v>
      </c>
      <c r="M848">
        <f t="shared" si="53"/>
        <v>-180</v>
      </c>
      <c r="N848">
        <f t="shared" si="54"/>
        <v>-67196</v>
      </c>
      <c r="O848" t="str">
        <f t="shared" si="55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52"/>
        <v>5049</v>
      </c>
      <c r="M849">
        <f t="shared" si="53"/>
        <v>-135</v>
      </c>
      <c r="N849">
        <f t="shared" si="54"/>
        <v>-45266</v>
      </c>
      <c r="O849" t="str">
        <f t="shared" si="55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52"/>
        <v>5049</v>
      </c>
      <c r="M850">
        <f t="shared" si="53"/>
        <v>-90</v>
      </c>
      <c r="N850">
        <f t="shared" si="54"/>
        <v>-23088</v>
      </c>
      <c r="O850" t="str">
        <f t="shared" si="55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52"/>
        <v>5049</v>
      </c>
      <c r="M851">
        <f t="shared" si="53"/>
        <v>-45</v>
      </c>
      <c r="N851">
        <f t="shared" si="54"/>
        <v>-663</v>
      </c>
      <c r="O851" t="str">
        <f t="shared" si="55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52"/>
        <v>5049</v>
      </c>
      <c r="M852">
        <f t="shared" si="53"/>
        <v>-9</v>
      </c>
      <c r="N852">
        <f t="shared" si="54"/>
        <v>0</v>
      </c>
      <c r="O852" t="str">
        <f t="shared" si="55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52"/>
        <v>5049</v>
      </c>
      <c r="M853">
        <f t="shared" si="53"/>
        <v>9</v>
      </c>
      <c r="N853">
        <f t="shared" si="54"/>
        <v>28854</v>
      </c>
      <c r="O853" t="str">
        <f t="shared" si="55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52"/>
        <v>5049</v>
      </c>
      <c r="M854">
        <f t="shared" si="53"/>
        <v>45</v>
      </c>
      <c r="N854">
        <f t="shared" si="54"/>
        <v>48849</v>
      </c>
      <c r="O854" t="str">
        <f t="shared" si="55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52"/>
        <v>5049</v>
      </c>
      <c r="M855">
        <f t="shared" si="53"/>
        <v>90</v>
      </c>
      <c r="N855">
        <f t="shared" si="54"/>
        <v>74085</v>
      </c>
      <c r="O855" t="str">
        <f t="shared" si="55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52"/>
        <v>5049</v>
      </c>
      <c r="M856">
        <f t="shared" si="53"/>
        <v>135</v>
      </c>
      <c r="N856">
        <f t="shared" si="54"/>
        <v>99589</v>
      </c>
      <c r="O856" t="str">
        <f t="shared" si="55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52"/>
        <v>5049</v>
      </c>
      <c r="M857">
        <f t="shared" si="53"/>
        <v>180</v>
      </c>
      <c r="N857">
        <f t="shared" si="54"/>
        <v>125362</v>
      </c>
      <c r="O857" t="str">
        <f t="shared" si="55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52"/>
        <v>5049</v>
      </c>
      <c r="M858">
        <f t="shared" si="53"/>
        <v>225</v>
      </c>
      <c r="N858">
        <f t="shared" si="54"/>
        <v>151402</v>
      </c>
      <c r="O858" t="str">
        <f t="shared" si="55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52"/>
        <v>5049</v>
      </c>
      <c r="M859">
        <f t="shared" si="53"/>
        <v>270</v>
      </c>
      <c r="N859">
        <f t="shared" si="54"/>
        <v>177712</v>
      </c>
      <c r="O859" t="str">
        <f t="shared" si="55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52"/>
        <v>5049</v>
      </c>
      <c r="M860">
        <f t="shared" si="53"/>
        <v>315</v>
      </c>
      <c r="N860">
        <f t="shared" si="54"/>
        <v>204289</v>
      </c>
      <c r="O860" t="str">
        <f t="shared" si="55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52"/>
        <v>5049</v>
      </c>
      <c r="M861">
        <f t="shared" si="53"/>
        <v>360</v>
      </c>
      <c r="N861">
        <f t="shared" si="54"/>
        <v>231135</v>
      </c>
      <c r="O861" t="str">
        <f t="shared" si="55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52"/>
        <v>5049</v>
      </c>
      <c r="M862">
        <f t="shared" si="53"/>
        <v>405</v>
      </c>
      <c r="N862">
        <f t="shared" si="54"/>
        <v>258250</v>
      </c>
      <c r="O862" t="str">
        <f t="shared" si="55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52"/>
        <v>5049</v>
      </c>
      <c r="M863">
        <f t="shared" si="53"/>
        <v>450</v>
      </c>
      <c r="N863">
        <f t="shared" si="54"/>
        <v>285633</v>
      </c>
      <c r="O863" t="str">
        <f t="shared" si="55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52"/>
        <v>5049</v>
      </c>
      <c r="M864">
        <f t="shared" si="53"/>
        <v>495</v>
      </c>
      <c r="N864">
        <f t="shared" si="54"/>
        <v>313284</v>
      </c>
      <c r="O864" t="str">
        <f t="shared" si="55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52"/>
        <v>5049</v>
      </c>
      <c r="M865">
        <f t="shared" si="53"/>
        <v>540</v>
      </c>
      <c r="N865">
        <f t="shared" si="54"/>
        <v>341203</v>
      </c>
      <c r="O865" t="str">
        <f t="shared" si="55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52"/>
        <v>5049</v>
      </c>
      <c r="M866">
        <f t="shared" si="53"/>
        <v>585</v>
      </c>
      <c r="N866">
        <f t="shared" si="54"/>
        <v>369392</v>
      </c>
      <c r="O866" t="str">
        <f t="shared" si="55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52"/>
        <v>5049</v>
      </c>
      <c r="M867">
        <f t="shared" si="53"/>
        <v>630</v>
      </c>
      <c r="N867">
        <f t="shared" si="54"/>
        <v>397848</v>
      </c>
      <c r="O867" t="str">
        <f t="shared" si="55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52"/>
        <v>5049</v>
      </c>
      <c r="M868">
        <f t="shared" si="53"/>
        <v>675</v>
      </c>
      <c r="N868">
        <f t="shared" si="54"/>
        <v>426573</v>
      </c>
      <c r="O868" t="str">
        <f t="shared" si="55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52"/>
        <v>5049</v>
      </c>
      <c r="M869">
        <f t="shared" si="53"/>
        <v>720</v>
      </c>
      <c r="N869">
        <f t="shared" si="54"/>
        <v>455566</v>
      </c>
      <c r="O869" t="str">
        <f t="shared" si="55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52"/>
        <v>5049</v>
      </c>
      <c r="M870">
        <f t="shared" si="53"/>
        <v>765</v>
      </c>
      <c r="N870">
        <f t="shared" si="54"/>
        <v>484828</v>
      </c>
      <c r="O870" t="str">
        <f t="shared" si="55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52"/>
        <v>5049</v>
      </c>
      <c r="M871">
        <f t="shared" si="53"/>
        <v>810</v>
      </c>
      <c r="N871">
        <f t="shared" si="54"/>
        <v>514357.99999999994</v>
      </c>
      <c r="O871" t="str">
        <f t="shared" si="55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52"/>
        <v>5049</v>
      </c>
      <c r="M872">
        <f t="shared" si="53"/>
        <v>855</v>
      </c>
      <c r="N872">
        <f t="shared" si="54"/>
        <v>544156</v>
      </c>
      <c r="O872" t="str">
        <f t="shared" si="55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52"/>
        <v>5049</v>
      </c>
      <c r="M873">
        <f t="shared" si="53"/>
        <v>900</v>
      </c>
      <c r="N873">
        <f t="shared" si="54"/>
        <v>574223</v>
      </c>
      <c r="O873" t="str">
        <f t="shared" si="55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52"/>
        <v>5049</v>
      </c>
      <c r="M874">
        <f t="shared" si="53"/>
        <v>945</v>
      </c>
      <c r="N874">
        <f t="shared" si="54"/>
        <v>604558</v>
      </c>
      <c r="O874" t="str">
        <f t="shared" si="55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52"/>
        <v>5049</v>
      </c>
      <c r="M875">
        <f t="shared" si="53"/>
        <v>990</v>
      </c>
      <c r="N875">
        <f t="shared" si="54"/>
        <v>635162</v>
      </c>
      <c r="O875" t="str">
        <f t="shared" si="55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52"/>
        <v>5346</v>
      </c>
      <c r="M876">
        <f t="shared" si="53"/>
        <v>-990</v>
      </c>
      <c r="N876">
        <f t="shared" si="54"/>
        <v>-438775</v>
      </c>
      <c r="O876" t="str">
        <f t="shared" si="55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52"/>
        <v>5346</v>
      </c>
      <c r="M877">
        <f t="shared" si="53"/>
        <v>-945</v>
      </c>
      <c r="N877">
        <f t="shared" si="54"/>
        <v>-420563</v>
      </c>
      <c r="O877" t="str">
        <f t="shared" si="55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52"/>
        <v>5346</v>
      </c>
      <c r="M878">
        <f t="shared" si="53"/>
        <v>-900</v>
      </c>
      <c r="N878">
        <f t="shared" si="54"/>
        <v>-402076</v>
      </c>
      <c r="O878" t="str">
        <f t="shared" si="55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52"/>
        <v>5346</v>
      </c>
      <c r="M879">
        <f t="shared" si="53"/>
        <v>-855</v>
      </c>
      <c r="N879">
        <f t="shared" si="54"/>
        <v>-383312</v>
      </c>
      <c r="O879" t="str">
        <f t="shared" si="55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52"/>
        <v>5346</v>
      </c>
      <c r="M880">
        <f t="shared" si="53"/>
        <v>-810</v>
      </c>
      <c r="N880">
        <f t="shared" si="54"/>
        <v>-364273</v>
      </c>
      <c r="O880" t="str">
        <f t="shared" si="55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52"/>
        <v>5346</v>
      </c>
      <c r="M881">
        <f t="shared" si="53"/>
        <v>-765</v>
      </c>
      <c r="N881">
        <f t="shared" si="54"/>
        <v>-344958</v>
      </c>
      <c r="O881" t="str">
        <f t="shared" si="55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52"/>
        <v>5346</v>
      </c>
      <c r="M882">
        <f t="shared" si="53"/>
        <v>-720</v>
      </c>
      <c r="N882">
        <f t="shared" si="54"/>
        <v>-325367</v>
      </c>
      <c r="O882" t="str">
        <f t="shared" si="55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52"/>
        <v>5346</v>
      </c>
      <c r="M883">
        <f t="shared" si="53"/>
        <v>-675</v>
      </c>
      <c r="N883">
        <f t="shared" si="54"/>
        <v>-305501</v>
      </c>
      <c r="O883" t="str">
        <f t="shared" si="55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52"/>
        <v>5346</v>
      </c>
      <c r="M884">
        <f t="shared" si="53"/>
        <v>-630</v>
      </c>
      <c r="N884">
        <f t="shared" si="54"/>
        <v>-285359</v>
      </c>
      <c r="O884" t="str">
        <f t="shared" si="55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52"/>
        <v>5346</v>
      </c>
      <c r="M885">
        <f t="shared" si="53"/>
        <v>-585</v>
      </c>
      <c r="N885">
        <f t="shared" si="54"/>
        <v>-264941</v>
      </c>
      <c r="O885" t="str">
        <f t="shared" si="55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52"/>
        <v>5346</v>
      </c>
      <c r="M886">
        <f t="shared" si="53"/>
        <v>-540</v>
      </c>
      <c r="N886">
        <f t="shared" si="54"/>
        <v>-244248</v>
      </c>
      <c r="O886" t="str">
        <f t="shared" si="55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52"/>
        <v>5346</v>
      </c>
      <c r="M887">
        <f t="shared" si="53"/>
        <v>-495</v>
      </c>
      <c r="N887">
        <f t="shared" si="54"/>
        <v>-223279</v>
      </c>
      <c r="O887" t="str">
        <f t="shared" si="55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52"/>
        <v>5346</v>
      </c>
      <c r="M888">
        <f t="shared" si="53"/>
        <v>-450</v>
      </c>
      <c r="N888">
        <f t="shared" si="54"/>
        <v>-202034</v>
      </c>
      <c r="O888" t="str">
        <f t="shared" si="55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52"/>
        <v>5346</v>
      </c>
      <c r="M889">
        <f t="shared" si="53"/>
        <v>-405</v>
      </c>
      <c r="N889">
        <f t="shared" si="54"/>
        <v>-180514</v>
      </c>
      <c r="O889" t="str">
        <f t="shared" si="55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52"/>
        <v>5346</v>
      </c>
      <c r="M890">
        <f t="shared" si="53"/>
        <v>-360</v>
      </c>
      <c r="N890">
        <f t="shared" si="54"/>
        <v>-158717</v>
      </c>
      <c r="O890" t="str">
        <f t="shared" si="55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52"/>
        <v>5346</v>
      </c>
      <c r="M891">
        <f t="shared" si="53"/>
        <v>-315</v>
      </c>
      <c r="N891">
        <f t="shared" si="54"/>
        <v>-136645</v>
      </c>
      <c r="O891" t="str">
        <f t="shared" si="55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52"/>
        <v>5346</v>
      </c>
      <c r="M892">
        <f t="shared" si="53"/>
        <v>-270</v>
      </c>
      <c r="N892">
        <f t="shared" si="54"/>
        <v>-114298</v>
      </c>
      <c r="O892" t="str">
        <f t="shared" si="55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52"/>
        <v>5346</v>
      </c>
      <c r="M893">
        <f t="shared" si="53"/>
        <v>-225</v>
      </c>
      <c r="N893">
        <f t="shared" si="54"/>
        <v>-91675</v>
      </c>
      <c r="O893" t="str">
        <f t="shared" si="55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52"/>
        <v>5346</v>
      </c>
      <c r="M894">
        <f t="shared" si="53"/>
        <v>-180</v>
      </c>
      <c r="N894">
        <f t="shared" si="54"/>
        <v>-68775</v>
      </c>
      <c r="O894" t="str">
        <f t="shared" si="55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52"/>
        <v>5346</v>
      </c>
      <c r="M895">
        <f t="shared" si="53"/>
        <v>-135</v>
      </c>
      <c r="N895">
        <f t="shared" si="54"/>
        <v>-45601</v>
      </c>
      <c r="O895" t="str">
        <f t="shared" si="55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52"/>
        <v>5346</v>
      </c>
      <c r="M896">
        <f t="shared" si="53"/>
        <v>-90</v>
      </c>
      <c r="N896">
        <f t="shared" si="54"/>
        <v>-22150</v>
      </c>
      <c r="O896" t="str">
        <f t="shared" si="55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52"/>
        <v>5346</v>
      </c>
      <c r="M897">
        <f t="shared" si="53"/>
        <v>-45</v>
      </c>
      <c r="N897">
        <f t="shared" si="54"/>
        <v>0</v>
      </c>
      <c r="O897" t="str">
        <f t="shared" si="55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52"/>
        <v>5346</v>
      </c>
      <c r="M898">
        <f t="shared" si="53"/>
        <v>-9</v>
      </c>
      <c r="N898">
        <f t="shared" si="54"/>
        <v>0</v>
      </c>
      <c r="O898" t="str">
        <f t="shared" si="55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L962" si="56">A899</f>
        <v>5346</v>
      </c>
      <c r="M899">
        <f t="shared" ref="M899:M962" si="57">B899</f>
        <v>9</v>
      </c>
      <c r="N899">
        <f t="shared" ref="N899:N962" si="58">C899*1000</f>
        <v>33018</v>
      </c>
      <c r="O899" t="str">
        <f t="shared" ref="O899:O962" si="59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56"/>
        <v>5346</v>
      </c>
      <c r="M900">
        <f t="shared" si="57"/>
        <v>45</v>
      </c>
      <c r="N900">
        <f t="shared" si="58"/>
        <v>54194</v>
      </c>
      <c r="O900" t="str">
        <f t="shared" si="59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56"/>
        <v>5346</v>
      </c>
      <c r="M901">
        <f t="shared" si="57"/>
        <v>90</v>
      </c>
      <c r="N901">
        <f t="shared" si="58"/>
        <v>80934</v>
      </c>
      <c r="O901" t="str">
        <f t="shared" si="59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56"/>
        <v>5346</v>
      </c>
      <c r="M902">
        <f t="shared" si="57"/>
        <v>135</v>
      </c>
      <c r="N902">
        <f t="shared" si="58"/>
        <v>107973</v>
      </c>
      <c r="O902" t="str">
        <f t="shared" si="59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56"/>
        <v>5346</v>
      </c>
      <c r="M903">
        <f t="shared" si="57"/>
        <v>180</v>
      </c>
      <c r="N903">
        <f t="shared" si="58"/>
        <v>135311</v>
      </c>
      <c r="O903" t="str">
        <f t="shared" si="59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56"/>
        <v>5346</v>
      </c>
      <c r="M904">
        <f t="shared" si="57"/>
        <v>225</v>
      </c>
      <c r="N904">
        <f t="shared" si="58"/>
        <v>162948</v>
      </c>
      <c r="O904" t="str">
        <f t="shared" si="59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56"/>
        <v>5346</v>
      </c>
      <c r="M905">
        <f t="shared" si="57"/>
        <v>270</v>
      </c>
      <c r="N905">
        <f t="shared" si="58"/>
        <v>190884</v>
      </c>
      <c r="O905" t="str">
        <f t="shared" si="59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56"/>
        <v>5346</v>
      </c>
      <c r="M906">
        <f t="shared" si="57"/>
        <v>315</v>
      </c>
      <c r="N906">
        <f t="shared" si="58"/>
        <v>219120</v>
      </c>
      <c r="O906" t="str">
        <f t="shared" si="59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56"/>
        <v>5346</v>
      </c>
      <c r="M907">
        <f t="shared" si="57"/>
        <v>360</v>
      </c>
      <c r="N907">
        <f t="shared" si="58"/>
        <v>247654</v>
      </c>
      <c r="O907" t="str">
        <f t="shared" si="59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56"/>
        <v>5346</v>
      </c>
      <c r="M908">
        <f t="shared" si="57"/>
        <v>405</v>
      </c>
      <c r="N908">
        <f t="shared" si="58"/>
        <v>276488</v>
      </c>
      <c r="O908" t="str">
        <f t="shared" si="59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56"/>
        <v>5346</v>
      </c>
      <c r="M909">
        <f t="shared" si="57"/>
        <v>450</v>
      </c>
      <c r="N909">
        <f t="shared" si="58"/>
        <v>305621</v>
      </c>
      <c r="O909" t="str">
        <f t="shared" si="59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56"/>
        <v>5346</v>
      </c>
      <c r="M910">
        <f t="shared" si="57"/>
        <v>495</v>
      </c>
      <c r="N910">
        <f t="shared" si="58"/>
        <v>335053</v>
      </c>
      <c r="O910" t="str">
        <f t="shared" si="59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56"/>
        <v>5346</v>
      </c>
      <c r="M911">
        <f t="shared" si="57"/>
        <v>540</v>
      </c>
      <c r="N911">
        <f t="shared" si="58"/>
        <v>364785</v>
      </c>
      <c r="O911" t="str">
        <f t="shared" si="59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56"/>
        <v>5346</v>
      </c>
      <c r="M912">
        <f t="shared" si="57"/>
        <v>585</v>
      </c>
      <c r="N912">
        <f t="shared" si="58"/>
        <v>394815</v>
      </c>
      <c r="O912" t="str">
        <f t="shared" si="59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56"/>
        <v>5346</v>
      </c>
      <c r="M913">
        <f t="shared" si="57"/>
        <v>630</v>
      </c>
      <c r="N913">
        <f t="shared" si="58"/>
        <v>425145</v>
      </c>
      <c r="O913" t="str">
        <f t="shared" si="59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56"/>
        <v>5346</v>
      </c>
      <c r="M914">
        <f t="shared" si="57"/>
        <v>675</v>
      </c>
      <c r="N914">
        <f t="shared" si="58"/>
        <v>455774</v>
      </c>
      <c r="O914" t="str">
        <f t="shared" si="59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56"/>
        <v>5346</v>
      </c>
      <c r="M915">
        <f t="shared" si="57"/>
        <v>720</v>
      </c>
      <c r="N915">
        <f t="shared" si="58"/>
        <v>486701</v>
      </c>
      <c r="O915" t="str">
        <f t="shared" si="59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56"/>
        <v>5346</v>
      </c>
      <c r="M916">
        <f t="shared" si="57"/>
        <v>765</v>
      </c>
      <c r="N916">
        <f t="shared" si="58"/>
        <v>517929</v>
      </c>
      <c r="O916" t="str">
        <f t="shared" si="59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56"/>
        <v>5346</v>
      </c>
      <c r="M917">
        <f t="shared" si="57"/>
        <v>810</v>
      </c>
      <c r="N917">
        <f t="shared" si="58"/>
        <v>549455</v>
      </c>
      <c r="O917" t="str">
        <f t="shared" si="59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56"/>
        <v>5346</v>
      </c>
      <c r="M918">
        <f t="shared" si="57"/>
        <v>855</v>
      </c>
      <c r="N918">
        <f t="shared" si="58"/>
        <v>581280</v>
      </c>
      <c r="O918" t="str">
        <f t="shared" si="59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56"/>
        <v>5346</v>
      </c>
      <c r="M919">
        <f t="shared" si="57"/>
        <v>900</v>
      </c>
      <c r="N919">
        <f t="shared" si="58"/>
        <v>613405</v>
      </c>
      <c r="O919" t="str">
        <f t="shared" si="59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56"/>
        <v>5346</v>
      </c>
      <c r="M920">
        <f t="shared" si="57"/>
        <v>945</v>
      </c>
      <c r="N920">
        <f t="shared" si="58"/>
        <v>645829</v>
      </c>
      <c r="O920" t="str">
        <f t="shared" si="59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56"/>
        <v>5346</v>
      </c>
      <c r="M921">
        <f t="shared" si="57"/>
        <v>990</v>
      </c>
      <c r="N921">
        <f t="shared" si="58"/>
        <v>678551</v>
      </c>
      <c r="O921" t="str">
        <f t="shared" si="59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56"/>
        <v>5643</v>
      </c>
      <c r="M922">
        <f t="shared" si="57"/>
        <v>-990</v>
      </c>
      <c r="N922">
        <f t="shared" si="58"/>
        <v>-457140</v>
      </c>
      <c r="O922" t="str">
        <f t="shared" si="59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56"/>
        <v>5643</v>
      </c>
      <c r="M923">
        <f t="shared" si="57"/>
        <v>-945</v>
      </c>
      <c r="N923">
        <f t="shared" si="58"/>
        <v>-438229</v>
      </c>
      <c r="O923" t="str">
        <f t="shared" si="59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56"/>
        <v>5643</v>
      </c>
      <c r="M924">
        <f t="shared" si="57"/>
        <v>-900</v>
      </c>
      <c r="N924">
        <f t="shared" si="58"/>
        <v>-419012</v>
      </c>
      <c r="O924" t="str">
        <f t="shared" si="59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56"/>
        <v>5643</v>
      </c>
      <c r="M925">
        <f t="shared" si="57"/>
        <v>-855</v>
      </c>
      <c r="N925">
        <f t="shared" si="58"/>
        <v>-399489</v>
      </c>
      <c r="O925" t="str">
        <f t="shared" si="59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56"/>
        <v>5643</v>
      </c>
      <c r="M926">
        <f t="shared" si="57"/>
        <v>-810</v>
      </c>
      <c r="N926">
        <f t="shared" si="58"/>
        <v>-379661</v>
      </c>
      <c r="O926" t="str">
        <f t="shared" si="59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56"/>
        <v>5643</v>
      </c>
      <c r="M927">
        <f t="shared" si="57"/>
        <v>-765</v>
      </c>
      <c r="N927">
        <f t="shared" si="58"/>
        <v>-359526</v>
      </c>
      <c r="O927" t="str">
        <f t="shared" si="59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56"/>
        <v>5643</v>
      </c>
      <c r="M928">
        <f t="shared" si="57"/>
        <v>-720</v>
      </c>
      <c r="N928">
        <f t="shared" si="58"/>
        <v>-339087</v>
      </c>
      <c r="O928" t="str">
        <f t="shared" si="59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56"/>
        <v>5643</v>
      </c>
      <c r="M929">
        <f t="shared" si="57"/>
        <v>-675</v>
      </c>
      <c r="N929">
        <f t="shared" si="58"/>
        <v>-318341</v>
      </c>
      <c r="O929" t="str">
        <f t="shared" si="59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56"/>
        <v>5643</v>
      </c>
      <c r="M930">
        <f t="shared" si="57"/>
        <v>-630</v>
      </c>
      <c r="N930">
        <f t="shared" si="58"/>
        <v>-297290</v>
      </c>
      <c r="O930" t="str">
        <f t="shared" si="59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56"/>
        <v>5643</v>
      </c>
      <c r="M931">
        <f t="shared" si="57"/>
        <v>-585</v>
      </c>
      <c r="N931">
        <f t="shared" si="58"/>
        <v>-275933</v>
      </c>
      <c r="O931" t="str">
        <f t="shared" si="59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56"/>
        <v>5643</v>
      </c>
      <c r="M932">
        <f t="shared" si="57"/>
        <v>-540</v>
      </c>
      <c r="N932">
        <f t="shared" si="58"/>
        <v>-254271</v>
      </c>
      <c r="O932" t="str">
        <f t="shared" si="59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56"/>
        <v>5643</v>
      </c>
      <c r="M933">
        <f t="shared" si="57"/>
        <v>-495</v>
      </c>
      <c r="N933">
        <f t="shared" si="58"/>
        <v>-232303</v>
      </c>
      <c r="O933" t="str">
        <f t="shared" si="59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56"/>
        <v>5643</v>
      </c>
      <c r="M934">
        <f t="shared" si="57"/>
        <v>-450</v>
      </c>
      <c r="N934">
        <f t="shared" si="58"/>
        <v>-210029</v>
      </c>
      <c r="O934" t="str">
        <f t="shared" si="59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56"/>
        <v>5643</v>
      </c>
      <c r="M935">
        <f t="shared" si="57"/>
        <v>-405</v>
      </c>
      <c r="N935">
        <f t="shared" si="58"/>
        <v>-187449</v>
      </c>
      <c r="O935" t="str">
        <f t="shared" si="59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56"/>
        <v>5643</v>
      </c>
      <c r="M936">
        <f t="shared" si="57"/>
        <v>-360</v>
      </c>
      <c r="N936">
        <f t="shared" si="58"/>
        <v>-164564</v>
      </c>
      <c r="O936" t="str">
        <f t="shared" si="59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56"/>
        <v>5643</v>
      </c>
      <c r="M937">
        <f t="shared" si="57"/>
        <v>-315</v>
      </c>
      <c r="N937">
        <f t="shared" si="58"/>
        <v>-141373</v>
      </c>
      <c r="O937" t="str">
        <f t="shared" si="59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56"/>
        <v>5643</v>
      </c>
      <c r="M938">
        <f t="shared" si="57"/>
        <v>-270</v>
      </c>
      <c r="N938">
        <f t="shared" si="58"/>
        <v>-117877</v>
      </c>
      <c r="O938" t="str">
        <f t="shared" si="59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56"/>
        <v>5643</v>
      </c>
      <c r="M939">
        <f t="shared" si="57"/>
        <v>-225</v>
      </c>
      <c r="N939">
        <f t="shared" si="58"/>
        <v>-94075</v>
      </c>
      <c r="O939" t="str">
        <f t="shared" si="59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56"/>
        <v>5643</v>
      </c>
      <c r="M940">
        <f t="shared" si="57"/>
        <v>-180</v>
      </c>
      <c r="N940">
        <f t="shared" si="58"/>
        <v>-69967</v>
      </c>
      <c r="O940" t="str">
        <f t="shared" si="59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56"/>
        <v>5643</v>
      </c>
      <c r="M941">
        <f t="shared" si="57"/>
        <v>-135</v>
      </c>
      <c r="N941">
        <f t="shared" si="58"/>
        <v>-45553</v>
      </c>
      <c r="O941" t="str">
        <f t="shared" si="59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56"/>
        <v>5643</v>
      </c>
      <c r="M942">
        <f t="shared" si="57"/>
        <v>-90</v>
      </c>
      <c r="N942">
        <f t="shared" si="58"/>
        <v>-20834</v>
      </c>
      <c r="O942" t="str">
        <f t="shared" si="59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56"/>
        <v>5643</v>
      </c>
      <c r="M943">
        <f t="shared" si="57"/>
        <v>-45</v>
      </c>
      <c r="N943">
        <f t="shared" si="58"/>
        <v>0</v>
      </c>
      <c r="O943" t="str">
        <f t="shared" si="59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56"/>
        <v>5643</v>
      </c>
      <c r="M944">
        <f t="shared" si="57"/>
        <v>-9</v>
      </c>
      <c r="N944">
        <f t="shared" si="58"/>
        <v>0</v>
      </c>
      <c r="O944" t="str">
        <f t="shared" si="59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56"/>
        <v>5643</v>
      </c>
      <c r="M945">
        <f t="shared" si="57"/>
        <v>9</v>
      </c>
      <c r="N945">
        <f t="shared" si="58"/>
        <v>37589</v>
      </c>
      <c r="O945" t="str">
        <f t="shared" si="59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56"/>
        <v>5643</v>
      </c>
      <c r="M946">
        <f t="shared" si="57"/>
        <v>45</v>
      </c>
      <c r="N946">
        <f t="shared" si="58"/>
        <v>59947</v>
      </c>
      <c r="O946" t="str">
        <f t="shared" si="59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56"/>
        <v>5643</v>
      </c>
      <c r="M947">
        <f t="shared" si="57"/>
        <v>90</v>
      </c>
      <c r="N947">
        <f t="shared" si="58"/>
        <v>88193</v>
      </c>
      <c r="O947" t="str">
        <f t="shared" si="59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56"/>
        <v>5643</v>
      </c>
      <c r="M948">
        <f t="shared" si="57"/>
        <v>135</v>
      </c>
      <c r="N948">
        <f t="shared" si="58"/>
        <v>116771</v>
      </c>
      <c r="O948" t="str">
        <f t="shared" si="59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56"/>
        <v>5643</v>
      </c>
      <c r="M949">
        <f t="shared" si="57"/>
        <v>180</v>
      </c>
      <c r="N949">
        <f t="shared" si="58"/>
        <v>145681</v>
      </c>
      <c r="O949" t="str">
        <f t="shared" si="59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56"/>
        <v>5643</v>
      </c>
      <c r="M950">
        <f t="shared" si="57"/>
        <v>225</v>
      </c>
      <c r="N950">
        <f t="shared" si="58"/>
        <v>174922</v>
      </c>
      <c r="O950" t="str">
        <f t="shared" si="59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56"/>
        <v>5643</v>
      </c>
      <c r="M951">
        <f t="shared" si="57"/>
        <v>270</v>
      </c>
      <c r="N951">
        <f t="shared" si="58"/>
        <v>204495</v>
      </c>
      <c r="O951" t="str">
        <f t="shared" si="59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56"/>
        <v>5643</v>
      </c>
      <c r="M952">
        <f t="shared" si="57"/>
        <v>315</v>
      </c>
      <c r="N952">
        <f t="shared" si="58"/>
        <v>234400</v>
      </c>
      <c r="O952" t="str">
        <f t="shared" si="59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56"/>
        <v>5643</v>
      </c>
      <c r="M953">
        <f t="shared" si="57"/>
        <v>360</v>
      </c>
      <c r="N953">
        <f t="shared" si="58"/>
        <v>264637</v>
      </c>
      <c r="O953" t="str">
        <f t="shared" si="59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56"/>
        <v>5643</v>
      </c>
      <c r="M954">
        <f t="shared" si="57"/>
        <v>405</v>
      </c>
      <c r="N954">
        <f t="shared" si="58"/>
        <v>295205</v>
      </c>
      <c r="O954" t="str">
        <f t="shared" si="59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56"/>
        <v>5643</v>
      </c>
      <c r="M955">
        <f t="shared" si="57"/>
        <v>450</v>
      </c>
      <c r="N955">
        <f t="shared" si="58"/>
        <v>326104</v>
      </c>
      <c r="O955" t="str">
        <f t="shared" si="59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56"/>
        <v>5643</v>
      </c>
      <c r="M956">
        <f t="shared" si="57"/>
        <v>495</v>
      </c>
      <c r="N956">
        <f t="shared" si="58"/>
        <v>357336</v>
      </c>
      <c r="O956" t="str">
        <f t="shared" si="59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56"/>
        <v>5643</v>
      </c>
      <c r="M957">
        <f t="shared" si="57"/>
        <v>540</v>
      </c>
      <c r="N957">
        <f t="shared" si="58"/>
        <v>388899</v>
      </c>
      <c r="O957" t="str">
        <f t="shared" si="59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56"/>
        <v>5643</v>
      </c>
      <c r="M958">
        <f t="shared" si="57"/>
        <v>585</v>
      </c>
      <c r="N958">
        <f t="shared" si="58"/>
        <v>420794</v>
      </c>
      <c r="O958" t="str">
        <f t="shared" si="59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56"/>
        <v>5643</v>
      </c>
      <c r="M959">
        <f t="shared" si="57"/>
        <v>630</v>
      </c>
      <c r="N959">
        <f t="shared" si="58"/>
        <v>453020</v>
      </c>
      <c r="O959" t="str">
        <f t="shared" si="59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56"/>
        <v>5643</v>
      </c>
      <c r="M960">
        <f t="shared" si="57"/>
        <v>675</v>
      </c>
      <c r="N960">
        <f t="shared" si="58"/>
        <v>485578</v>
      </c>
      <c r="O960" t="str">
        <f t="shared" si="59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56"/>
        <v>5643</v>
      </c>
      <c r="M961">
        <f t="shared" si="57"/>
        <v>720</v>
      </c>
      <c r="N961">
        <f t="shared" si="58"/>
        <v>518467.99999999994</v>
      </c>
      <c r="O961" t="str">
        <f t="shared" si="59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56"/>
        <v>5643</v>
      </c>
      <c r="M962">
        <f t="shared" si="57"/>
        <v>765</v>
      </c>
      <c r="N962">
        <f t="shared" si="58"/>
        <v>551689</v>
      </c>
      <c r="O962" t="str">
        <f t="shared" si="59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L1013" si="60">A963</f>
        <v>5643</v>
      </c>
      <c r="M963">
        <f t="shared" ref="M963:M1013" si="61">B963</f>
        <v>810</v>
      </c>
      <c r="N963">
        <f t="shared" ref="N963:N1013" si="62">C963*1000</f>
        <v>585242</v>
      </c>
      <c r="O963" t="str">
        <f t="shared" ref="O963:O1013" si="63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60"/>
        <v>5643</v>
      </c>
      <c r="M964">
        <f t="shared" si="61"/>
        <v>855</v>
      </c>
      <c r="N964">
        <f t="shared" si="62"/>
        <v>619127</v>
      </c>
      <c r="O964" t="str">
        <f t="shared" si="63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60"/>
        <v>5643</v>
      </c>
      <c r="M965">
        <f t="shared" si="61"/>
        <v>900</v>
      </c>
      <c r="N965">
        <f t="shared" si="62"/>
        <v>653344</v>
      </c>
      <c r="O965" t="str">
        <f t="shared" si="63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60"/>
        <v>5643</v>
      </c>
      <c r="M966">
        <f t="shared" si="61"/>
        <v>945</v>
      </c>
      <c r="N966">
        <f t="shared" si="62"/>
        <v>687892</v>
      </c>
      <c r="O966" t="str">
        <f t="shared" si="63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60"/>
        <v>5643</v>
      </c>
      <c r="M967">
        <f t="shared" si="61"/>
        <v>990</v>
      </c>
      <c r="N967">
        <f t="shared" si="62"/>
        <v>722771</v>
      </c>
      <c r="O967" t="str">
        <f t="shared" si="63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60"/>
        <v>5940</v>
      </c>
      <c r="M968">
        <f t="shared" si="61"/>
        <v>-990</v>
      </c>
      <c r="N968">
        <f t="shared" si="62"/>
        <v>-474721</v>
      </c>
      <c r="O968" t="str">
        <f t="shared" si="63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60"/>
        <v>5940</v>
      </c>
      <c r="M969">
        <f t="shared" si="61"/>
        <v>-945</v>
      </c>
      <c r="N969">
        <f t="shared" si="62"/>
        <v>-455145</v>
      </c>
      <c r="O969" t="str">
        <f t="shared" si="63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60"/>
        <v>5940</v>
      </c>
      <c r="M970">
        <f t="shared" si="61"/>
        <v>-900</v>
      </c>
      <c r="N970">
        <f t="shared" si="62"/>
        <v>-435231</v>
      </c>
      <c r="O970" t="str">
        <f t="shared" si="63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60"/>
        <v>5940</v>
      </c>
      <c r="M971">
        <f t="shared" si="61"/>
        <v>-855</v>
      </c>
      <c r="N971">
        <f t="shared" si="62"/>
        <v>-414980</v>
      </c>
      <c r="O971" t="str">
        <f t="shared" si="63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60"/>
        <v>5940</v>
      </c>
      <c r="M972">
        <f t="shared" si="61"/>
        <v>-810</v>
      </c>
      <c r="N972">
        <f t="shared" si="62"/>
        <v>-394393</v>
      </c>
      <c r="O972" t="str">
        <f t="shared" si="63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60"/>
        <v>5940</v>
      </c>
      <c r="M973">
        <f t="shared" si="61"/>
        <v>-765</v>
      </c>
      <c r="N973">
        <f t="shared" si="62"/>
        <v>-373467</v>
      </c>
      <c r="O973" t="str">
        <f t="shared" si="63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60"/>
        <v>5940</v>
      </c>
      <c r="M974">
        <f t="shared" si="61"/>
        <v>-720</v>
      </c>
      <c r="N974">
        <f t="shared" si="62"/>
        <v>-352205</v>
      </c>
      <c r="O974" t="str">
        <f t="shared" si="63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60"/>
        <v>5940</v>
      </c>
      <c r="M975">
        <f t="shared" si="61"/>
        <v>-675</v>
      </c>
      <c r="N975">
        <f t="shared" si="62"/>
        <v>-330605</v>
      </c>
      <c r="O975" t="str">
        <f t="shared" si="63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60"/>
        <v>5940</v>
      </c>
      <c r="M976">
        <f t="shared" si="61"/>
        <v>-630</v>
      </c>
      <c r="N976">
        <f t="shared" si="62"/>
        <v>-308668</v>
      </c>
      <c r="O976" t="str">
        <f t="shared" si="63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60"/>
        <v>5940</v>
      </c>
      <c r="M977">
        <f t="shared" si="61"/>
        <v>-585</v>
      </c>
      <c r="N977">
        <f t="shared" si="62"/>
        <v>-286394</v>
      </c>
      <c r="O977" t="str">
        <f t="shared" si="63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60"/>
        <v>5940</v>
      </c>
      <c r="M978">
        <f t="shared" si="61"/>
        <v>-540</v>
      </c>
      <c r="N978">
        <f t="shared" si="62"/>
        <v>-263783</v>
      </c>
      <c r="O978" t="str">
        <f t="shared" si="63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60"/>
        <v>5940</v>
      </c>
      <c r="M979">
        <f t="shared" si="61"/>
        <v>-495</v>
      </c>
      <c r="N979">
        <f t="shared" si="62"/>
        <v>-240834</v>
      </c>
      <c r="O979" t="str">
        <f t="shared" si="63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60"/>
        <v>5940</v>
      </c>
      <c r="M980">
        <f t="shared" si="61"/>
        <v>-450</v>
      </c>
      <c r="N980">
        <f t="shared" si="62"/>
        <v>-217548</v>
      </c>
      <c r="O980" t="str">
        <f t="shared" si="63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60"/>
        <v>5940</v>
      </c>
      <c r="M981">
        <f t="shared" si="61"/>
        <v>-405</v>
      </c>
      <c r="N981">
        <f t="shared" si="62"/>
        <v>-193925</v>
      </c>
      <c r="O981" t="str">
        <f t="shared" si="63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60"/>
        <v>5940</v>
      </c>
      <c r="M982">
        <f t="shared" si="61"/>
        <v>-360</v>
      </c>
      <c r="N982">
        <f t="shared" si="62"/>
        <v>-169965</v>
      </c>
      <c r="O982" t="str">
        <f t="shared" si="63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60"/>
        <v>5940</v>
      </c>
      <c r="M983">
        <f t="shared" si="61"/>
        <v>-315</v>
      </c>
      <c r="N983">
        <f t="shared" si="62"/>
        <v>-145667</v>
      </c>
      <c r="O983" t="str">
        <f t="shared" si="63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60"/>
        <v>5940</v>
      </c>
      <c r="M984">
        <f t="shared" si="61"/>
        <v>-270</v>
      </c>
      <c r="N984">
        <f t="shared" si="62"/>
        <v>-121033</v>
      </c>
      <c r="O984" t="str">
        <f t="shared" si="63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60"/>
        <v>5940</v>
      </c>
      <c r="M985">
        <f t="shared" si="61"/>
        <v>-225</v>
      </c>
      <c r="N985">
        <f t="shared" si="62"/>
        <v>-96060</v>
      </c>
      <c r="O985" t="str">
        <f t="shared" si="63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60"/>
        <v>5940</v>
      </c>
      <c r="M986">
        <f t="shared" si="61"/>
        <v>-180</v>
      </c>
      <c r="N986">
        <f t="shared" si="62"/>
        <v>-70751</v>
      </c>
      <c r="O986" t="str">
        <f t="shared" si="63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60"/>
        <v>5940</v>
      </c>
      <c r="M987">
        <f t="shared" si="61"/>
        <v>-135</v>
      </c>
      <c r="N987">
        <f t="shared" si="62"/>
        <v>-45105</v>
      </c>
      <c r="O987" t="str">
        <f t="shared" si="63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60"/>
        <v>5940</v>
      </c>
      <c r="M988">
        <f t="shared" si="61"/>
        <v>-90</v>
      </c>
      <c r="N988">
        <f t="shared" si="62"/>
        <v>-19121</v>
      </c>
      <c r="O988" t="str">
        <f t="shared" si="63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60"/>
        <v>5940</v>
      </c>
      <c r="M989">
        <f t="shared" si="61"/>
        <v>-45</v>
      </c>
      <c r="N989">
        <f t="shared" si="62"/>
        <v>0</v>
      </c>
      <c r="O989" t="str">
        <f t="shared" si="63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60"/>
        <v>5940</v>
      </c>
      <c r="M990">
        <f t="shared" si="61"/>
        <v>-9</v>
      </c>
      <c r="N990">
        <f t="shared" si="62"/>
        <v>0</v>
      </c>
      <c r="O990" t="str">
        <f t="shared" si="63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60"/>
        <v>5940</v>
      </c>
      <c r="M991">
        <f t="shared" si="61"/>
        <v>9</v>
      </c>
      <c r="N991">
        <f t="shared" si="62"/>
        <v>42588</v>
      </c>
      <c r="O991" t="str">
        <f t="shared" si="63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60"/>
        <v>5940</v>
      </c>
      <c r="M992">
        <f t="shared" si="61"/>
        <v>45</v>
      </c>
      <c r="N992">
        <f t="shared" si="62"/>
        <v>66129</v>
      </c>
      <c r="O992" t="str">
        <f t="shared" si="63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60"/>
        <v>5940</v>
      </c>
      <c r="M993">
        <f t="shared" si="61"/>
        <v>90</v>
      </c>
      <c r="N993">
        <f t="shared" si="62"/>
        <v>95884</v>
      </c>
      <c r="O993" t="str">
        <f t="shared" si="63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60"/>
        <v>5940</v>
      </c>
      <c r="M994">
        <f t="shared" si="61"/>
        <v>135</v>
      </c>
      <c r="N994">
        <f t="shared" si="62"/>
        <v>126006</v>
      </c>
      <c r="O994" t="str">
        <f t="shared" si="63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60"/>
        <v>5940</v>
      </c>
      <c r="M995">
        <f t="shared" si="61"/>
        <v>180</v>
      </c>
      <c r="N995">
        <f t="shared" si="62"/>
        <v>156493</v>
      </c>
      <c r="O995" t="str">
        <f t="shared" si="63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60"/>
        <v>5940</v>
      </c>
      <c r="M996">
        <f t="shared" si="61"/>
        <v>225</v>
      </c>
      <c r="N996">
        <f t="shared" si="62"/>
        <v>187347</v>
      </c>
      <c r="O996" t="str">
        <f t="shared" si="63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60"/>
        <v>5940</v>
      </c>
      <c r="M997">
        <f t="shared" si="61"/>
        <v>270</v>
      </c>
      <c r="N997">
        <f t="shared" si="62"/>
        <v>218566</v>
      </c>
      <c r="O997" t="str">
        <f t="shared" si="63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60"/>
        <v>5940</v>
      </c>
      <c r="M998">
        <f t="shared" si="61"/>
        <v>315</v>
      </c>
      <c r="N998">
        <f t="shared" si="62"/>
        <v>250152</v>
      </c>
      <c r="O998" t="str">
        <f t="shared" si="63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60"/>
        <v>5940</v>
      </c>
      <c r="M999">
        <f t="shared" si="61"/>
        <v>360</v>
      </c>
      <c r="N999">
        <f t="shared" si="62"/>
        <v>282103</v>
      </c>
      <c r="O999" t="str">
        <f t="shared" si="63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60"/>
        <v>5940</v>
      </c>
      <c r="M1000">
        <f t="shared" si="61"/>
        <v>405</v>
      </c>
      <c r="N1000">
        <f t="shared" si="62"/>
        <v>314420</v>
      </c>
      <c r="O1000" t="str">
        <f t="shared" si="63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60"/>
        <v>5940</v>
      </c>
      <c r="M1001">
        <f t="shared" si="61"/>
        <v>450</v>
      </c>
      <c r="N1001">
        <f t="shared" si="62"/>
        <v>347103</v>
      </c>
      <c r="O1001" t="str">
        <f t="shared" si="63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60"/>
        <v>5940</v>
      </c>
      <c r="M1002">
        <f t="shared" si="61"/>
        <v>495</v>
      </c>
      <c r="N1002">
        <f t="shared" si="62"/>
        <v>380152</v>
      </c>
      <c r="O1002" t="str">
        <f t="shared" si="63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60"/>
        <v>5940</v>
      </c>
      <c r="M1003">
        <f t="shared" si="61"/>
        <v>540</v>
      </c>
      <c r="N1003">
        <f t="shared" si="62"/>
        <v>413567</v>
      </c>
      <c r="O1003" t="str">
        <f t="shared" si="63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60"/>
        <v>5940</v>
      </c>
      <c r="M1004">
        <f t="shared" si="61"/>
        <v>585</v>
      </c>
      <c r="N1004">
        <f t="shared" si="62"/>
        <v>447348</v>
      </c>
      <c r="O1004" t="str">
        <f t="shared" si="63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60"/>
        <v>5940</v>
      </c>
      <c r="M1005">
        <f t="shared" si="61"/>
        <v>630</v>
      </c>
      <c r="N1005">
        <f t="shared" si="62"/>
        <v>481495</v>
      </c>
      <c r="O1005" t="str">
        <f t="shared" si="63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60"/>
        <v>5940</v>
      </c>
      <c r="M1006">
        <f t="shared" si="61"/>
        <v>675</v>
      </c>
      <c r="N1006">
        <f t="shared" si="62"/>
        <v>516006.99999999994</v>
      </c>
      <c r="O1006" t="str">
        <f t="shared" si="63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60"/>
        <v>5940</v>
      </c>
      <c r="M1007">
        <f t="shared" si="61"/>
        <v>720</v>
      </c>
      <c r="N1007">
        <f t="shared" si="62"/>
        <v>550886</v>
      </c>
      <c r="O1007" t="str">
        <f t="shared" si="63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60"/>
        <v>5940</v>
      </c>
      <c r="M1008">
        <f t="shared" si="61"/>
        <v>765</v>
      </c>
      <c r="N1008">
        <f t="shared" si="62"/>
        <v>586131</v>
      </c>
      <c r="O1008" t="str">
        <f t="shared" si="63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60"/>
        <v>5940</v>
      </c>
      <c r="M1009">
        <f t="shared" si="61"/>
        <v>810</v>
      </c>
      <c r="N1009">
        <f t="shared" si="62"/>
        <v>621741</v>
      </c>
      <c r="O1009" t="str">
        <f t="shared" si="63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60"/>
        <v>5940</v>
      </c>
      <c r="M1010">
        <f t="shared" si="61"/>
        <v>855</v>
      </c>
      <c r="N1010">
        <f t="shared" si="62"/>
        <v>657718</v>
      </c>
      <c r="O1010" t="str">
        <f t="shared" si="63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60"/>
        <v>5940</v>
      </c>
      <c r="M1011">
        <f t="shared" si="61"/>
        <v>900</v>
      </c>
      <c r="N1011">
        <f t="shared" si="62"/>
        <v>694060</v>
      </c>
      <c r="O1011" t="str">
        <f t="shared" si="63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60"/>
        <v>5940</v>
      </c>
      <c r="M1012">
        <f t="shared" si="61"/>
        <v>945</v>
      </c>
      <c r="N1012">
        <f t="shared" si="62"/>
        <v>730769</v>
      </c>
      <c r="O1012" t="str">
        <f t="shared" si="63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60"/>
        <v>5940</v>
      </c>
      <c r="M1013">
        <f t="shared" si="61"/>
        <v>990</v>
      </c>
      <c r="N1013">
        <f t="shared" si="62"/>
        <v>767843</v>
      </c>
      <c r="O1013" t="str">
        <f t="shared" si="63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3D10-6B7D-4997-BE9D-7E6B8BB51E4D}">
  <dimension ref="A1:O1013"/>
  <sheetViews>
    <sheetView workbookViewId="0">
      <selection activeCell="O1" sqref="O1:O1048576"/>
    </sheetView>
  </sheetViews>
  <sheetFormatPr baseColWidth="10" defaultRowHeight="15" x14ac:dyDescent="0.25"/>
  <cols>
    <col min="1" max="1" width="11.42578125" style="2"/>
  </cols>
  <sheetData>
    <row r="1" spans="1:15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</row>
    <row r="2" spans="1:15" x14ac:dyDescent="0.25">
      <c r="A2" s="1">
        <v>0</v>
      </c>
      <c r="B2">
        <v>-990</v>
      </c>
      <c r="C2">
        <v>0.28100000000000003</v>
      </c>
      <c r="L2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15" x14ac:dyDescent="0.25">
      <c r="A3" s="1">
        <v>0</v>
      </c>
      <c r="B3">
        <v>-945</v>
      </c>
      <c r="C3">
        <v>0.26900000000000002</v>
      </c>
      <c r="L3">
        <f t="shared" ref="L3:M66" si="0">A3</f>
        <v>0</v>
      </c>
      <c r="M3">
        <f t="shared" si="0"/>
        <v>-945</v>
      </c>
      <c r="N3">
        <f t="shared" ref="N3:N66" si="1">C3*1000</f>
        <v>269</v>
      </c>
      <c r="O3" t="str">
        <f t="shared" ref="O3:O66" si="2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15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0"/>
        <v>-900</v>
      </c>
      <c r="N4">
        <f t="shared" si="1"/>
        <v>258</v>
      </c>
      <c r="O4" t="str">
        <f t="shared" si="2"/>
        <v>&lt;Entry outShaftSpeed="0.00" torque="-900.00" electricPower="258.00"/&gt;</v>
      </c>
    </row>
    <row r="5" spans="1:15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0"/>
        <v>-855</v>
      </c>
      <c r="N5">
        <f t="shared" si="1"/>
        <v>246</v>
      </c>
      <c r="O5" t="str">
        <f t="shared" si="2"/>
        <v>&lt;Entry outShaftSpeed="0.00" torque="-855.00" electricPower="246.00"/&gt;</v>
      </c>
    </row>
    <row r="6" spans="1:15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0"/>
        <v>-810</v>
      </c>
      <c r="N6">
        <f t="shared" si="1"/>
        <v>235</v>
      </c>
      <c r="O6" t="str">
        <f t="shared" si="2"/>
        <v>&lt;Entry outShaftSpeed="0.00" torque="-810.00" electricPower="235.00"/&gt;</v>
      </c>
    </row>
    <row r="7" spans="1:15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0"/>
        <v>-765</v>
      </c>
      <c r="N7">
        <f t="shared" si="1"/>
        <v>223</v>
      </c>
      <c r="O7" t="str">
        <f t="shared" si="2"/>
        <v>&lt;Entry outShaftSpeed="0.00" torque="-765.00" electricPower="223.00"/&gt;</v>
      </c>
    </row>
    <row r="8" spans="1:15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0"/>
        <v>-720</v>
      </c>
      <c r="N8">
        <f t="shared" si="1"/>
        <v>211</v>
      </c>
      <c r="O8" t="str">
        <f t="shared" si="2"/>
        <v>&lt;Entry outShaftSpeed="0.00" torque="-720.00" electricPower="211.00"/&gt;</v>
      </c>
    </row>
    <row r="9" spans="1:15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0"/>
        <v>-675</v>
      </c>
      <c r="N9">
        <f t="shared" si="1"/>
        <v>198</v>
      </c>
      <c r="O9" t="str">
        <f t="shared" si="2"/>
        <v>&lt;Entry outShaftSpeed="0.00" torque="-675.00" electricPower="198.00"/&gt;</v>
      </c>
    </row>
    <row r="10" spans="1:15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0"/>
        <v>-630</v>
      </c>
      <c r="N10">
        <f t="shared" si="1"/>
        <v>130</v>
      </c>
      <c r="O10" t="str">
        <f t="shared" si="2"/>
        <v>&lt;Entry outShaftSpeed="0.00" torque="-630.00" electricPower="130.00"/&gt;</v>
      </c>
    </row>
    <row r="11" spans="1:15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0"/>
        <v>-585</v>
      </c>
      <c r="N11">
        <f t="shared" si="1"/>
        <v>35</v>
      </c>
      <c r="O11" t="str">
        <f t="shared" si="2"/>
        <v>&lt;Entry outShaftSpeed="0.00" torque="-585.00" electricPower="35.00"/&gt;</v>
      </c>
    </row>
    <row r="12" spans="1:15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0"/>
        <v>-540</v>
      </c>
      <c r="N12">
        <f t="shared" si="1"/>
        <v>-46</v>
      </c>
      <c r="O12" t="str">
        <f t="shared" si="2"/>
        <v>&lt;Entry outShaftSpeed="0.00" torque="-540.00" electricPower="-46.00"/&gt;</v>
      </c>
    </row>
    <row r="13" spans="1:15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0"/>
        <v>-495</v>
      </c>
      <c r="N13">
        <f t="shared" si="1"/>
        <v>-114</v>
      </c>
      <c r="O13" t="str">
        <f t="shared" si="2"/>
        <v>&lt;Entry outShaftSpeed="0.00" torque="-495.00" electricPower="-114.00"/&gt;</v>
      </c>
    </row>
    <row r="14" spans="1:15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0"/>
        <v>-450</v>
      </c>
      <c r="N14">
        <f t="shared" si="1"/>
        <v>-169</v>
      </c>
      <c r="O14" t="str">
        <f t="shared" si="2"/>
        <v>&lt;Entry outShaftSpeed="0.00" torque="-450.00" electricPower="-169.00"/&gt;</v>
      </c>
    </row>
    <row r="15" spans="1:15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0"/>
        <v>-405</v>
      </c>
      <c r="N15">
        <f t="shared" si="1"/>
        <v>-211</v>
      </c>
      <c r="O15" t="str">
        <f t="shared" si="2"/>
        <v>&lt;Entry outShaftSpeed="0.00" torque="-405.00" electricPower="-211.00"/&gt;</v>
      </c>
    </row>
    <row r="16" spans="1:15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0"/>
        <v>-360</v>
      </c>
      <c r="N16">
        <f t="shared" si="1"/>
        <v>-239</v>
      </c>
      <c r="O16" t="str">
        <f t="shared" si="2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0"/>
        <v>-315</v>
      </c>
      <c r="N17">
        <f t="shared" si="1"/>
        <v>-254</v>
      </c>
      <c r="O17" t="str">
        <f t="shared" si="2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0"/>
        <v>-270</v>
      </c>
      <c r="N18">
        <f t="shared" si="1"/>
        <v>-256</v>
      </c>
      <c r="O18" t="str">
        <f t="shared" si="2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0"/>
        <v>-225</v>
      </c>
      <c r="N19">
        <f t="shared" si="1"/>
        <v>-244</v>
      </c>
      <c r="O19" t="str">
        <f t="shared" si="2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0"/>
        <v>-180</v>
      </c>
      <c r="N20">
        <f t="shared" si="1"/>
        <v>-219</v>
      </c>
      <c r="O20" t="str">
        <f t="shared" si="2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0"/>
        <v>-135</v>
      </c>
      <c r="N21">
        <f t="shared" si="1"/>
        <v>-181</v>
      </c>
      <c r="O21" t="str">
        <f t="shared" si="2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0"/>
        <v>-90</v>
      </c>
      <c r="N22">
        <f t="shared" si="1"/>
        <v>-130</v>
      </c>
      <c r="O22" t="str">
        <f t="shared" si="2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0"/>
        <v>-45</v>
      </c>
      <c r="N23">
        <f t="shared" si="1"/>
        <v>-65</v>
      </c>
      <c r="O23" t="str">
        <f t="shared" si="2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0"/>
        <v>-9</v>
      </c>
      <c r="N24">
        <f t="shared" si="1"/>
        <v>-3</v>
      </c>
      <c r="O24" t="str">
        <f t="shared" si="2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0"/>
        <v>9</v>
      </c>
      <c r="N25">
        <f t="shared" si="1"/>
        <v>55</v>
      </c>
      <c r="O25" t="str">
        <f t="shared" si="2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0"/>
        <v>45</v>
      </c>
      <c r="N26">
        <f t="shared" si="1"/>
        <v>221</v>
      </c>
      <c r="O26" t="str">
        <f t="shared" si="2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0"/>
        <v>90</v>
      </c>
      <c r="N27">
        <f t="shared" si="1"/>
        <v>442</v>
      </c>
      <c r="O27" t="str">
        <f t="shared" si="2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0"/>
        <v>135</v>
      </c>
      <c r="N28">
        <f t="shared" si="1"/>
        <v>678</v>
      </c>
      <c r="O28" t="str">
        <f t="shared" si="2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0"/>
        <v>180</v>
      </c>
      <c r="N29">
        <f t="shared" si="1"/>
        <v>928</v>
      </c>
      <c r="O29" t="str">
        <f t="shared" si="2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0"/>
        <v>225</v>
      </c>
      <c r="N30">
        <f t="shared" si="1"/>
        <v>1193</v>
      </c>
      <c r="O30" t="str">
        <f t="shared" si="2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0"/>
        <v>270</v>
      </c>
      <c r="N31">
        <f t="shared" si="1"/>
        <v>1472</v>
      </c>
      <c r="O31" t="str">
        <f t="shared" si="2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0"/>
        <v>315</v>
      </c>
      <c r="N32">
        <f t="shared" si="1"/>
        <v>1765</v>
      </c>
      <c r="O32" t="str">
        <f t="shared" si="2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0"/>
        <v>360</v>
      </c>
      <c r="N33">
        <f t="shared" si="1"/>
        <v>2073</v>
      </c>
      <c r="O33" t="str">
        <f t="shared" si="2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0"/>
        <v>405</v>
      </c>
      <c r="N34">
        <f t="shared" si="1"/>
        <v>2395</v>
      </c>
      <c r="O34" t="str">
        <f t="shared" si="2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0"/>
        <v>450</v>
      </c>
      <c r="N35">
        <f t="shared" si="1"/>
        <v>2732</v>
      </c>
      <c r="O35" t="str">
        <f t="shared" si="2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0"/>
        <v>495</v>
      </c>
      <c r="N36">
        <f t="shared" si="1"/>
        <v>3083</v>
      </c>
      <c r="O36" t="str">
        <f t="shared" si="2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0"/>
        <v>540</v>
      </c>
      <c r="N37">
        <f t="shared" si="1"/>
        <v>3449</v>
      </c>
      <c r="O37" t="str">
        <f t="shared" si="2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0"/>
        <v>585</v>
      </c>
      <c r="N38">
        <f t="shared" si="1"/>
        <v>3829</v>
      </c>
      <c r="O38" t="str">
        <f t="shared" si="2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0"/>
        <v>630</v>
      </c>
      <c r="N39">
        <f t="shared" si="1"/>
        <v>4224</v>
      </c>
      <c r="O39" t="str">
        <f t="shared" si="2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0"/>
        <v>675</v>
      </c>
      <c r="N40">
        <f t="shared" si="1"/>
        <v>4633</v>
      </c>
      <c r="O40" t="str">
        <f t="shared" si="2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0"/>
        <v>720</v>
      </c>
      <c r="N41">
        <f t="shared" si="1"/>
        <v>5056</v>
      </c>
      <c r="O41" t="str">
        <f t="shared" si="2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0"/>
        <v>765</v>
      </c>
      <c r="N42">
        <f t="shared" si="1"/>
        <v>5494</v>
      </c>
      <c r="O42" t="str">
        <f t="shared" si="2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0"/>
        <v>810</v>
      </c>
      <c r="N43">
        <f t="shared" si="1"/>
        <v>5946</v>
      </c>
      <c r="O43" t="str">
        <f t="shared" si="2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0"/>
        <v>855</v>
      </c>
      <c r="N44">
        <f t="shared" si="1"/>
        <v>6413</v>
      </c>
      <c r="O44" t="str">
        <f t="shared" si="2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0"/>
        <v>900</v>
      </c>
      <c r="N45">
        <f t="shared" si="1"/>
        <v>6894</v>
      </c>
      <c r="O45" t="str">
        <f t="shared" si="2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0"/>
        <v>0</v>
      </c>
      <c r="N46">
        <f t="shared" si="1"/>
        <v>6413</v>
      </c>
      <c r="O46" t="str">
        <f t="shared" si="2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0"/>
        <v>0</v>
      </c>
      <c r="N47">
        <f t="shared" si="1"/>
        <v>5946</v>
      </c>
      <c r="O47" t="str">
        <f t="shared" si="2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0"/>
        <v>-990</v>
      </c>
      <c r="N48">
        <f t="shared" si="1"/>
        <v>0</v>
      </c>
      <c r="O48" t="str">
        <f t="shared" si="2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0"/>
        <v>-945</v>
      </c>
      <c r="N49">
        <f t="shared" si="1"/>
        <v>0</v>
      </c>
      <c r="O49" t="str">
        <f t="shared" si="2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0"/>
        <v>-900</v>
      </c>
      <c r="N50">
        <f t="shared" si="1"/>
        <v>0</v>
      </c>
      <c r="O50" t="str">
        <f t="shared" si="2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0"/>
        <v>-855</v>
      </c>
      <c r="N51">
        <f t="shared" si="1"/>
        <v>0</v>
      </c>
      <c r="O51" t="str">
        <f t="shared" si="2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0"/>
        <v>-810</v>
      </c>
      <c r="N52">
        <f t="shared" si="1"/>
        <v>0</v>
      </c>
      <c r="O52" t="str">
        <f t="shared" si="2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0"/>
        <v>-765</v>
      </c>
      <c r="N53">
        <f t="shared" si="1"/>
        <v>0</v>
      </c>
      <c r="O53" t="str">
        <f t="shared" si="2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0"/>
        <v>-720</v>
      </c>
      <c r="N54">
        <f t="shared" si="1"/>
        <v>0</v>
      </c>
      <c r="O54" t="str">
        <f t="shared" si="2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0"/>
        <v>-675</v>
      </c>
      <c r="N55">
        <f t="shared" si="1"/>
        <v>0</v>
      </c>
      <c r="O55" t="str">
        <f t="shared" si="2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0"/>
        <v>-630</v>
      </c>
      <c r="N56">
        <f t="shared" si="1"/>
        <v>-50</v>
      </c>
      <c r="O56" t="str">
        <f t="shared" si="2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0"/>
        <v>-585</v>
      </c>
      <c r="N57">
        <f t="shared" si="1"/>
        <v>-124</v>
      </c>
      <c r="O57" t="str">
        <f t="shared" si="2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0"/>
        <v>-540</v>
      </c>
      <c r="N58">
        <f t="shared" si="1"/>
        <v>-186</v>
      </c>
      <c r="O58" t="str">
        <f t="shared" si="2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0"/>
        <v>-495</v>
      </c>
      <c r="N59">
        <f t="shared" si="1"/>
        <v>-236</v>
      </c>
      <c r="O59" t="str">
        <f t="shared" si="2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0"/>
        <v>-450</v>
      </c>
      <c r="N60">
        <f t="shared" si="1"/>
        <v>-274</v>
      </c>
      <c r="O60" t="str">
        <f t="shared" si="2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0"/>
        <v>-405</v>
      </c>
      <c r="N61">
        <f t="shared" si="1"/>
        <v>-300</v>
      </c>
      <c r="O61" t="str">
        <f t="shared" si="2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0"/>
        <v>-360</v>
      </c>
      <c r="N62">
        <f t="shared" si="1"/>
        <v>-314</v>
      </c>
      <c r="O62" t="str">
        <f t="shared" si="2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0"/>
        <v>-315</v>
      </c>
      <c r="N63">
        <f t="shared" si="1"/>
        <v>-315</v>
      </c>
      <c r="O63" t="str">
        <f t="shared" si="2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0"/>
        <v>-270</v>
      </c>
      <c r="N64">
        <f t="shared" si="1"/>
        <v>-304</v>
      </c>
      <c r="O64" t="str">
        <f t="shared" si="2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0"/>
        <v>-225</v>
      </c>
      <c r="N65">
        <f t="shared" si="1"/>
        <v>-282</v>
      </c>
      <c r="O65" t="str">
        <f t="shared" si="2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0"/>
        <v>-180</v>
      </c>
      <c r="N66">
        <f t="shared" si="1"/>
        <v>-247</v>
      </c>
      <c r="O66" t="str">
        <f t="shared" si="2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M130" si="3">A67</f>
        <v>29.7</v>
      </c>
      <c r="M67">
        <f t="shared" si="3"/>
        <v>-135</v>
      </c>
      <c r="N67">
        <f t="shared" ref="N67:N130" si="4">C67*1000</f>
        <v>-200</v>
      </c>
      <c r="O67" t="str">
        <f t="shared" ref="O67:O130" si="5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3"/>
        <v>29.7</v>
      </c>
      <c r="M68">
        <f t="shared" si="3"/>
        <v>-90</v>
      </c>
      <c r="N68">
        <f t="shared" si="4"/>
        <v>-141</v>
      </c>
      <c r="O68" t="str">
        <f t="shared" si="5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3"/>
        <v>29.7</v>
      </c>
      <c r="M69">
        <f t="shared" si="3"/>
        <v>-45</v>
      </c>
      <c r="N69">
        <f t="shared" si="4"/>
        <v>-70</v>
      </c>
      <c r="O69" t="str">
        <f t="shared" si="5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3"/>
        <v>29.7</v>
      </c>
      <c r="M70">
        <f t="shared" si="3"/>
        <v>-9</v>
      </c>
      <c r="N70">
        <f t="shared" si="4"/>
        <v>-4</v>
      </c>
      <c r="O70" t="str">
        <f t="shared" si="5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3"/>
        <v>29.7</v>
      </c>
      <c r="M71">
        <f t="shared" si="3"/>
        <v>9</v>
      </c>
      <c r="N71">
        <f t="shared" si="4"/>
        <v>54</v>
      </c>
      <c r="O71" t="str">
        <f t="shared" si="5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3"/>
        <v>29.7</v>
      </c>
      <c r="M72">
        <f t="shared" si="3"/>
        <v>45</v>
      </c>
      <c r="N72">
        <f t="shared" si="4"/>
        <v>216</v>
      </c>
      <c r="O72" t="str">
        <f t="shared" si="5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3"/>
        <v>29.7</v>
      </c>
      <c r="M73">
        <f t="shared" si="3"/>
        <v>90</v>
      </c>
      <c r="N73">
        <f t="shared" si="4"/>
        <v>430</v>
      </c>
      <c r="O73" t="str">
        <f t="shared" si="5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3"/>
        <v>29.7</v>
      </c>
      <c r="M74">
        <f t="shared" si="3"/>
        <v>135</v>
      </c>
      <c r="N74">
        <f t="shared" si="4"/>
        <v>658</v>
      </c>
      <c r="O74" t="str">
        <f t="shared" si="5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3"/>
        <v>29.7</v>
      </c>
      <c r="M75">
        <f t="shared" si="3"/>
        <v>180</v>
      </c>
      <c r="N75">
        <f t="shared" si="4"/>
        <v>898</v>
      </c>
      <c r="O75" t="str">
        <f t="shared" si="5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3"/>
        <v>29.7</v>
      </c>
      <c r="M76">
        <f t="shared" si="3"/>
        <v>225</v>
      </c>
      <c r="N76">
        <f t="shared" si="4"/>
        <v>1152</v>
      </c>
      <c r="O76" t="str">
        <f t="shared" si="5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3"/>
        <v>29.7</v>
      </c>
      <c r="M77">
        <f t="shared" si="3"/>
        <v>270</v>
      </c>
      <c r="N77">
        <f t="shared" si="4"/>
        <v>1419</v>
      </c>
      <c r="O77" t="str">
        <f t="shared" si="5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3"/>
        <v>29.7</v>
      </c>
      <c r="M78">
        <f t="shared" si="3"/>
        <v>315</v>
      </c>
      <c r="N78">
        <f t="shared" si="4"/>
        <v>1699</v>
      </c>
      <c r="O78" t="str">
        <f t="shared" si="5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3"/>
        <v>29.7</v>
      </c>
      <c r="M79">
        <f t="shared" si="3"/>
        <v>360</v>
      </c>
      <c r="N79">
        <f t="shared" si="4"/>
        <v>1992</v>
      </c>
      <c r="O79" t="str">
        <f t="shared" si="5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3"/>
        <v>29.7</v>
      </c>
      <c r="M80">
        <f t="shared" si="3"/>
        <v>405</v>
      </c>
      <c r="N80">
        <f t="shared" si="4"/>
        <v>2299</v>
      </c>
      <c r="O80" t="str">
        <f t="shared" si="5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3"/>
        <v>29.7</v>
      </c>
      <c r="M81">
        <f t="shared" si="3"/>
        <v>450</v>
      </c>
      <c r="N81">
        <f t="shared" si="4"/>
        <v>2618</v>
      </c>
      <c r="O81" t="str">
        <f t="shared" si="5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3"/>
        <v>29.7</v>
      </c>
      <c r="M82">
        <f t="shared" si="3"/>
        <v>495</v>
      </c>
      <c r="N82">
        <f t="shared" si="4"/>
        <v>2951</v>
      </c>
      <c r="O82" t="str">
        <f t="shared" si="5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3"/>
        <v>29.7</v>
      </c>
      <c r="M83">
        <f t="shared" si="3"/>
        <v>540</v>
      </c>
      <c r="N83">
        <f t="shared" si="4"/>
        <v>3297</v>
      </c>
      <c r="O83" t="str">
        <f t="shared" si="5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3"/>
        <v>29.7</v>
      </c>
      <c r="M84">
        <f t="shared" si="3"/>
        <v>585</v>
      </c>
      <c r="N84">
        <f t="shared" si="4"/>
        <v>3656</v>
      </c>
      <c r="O84" t="str">
        <f t="shared" si="5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3"/>
        <v>29.7</v>
      </c>
      <c r="M85">
        <f t="shared" si="3"/>
        <v>630</v>
      </c>
      <c r="N85">
        <f t="shared" si="4"/>
        <v>4027.9999999999995</v>
      </c>
      <c r="O85" t="str">
        <f t="shared" si="5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3"/>
        <v>29.7</v>
      </c>
      <c r="M86">
        <f t="shared" si="3"/>
        <v>675</v>
      </c>
      <c r="N86">
        <f t="shared" si="4"/>
        <v>4413</v>
      </c>
      <c r="O86" t="str">
        <f t="shared" si="5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3"/>
        <v>29.7</v>
      </c>
      <c r="M87">
        <f t="shared" si="3"/>
        <v>720</v>
      </c>
      <c r="N87">
        <f t="shared" si="4"/>
        <v>4811</v>
      </c>
      <c r="O87" t="str">
        <f t="shared" si="5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3"/>
        <v>29.7</v>
      </c>
      <c r="M88">
        <f t="shared" si="3"/>
        <v>765</v>
      </c>
      <c r="N88">
        <f t="shared" si="4"/>
        <v>5223</v>
      </c>
      <c r="O88" t="str">
        <f t="shared" si="5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3"/>
        <v>29.7</v>
      </c>
      <c r="M89">
        <f t="shared" si="3"/>
        <v>810</v>
      </c>
      <c r="N89">
        <f t="shared" si="4"/>
        <v>5647</v>
      </c>
      <c r="O89" t="str">
        <f t="shared" si="5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3"/>
        <v>29.7</v>
      </c>
      <c r="M90">
        <f t="shared" si="3"/>
        <v>855</v>
      </c>
      <c r="N90">
        <f t="shared" si="4"/>
        <v>6085</v>
      </c>
      <c r="O90" t="str">
        <f t="shared" si="5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3"/>
        <v>29.7</v>
      </c>
      <c r="M91">
        <f t="shared" si="3"/>
        <v>900</v>
      </c>
      <c r="N91">
        <f t="shared" si="4"/>
        <v>6536</v>
      </c>
      <c r="O91" t="str">
        <f t="shared" si="5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3"/>
        <v>29.7</v>
      </c>
      <c r="M92">
        <f t="shared" si="3"/>
        <v>945</v>
      </c>
      <c r="N92">
        <f t="shared" si="4"/>
        <v>7000</v>
      </c>
      <c r="O92" t="str">
        <f t="shared" si="5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3"/>
        <v>29.7</v>
      </c>
      <c r="M93">
        <f t="shared" si="3"/>
        <v>990</v>
      </c>
      <c r="N93">
        <f t="shared" si="4"/>
        <v>7478</v>
      </c>
      <c r="O93" t="str">
        <f t="shared" si="5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3"/>
        <v>297</v>
      </c>
      <c r="M94">
        <f t="shared" si="3"/>
        <v>-990</v>
      </c>
      <c r="N94">
        <f t="shared" si="4"/>
        <v>-25264</v>
      </c>
      <c r="O94" t="str">
        <f t="shared" si="5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3"/>
        <v>297</v>
      </c>
      <c r="M95">
        <f t="shared" si="3"/>
        <v>-945</v>
      </c>
      <c r="N95">
        <f t="shared" si="4"/>
        <v>-24246</v>
      </c>
      <c r="O95" t="str">
        <f t="shared" si="5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3"/>
        <v>297</v>
      </c>
      <c r="M96">
        <f t="shared" si="3"/>
        <v>-900</v>
      </c>
      <c r="N96">
        <f t="shared" si="4"/>
        <v>-23214</v>
      </c>
      <c r="O96" t="str">
        <f t="shared" si="5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3"/>
        <v>297</v>
      </c>
      <c r="M97">
        <f t="shared" si="3"/>
        <v>-855</v>
      </c>
      <c r="N97">
        <f t="shared" si="4"/>
        <v>-22170</v>
      </c>
      <c r="O97" t="str">
        <f t="shared" si="5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3"/>
        <v>297</v>
      </c>
      <c r="M98">
        <f t="shared" si="3"/>
        <v>-810</v>
      </c>
      <c r="N98">
        <f t="shared" si="4"/>
        <v>-21112</v>
      </c>
      <c r="O98" t="str">
        <f t="shared" si="5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3"/>
        <v>297</v>
      </c>
      <c r="M99">
        <f t="shared" si="3"/>
        <v>-765</v>
      </c>
      <c r="N99">
        <f t="shared" si="4"/>
        <v>-20042</v>
      </c>
      <c r="O99" t="str">
        <f t="shared" si="5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3"/>
        <v>297</v>
      </c>
      <c r="M100">
        <f t="shared" si="3"/>
        <v>-720</v>
      </c>
      <c r="N100">
        <f t="shared" si="4"/>
        <v>-18958</v>
      </c>
      <c r="O100" t="str">
        <f t="shared" si="5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3"/>
        <v>297</v>
      </c>
      <c r="M101">
        <f t="shared" si="3"/>
        <v>-675</v>
      </c>
      <c r="N101">
        <f t="shared" si="4"/>
        <v>-17862</v>
      </c>
      <c r="O101" t="str">
        <f t="shared" si="5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3"/>
        <v>297</v>
      </c>
      <c r="M102">
        <f t="shared" si="3"/>
        <v>-630</v>
      </c>
      <c r="N102">
        <f t="shared" si="4"/>
        <v>-16752</v>
      </c>
      <c r="O102" t="str">
        <f t="shared" si="5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3"/>
        <v>297</v>
      </c>
      <c r="M103">
        <f t="shared" si="3"/>
        <v>-585</v>
      </c>
      <c r="N103">
        <f t="shared" si="4"/>
        <v>-15629</v>
      </c>
      <c r="O103" t="str">
        <f t="shared" si="5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3"/>
        <v>297</v>
      </c>
      <c r="M104">
        <f t="shared" si="3"/>
        <v>-540</v>
      </c>
      <c r="N104">
        <f t="shared" si="4"/>
        <v>-14494</v>
      </c>
      <c r="O104" t="str">
        <f t="shared" si="5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3"/>
        <v>297</v>
      </c>
      <c r="M105">
        <f t="shared" si="3"/>
        <v>-495</v>
      </c>
      <c r="N105">
        <f t="shared" si="4"/>
        <v>-13345</v>
      </c>
      <c r="O105" t="str">
        <f t="shared" si="5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3"/>
        <v>297</v>
      </c>
      <c r="M106">
        <f t="shared" si="3"/>
        <v>-450</v>
      </c>
      <c r="N106">
        <f t="shared" si="4"/>
        <v>-12183</v>
      </c>
      <c r="O106" t="str">
        <f t="shared" si="5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3"/>
        <v>297</v>
      </c>
      <c r="M107">
        <f t="shared" si="3"/>
        <v>-405</v>
      </c>
      <c r="N107">
        <f t="shared" si="4"/>
        <v>-11008</v>
      </c>
      <c r="O107" t="str">
        <f t="shared" si="5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3"/>
        <v>297</v>
      </c>
      <c r="M108">
        <f t="shared" si="3"/>
        <v>-360</v>
      </c>
      <c r="N108">
        <f t="shared" si="4"/>
        <v>-9821</v>
      </c>
      <c r="O108" t="str">
        <f t="shared" si="5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3"/>
        <v>297</v>
      </c>
      <c r="M109">
        <f t="shared" si="3"/>
        <v>-315</v>
      </c>
      <c r="N109">
        <f t="shared" si="4"/>
        <v>-8620</v>
      </c>
      <c r="O109" t="str">
        <f t="shared" si="5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3"/>
        <v>297</v>
      </c>
      <c r="M110">
        <f t="shared" si="3"/>
        <v>-270</v>
      </c>
      <c r="N110">
        <f t="shared" si="4"/>
        <v>-7406</v>
      </c>
      <c r="O110" t="str">
        <f t="shared" si="5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3"/>
        <v>297</v>
      </c>
      <c r="M111">
        <f t="shared" si="3"/>
        <v>-225</v>
      </c>
      <c r="N111">
        <f t="shared" si="4"/>
        <v>-6179</v>
      </c>
      <c r="O111" t="str">
        <f t="shared" si="5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3"/>
        <v>297</v>
      </c>
      <c r="M112">
        <f t="shared" si="3"/>
        <v>-180</v>
      </c>
      <c r="N112">
        <f t="shared" si="4"/>
        <v>-4939</v>
      </c>
      <c r="O112" t="str">
        <f t="shared" si="5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3"/>
        <v>297</v>
      </c>
      <c r="M113">
        <f t="shared" si="3"/>
        <v>-135</v>
      </c>
      <c r="N113">
        <f t="shared" si="4"/>
        <v>-3686</v>
      </c>
      <c r="O113" t="str">
        <f t="shared" si="5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3"/>
        <v>297</v>
      </c>
      <c r="M114">
        <f t="shared" si="3"/>
        <v>-90</v>
      </c>
      <c r="N114">
        <f t="shared" si="4"/>
        <v>-2420</v>
      </c>
      <c r="O114" t="str">
        <f t="shared" si="5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3"/>
        <v>297</v>
      </c>
      <c r="M115">
        <f t="shared" si="3"/>
        <v>-45</v>
      </c>
      <c r="N115">
        <f t="shared" si="4"/>
        <v>-1141</v>
      </c>
      <c r="O115" t="str">
        <f t="shared" si="5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3"/>
        <v>297</v>
      </c>
      <c r="M116">
        <f t="shared" si="3"/>
        <v>-9</v>
      </c>
      <c r="N116">
        <f t="shared" si="4"/>
        <v>-108</v>
      </c>
      <c r="O116" t="str">
        <f t="shared" si="5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3"/>
        <v>297</v>
      </c>
      <c r="M117">
        <f t="shared" si="3"/>
        <v>9</v>
      </c>
      <c r="N117">
        <f t="shared" si="4"/>
        <v>465</v>
      </c>
      <c r="O117" t="str">
        <f t="shared" si="5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3"/>
        <v>297</v>
      </c>
      <c r="M118">
        <f t="shared" si="3"/>
        <v>45</v>
      </c>
      <c r="N118">
        <f t="shared" si="4"/>
        <v>1678</v>
      </c>
      <c r="O118" t="str">
        <f t="shared" si="5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3"/>
        <v>297</v>
      </c>
      <c r="M119">
        <f t="shared" si="3"/>
        <v>90</v>
      </c>
      <c r="N119">
        <f t="shared" si="4"/>
        <v>3206</v>
      </c>
      <c r="O119" t="str">
        <f t="shared" si="5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3"/>
        <v>297</v>
      </c>
      <c r="M120">
        <f t="shared" si="3"/>
        <v>135</v>
      </c>
      <c r="N120">
        <f t="shared" si="4"/>
        <v>4748</v>
      </c>
      <c r="O120" t="str">
        <f t="shared" si="5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3"/>
        <v>297</v>
      </c>
      <c r="M121">
        <f t="shared" si="3"/>
        <v>180</v>
      </c>
      <c r="N121">
        <f t="shared" si="4"/>
        <v>6304</v>
      </c>
      <c r="O121" t="str">
        <f t="shared" si="5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3"/>
        <v>297</v>
      </c>
      <c r="M122">
        <f t="shared" si="3"/>
        <v>225</v>
      </c>
      <c r="N122">
        <f t="shared" si="4"/>
        <v>7874</v>
      </c>
      <c r="O122" t="str">
        <f t="shared" si="5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3"/>
        <v>297</v>
      </c>
      <c r="M123">
        <f t="shared" si="3"/>
        <v>270</v>
      </c>
      <c r="N123">
        <f t="shared" si="4"/>
        <v>9459</v>
      </c>
      <c r="O123" t="str">
        <f t="shared" si="5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3"/>
        <v>297</v>
      </c>
      <c r="M124">
        <f t="shared" si="3"/>
        <v>315</v>
      </c>
      <c r="N124">
        <f t="shared" si="4"/>
        <v>11057</v>
      </c>
      <c r="O124" t="str">
        <f t="shared" si="5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3"/>
        <v>297</v>
      </c>
      <c r="M125">
        <f t="shared" si="3"/>
        <v>360</v>
      </c>
      <c r="N125">
        <f t="shared" si="4"/>
        <v>12670</v>
      </c>
      <c r="O125" t="str">
        <f t="shared" si="5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3"/>
        <v>297</v>
      </c>
      <c r="M126">
        <f t="shared" si="3"/>
        <v>405</v>
      </c>
      <c r="N126">
        <f t="shared" si="4"/>
        <v>14297</v>
      </c>
      <c r="O126" t="str">
        <f t="shared" si="5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3"/>
        <v>297</v>
      </c>
      <c r="M127">
        <f t="shared" si="3"/>
        <v>450</v>
      </c>
      <c r="N127">
        <f t="shared" si="4"/>
        <v>15938</v>
      </c>
      <c r="O127" t="str">
        <f t="shared" si="5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3"/>
        <v>297</v>
      </c>
      <c r="M128">
        <f t="shared" si="3"/>
        <v>495</v>
      </c>
      <c r="N128">
        <f t="shared" si="4"/>
        <v>17594</v>
      </c>
      <c r="O128" t="str">
        <f t="shared" si="5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3"/>
        <v>297</v>
      </c>
      <c r="M129">
        <f t="shared" si="3"/>
        <v>540</v>
      </c>
      <c r="N129">
        <f t="shared" si="4"/>
        <v>19263</v>
      </c>
      <c r="O129" t="str">
        <f t="shared" si="5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3"/>
        <v>297</v>
      </c>
      <c r="M130">
        <f t="shared" si="3"/>
        <v>585</v>
      </c>
      <c r="N130">
        <f t="shared" si="4"/>
        <v>20946</v>
      </c>
      <c r="O130" t="str">
        <f t="shared" si="5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M194" si="6">A131</f>
        <v>297</v>
      </c>
      <c r="M131">
        <f t="shared" si="6"/>
        <v>630</v>
      </c>
      <c r="N131">
        <f t="shared" ref="N131:N194" si="7">C131*1000</f>
        <v>22644</v>
      </c>
      <c r="O131" t="str">
        <f t="shared" ref="O131:O194" si="8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6"/>
        <v>297</v>
      </c>
      <c r="M132">
        <f t="shared" si="6"/>
        <v>675</v>
      </c>
      <c r="N132">
        <f t="shared" si="7"/>
        <v>24356</v>
      </c>
      <c r="O132" t="str">
        <f t="shared" si="8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6"/>
        <v>297</v>
      </c>
      <c r="M133">
        <f t="shared" si="6"/>
        <v>720</v>
      </c>
      <c r="N133">
        <f t="shared" si="7"/>
        <v>26082</v>
      </c>
      <c r="O133" t="str">
        <f t="shared" si="8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6"/>
        <v>297</v>
      </c>
      <c r="M134">
        <f t="shared" si="6"/>
        <v>765</v>
      </c>
      <c r="N134">
        <f t="shared" si="7"/>
        <v>27822</v>
      </c>
      <c r="O134" t="str">
        <f t="shared" si="8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6"/>
        <v>297</v>
      </c>
      <c r="M135">
        <f t="shared" si="6"/>
        <v>810</v>
      </c>
      <c r="N135">
        <f t="shared" si="7"/>
        <v>29576</v>
      </c>
      <c r="O135" t="str">
        <f t="shared" si="8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6"/>
        <v>297</v>
      </c>
      <c r="M136">
        <f t="shared" si="6"/>
        <v>855</v>
      </c>
      <c r="N136">
        <f t="shared" si="7"/>
        <v>31344</v>
      </c>
      <c r="O136" t="str">
        <f t="shared" si="8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6"/>
        <v>297</v>
      </c>
      <c r="M137">
        <f t="shared" si="6"/>
        <v>900</v>
      </c>
      <c r="N137">
        <f t="shared" si="7"/>
        <v>33127</v>
      </c>
      <c r="O137" t="str">
        <f t="shared" si="8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6"/>
        <v>297</v>
      </c>
      <c r="M138">
        <f t="shared" si="6"/>
        <v>945</v>
      </c>
      <c r="N138">
        <f t="shared" si="7"/>
        <v>34924</v>
      </c>
      <c r="O138" t="str">
        <f t="shared" si="8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6"/>
        <v>297</v>
      </c>
      <c r="M139">
        <f t="shared" si="6"/>
        <v>990</v>
      </c>
      <c r="N139">
        <f t="shared" si="7"/>
        <v>36734</v>
      </c>
      <c r="O139" t="str">
        <f t="shared" si="8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6"/>
        <v>594</v>
      </c>
      <c r="M140">
        <f t="shared" si="6"/>
        <v>-990</v>
      </c>
      <c r="N140">
        <f t="shared" si="7"/>
        <v>-54008</v>
      </c>
      <c r="O140" t="str">
        <f t="shared" si="8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6"/>
        <v>594</v>
      </c>
      <c r="M141">
        <f t="shared" si="6"/>
        <v>-945</v>
      </c>
      <c r="N141">
        <f t="shared" si="7"/>
        <v>-51701</v>
      </c>
      <c r="O141" t="str">
        <f t="shared" si="8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6"/>
        <v>594</v>
      </c>
      <c r="M142">
        <f t="shared" si="6"/>
        <v>-900</v>
      </c>
      <c r="N142">
        <f t="shared" si="7"/>
        <v>-49378</v>
      </c>
      <c r="O142" t="str">
        <f t="shared" si="8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6"/>
        <v>594</v>
      </c>
      <c r="M143">
        <f t="shared" si="6"/>
        <v>-855</v>
      </c>
      <c r="N143">
        <f t="shared" si="7"/>
        <v>-47040</v>
      </c>
      <c r="O143" t="str">
        <f t="shared" si="8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6"/>
        <v>594</v>
      </c>
      <c r="M144">
        <f t="shared" si="6"/>
        <v>-810</v>
      </c>
      <c r="N144">
        <f t="shared" si="7"/>
        <v>-44686</v>
      </c>
      <c r="O144" t="str">
        <f t="shared" si="8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6"/>
        <v>594</v>
      </c>
      <c r="M145">
        <f t="shared" si="6"/>
        <v>-765</v>
      </c>
      <c r="N145">
        <f t="shared" si="7"/>
        <v>-42317</v>
      </c>
      <c r="O145" t="str">
        <f t="shared" si="8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6"/>
        <v>594</v>
      </c>
      <c r="M146">
        <f t="shared" si="6"/>
        <v>-720</v>
      </c>
      <c r="N146">
        <f t="shared" si="7"/>
        <v>-39932</v>
      </c>
      <c r="O146" t="str">
        <f t="shared" si="8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6"/>
        <v>594</v>
      </c>
      <c r="M147">
        <f t="shared" si="6"/>
        <v>-675</v>
      </c>
      <c r="N147">
        <f t="shared" si="7"/>
        <v>-37531</v>
      </c>
      <c r="O147" t="str">
        <f t="shared" si="8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6"/>
        <v>594</v>
      </c>
      <c r="M148">
        <f t="shared" si="6"/>
        <v>-630</v>
      </c>
      <c r="N148">
        <f t="shared" si="7"/>
        <v>-35115</v>
      </c>
      <c r="O148" t="str">
        <f t="shared" si="8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6"/>
        <v>594</v>
      </c>
      <c r="M149">
        <f t="shared" si="6"/>
        <v>-585</v>
      </c>
      <c r="N149">
        <f t="shared" si="7"/>
        <v>-32683</v>
      </c>
      <c r="O149" t="str">
        <f t="shared" si="8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6"/>
        <v>594</v>
      </c>
      <c r="M150">
        <f t="shared" si="6"/>
        <v>-540</v>
      </c>
      <c r="N150">
        <f t="shared" si="7"/>
        <v>-30236</v>
      </c>
      <c r="O150" t="str">
        <f t="shared" si="8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6"/>
        <v>594</v>
      </c>
      <c r="M151">
        <f t="shared" si="6"/>
        <v>-495</v>
      </c>
      <c r="N151">
        <f t="shared" si="7"/>
        <v>-27773</v>
      </c>
      <c r="O151" t="str">
        <f t="shared" si="8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6"/>
        <v>594</v>
      </c>
      <c r="M152">
        <f t="shared" si="6"/>
        <v>-450</v>
      </c>
      <c r="N152">
        <f t="shared" si="7"/>
        <v>-25294</v>
      </c>
      <c r="O152" t="str">
        <f t="shared" si="8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6"/>
        <v>594</v>
      </c>
      <c r="M153">
        <f t="shared" si="6"/>
        <v>-405</v>
      </c>
      <c r="N153">
        <f t="shared" si="7"/>
        <v>-22800</v>
      </c>
      <c r="O153" t="str">
        <f t="shared" si="8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6"/>
        <v>594</v>
      </c>
      <c r="M154">
        <f t="shared" si="6"/>
        <v>-360</v>
      </c>
      <c r="N154">
        <f t="shared" si="7"/>
        <v>-20290</v>
      </c>
      <c r="O154" t="str">
        <f t="shared" si="8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6"/>
        <v>594</v>
      </c>
      <c r="M155">
        <f t="shared" si="6"/>
        <v>-315</v>
      </c>
      <c r="N155">
        <f t="shared" si="7"/>
        <v>-17765</v>
      </c>
      <c r="O155" t="str">
        <f t="shared" si="8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6"/>
        <v>594</v>
      </c>
      <c r="M156">
        <f t="shared" si="6"/>
        <v>-270</v>
      </c>
      <c r="N156">
        <f t="shared" si="7"/>
        <v>-15224</v>
      </c>
      <c r="O156" t="str">
        <f t="shared" si="8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6"/>
        <v>594</v>
      </c>
      <c r="M157">
        <f t="shared" si="6"/>
        <v>-225</v>
      </c>
      <c r="N157">
        <f t="shared" si="7"/>
        <v>-12668</v>
      </c>
      <c r="O157" t="str">
        <f t="shared" si="8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6"/>
        <v>594</v>
      </c>
      <c r="M158">
        <f t="shared" si="6"/>
        <v>-180</v>
      </c>
      <c r="N158">
        <f t="shared" si="7"/>
        <v>-10096</v>
      </c>
      <c r="O158" t="str">
        <f t="shared" si="8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6"/>
        <v>594</v>
      </c>
      <c r="M159">
        <f t="shared" si="6"/>
        <v>-135</v>
      </c>
      <c r="N159">
        <f t="shared" si="7"/>
        <v>-7508</v>
      </c>
      <c r="O159" t="str">
        <f t="shared" si="8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6"/>
        <v>594</v>
      </c>
      <c r="M160">
        <f t="shared" si="6"/>
        <v>-90</v>
      </c>
      <c r="N160">
        <f t="shared" si="7"/>
        <v>-4905</v>
      </c>
      <c r="O160" t="str">
        <f t="shared" si="8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6"/>
        <v>594</v>
      </c>
      <c r="M161">
        <f t="shared" si="6"/>
        <v>-45</v>
      </c>
      <c r="N161">
        <f t="shared" si="7"/>
        <v>-2286</v>
      </c>
      <c r="O161" t="str">
        <f t="shared" si="8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6"/>
        <v>594</v>
      </c>
      <c r="M162">
        <f t="shared" si="6"/>
        <v>-9</v>
      </c>
      <c r="N162">
        <f t="shared" si="7"/>
        <v>-180</v>
      </c>
      <c r="O162" t="str">
        <f t="shared" si="8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6"/>
        <v>594</v>
      </c>
      <c r="M163">
        <f t="shared" si="6"/>
        <v>9</v>
      </c>
      <c r="N163">
        <f t="shared" si="7"/>
        <v>971</v>
      </c>
      <c r="O163" t="str">
        <f t="shared" si="8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6"/>
        <v>594</v>
      </c>
      <c r="M164">
        <f t="shared" si="6"/>
        <v>45</v>
      </c>
      <c r="N164">
        <f t="shared" si="7"/>
        <v>3351</v>
      </c>
      <c r="O164" t="str">
        <f t="shared" si="8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6"/>
        <v>594</v>
      </c>
      <c r="M165">
        <f t="shared" si="6"/>
        <v>90</v>
      </c>
      <c r="N165">
        <f t="shared" si="7"/>
        <v>6341</v>
      </c>
      <c r="O165" t="str">
        <f t="shared" si="8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6"/>
        <v>594</v>
      </c>
      <c r="M166">
        <f t="shared" si="6"/>
        <v>135</v>
      </c>
      <c r="N166">
        <f t="shared" si="7"/>
        <v>9348</v>
      </c>
      <c r="O166" t="str">
        <f t="shared" si="8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6"/>
        <v>594</v>
      </c>
      <c r="M167">
        <f t="shared" si="6"/>
        <v>180</v>
      </c>
      <c r="N167">
        <f t="shared" si="7"/>
        <v>12372</v>
      </c>
      <c r="O167" t="str">
        <f t="shared" si="8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6"/>
        <v>594</v>
      </c>
      <c r="M168">
        <f t="shared" si="6"/>
        <v>225</v>
      </c>
      <c r="N168">
        <f t="shared" si="7"/>
        <v>15412</v>
      </c>
      <c r="O168" t="str">
        <f t="shared" si="8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6"/>
        <v>594</v>
      </c>
      <c r="M169">
        <f t="shared" si="6"/>
        <v>270</v>
      </c>
      <c r="N169">
        <f t="shared" si="7"/>
        <v>18470</v>
      </c>
      <c r="O169" t="str">
        <f t="shared" si="8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6"/>
        <v>594</v>
      </c>
      <c r="M170">
        <f t="shared" si="6"/>
        <v>315</v>
      </c>
      <c r="N170">
        <f t="shared" si="7"/>
        <v>21545</v>
      </c>
      <c r="O170" t="str">
        <f t="shared" si="8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6"/>
        <v>594</v>
      </c>
      <c r="M171">
        <f t="shared" si="6"/>
        <v>360</v>
      </c>
      <c r="N171">
        <f t="shared" si="7"/>
        <v>24636</v>
      </c>
      <c r="O171" t="str">
        <f t="shared" si="8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6"/>
        <v>594</v>
      </c>
      <c r="M172">
        <f t="shared" si="6"/>
        <v>405</v>
      </c>
      <c r="N172">
        <f t="shared" si="7"/>
        <v>27744</v>
      </c>
      <c r="O172" t="str">
        <f t="shared" si="8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6"/>
        <v>594</v>
      </c>
      <c r="M173">
        <f t="shared" si="6"/>
        <v>450</v>
      </c>
      <c r="N173">
        <f t="shared" si="7"/>
        <v>30870</v>
      </c>
      <c r="O173" t="str">
        <f t="shared" si="8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6"/>
        <v>594</v>
      </c>
      <c r="M174">
        <f t="shared" si="6"/>
        <v>495</v>
      </c>
      <c r="N174">
        <f t="shared" si="7"/>
        <v>34012</v>
      </c>
      <c r="O174" t="str">
        <f t="shared" si="8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6"/>
        <v>594</v>
      </c>
      <c r="M175">
        <f t="shared" si="6"/>
        <v>540</v>
      </c>
      <c r="N175">
        <f t="shared" si="7"/>
        <v>37171</v>
      </c>
      <c r="O175" t="str">
        <f t="shared" si="8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6"/>
        <v>594</v>
      </c>
      <c r="M176">
        <f t="shared" si="6"/>
        <v>585</v>
      </c>
      <c r="N176">
        <f t="shared" si="7"/>
        <v>40347</v>
      </c>
      <c r="O176" t="str">
        <f t="shared" si="8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6"/>
        <v>594</v>
      </c>
      <c r="M177">
        <f t="shared" si="6"/>
        <v>630</v>
      </c>
      <c r="N177">
        <f t="shared" si="7"/>
        <v>43540</v>
      </c>
      <c r="O177" t="str">
        <f t="shared" si="8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6"/>
        <v>594</v>
      </c>
      <c r="M178">
        <f t="shared" si="6"/>
        <v>675</v>
      </c>
      <c r="N178">
        <f t="shared" si="7"/>
        <v>46750</v>
      </c>
      <c r="O178" t="str">
        <f t="shared" si="8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6"/>
        <v>594</v>
      </c>
      <c r="M179">
        <f t="shared" si="6"/>
        <v>720</v>
      </c>
      <c r="N179">
        <f t="shared" si="7"/>
        <v>49977</v>
      </c>
      <c r="O179" t="str">
        <f t="shared" si="8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6"/>
        <v>594</v>
      </c>
      <c r="M180">
        <f t="shared" si="6"/>
        <v>765</v>
      </c>
      <c r="N180">
        <f t="shared" si="7"/>
        <v>53220</v>
      </c>
      <c r="O180" t="str">
        <f t="shared" si="8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6"/>
        <v>594</v>
      </c>
      <c r="M181">
        <f t="shared" si="6"/>
        <v>810</v>
      </c>
      <c r="N181">
        <f t="shared" si="7"/>
        <v>56481</v>
      </c>
      <c r="O181" t="str">
        <f t="shared" si="8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6"/>
        <v>594</v>
      </c>
      <c r="M182">
        <f t="shared" si="6"/>
        <v>855</v>
      </c>
      <c r="N182">
        <f t="shared" si="7"/>
        <v>59758</v>
      </c>
      <c r="O182" t="str">
        <f t="shared" si="8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6"/>
        <v>594</v>
      </c>
      <c r="M183">
        <f t="shared" si="6"/>
        <v>900</v>
      </c>
      <c r="N183">
        <f t="shared" si="7"/>
        <v>63053</v>
      </c>
      <c r="O183" t="str">
        <f t="shared" si="8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6"/>
        <v>594</v>
      </c>
      <c r="M184">
        <f t="shared" si="6"/>
        <v>945</v>
      </c>
      <c r="N184">
        <f t="shared" si="7"/>
        <v>66364</v>
      </c>
      <c r="O184" t="str">
        <f t="shared" si="8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6"/>
        <v>594</v>
      </c>
      <c r="M185">
        <f t="shared" si="6"/>
        <v>990</v>
      </c>
      <c r="N185">
        <f t="shared" si="7"/>
        <v>69692</v>
      </c>
      <c r="O185" t="str">
        <f t="shared" si="8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6"/>
        <v>891</v>
      </c>
      <c r="M186">
        <f t="shared" si="6"/>
        <v>-990</v>
      </c>
      <c r="N186">
        <f t="shared" si="7"/>
        <v>-82296</v>
      </c>
      <c r="O186" t="str">
        <f t="shared" si="8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6"/>
        <v>891</v>
      </c>
      <c r="M187">
        <f t="shared" si="6"/>
        <v>-945</v>
      </c>
      <c r="N187">
        <f t="shared" si="7"/>
        <v>-78735</v>
      </c>
      <c r="O187" t="str">
        <f t="shared" si="8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6"/>
        <v>891</v>
      </c>
      <c r="M188">
        <f t="shared" si="6"/>
        <v>-900</v>
      </c>
      <c r="N188">
        <f t="shared" si="7"/>
        <v>-75154</v>
      </c>
      <c r="O188" t="str">
        <f t="shared" si="8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6"/>
        <v>891</v>
      </c>
      <c r="M189">
        <f t="shared" si="6"/>
        <v>-855</v>
      </c>
      <c r="N189">
        <f t="shared" si="7"/>
        <v>-71554</v>
      </c>
      <c r="O189" t="str">
        <f t="shared" si="8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6"/>
        <v>891</v>
      </c>
      <c r="M190">
        <f t="shared" si="6"/>
        <v>-810</v>
      </c>
      <c r="N190">
        <f t="shared" si="7"/>
        <v>-67933</v>
      </c>
      <c r="O190" t="str">
        <f t="shared" si="8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6"/>
        <v>891</v>
      </c>
      <c r="M191">
        <f t="shared" si="6"/>
        <v>-765</v>
      </c>
      <c r="N191">
        <f t="shared" si="7"/>
        <v>-64293.000000000007</v>
      </c>
      <c r="O191" t="str">
        <f t="shared" si="8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6"/>
        <v>891</v>
      </c>
      <c r="M192">
        <f t="shared" si="6"/>
        <v>-720</v>
      </c>
      <c r="N192">
        <f t="shared" si="7"/>
        <v>-60633</v>
      </c>
      <c r="O192" t="str">
        <f t="shared" si="8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6"/>
        <v>891</v>
      </c>
      <c r="M193">
        <f t="shared" si="6"/>
        <v>-675</v>
      </c>
      <c r="N193">
        <f t="shared" si="7"/>
        <v>-56954</v>
      </c>
      <c r="O193" t="str">
        <f t="shared" si="8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6"/>
        <v>891</v>
      </c>
      <c r="M194">
        <f t="shared" si="6"/>
        <v>-630</v>
      </c>
      <c r="N194">
        <f t="shared" si="7"/>
        <v>-53254</v>
      </c>
      <c r="O194" t="str">
        <f t="shared" si="8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M258" si="9">A195</f>
        <v>891</v>
      </c>
      <c r="M195">
        <f t="shared" si="9"/>
        <v>-585</v>
      </c>
      <c r="N195">
        <f t="shared" ref="N195:N258" si="10">C195*1000</f>
        <v>-49535</v>
      </c>
      <c r="O195" t="str">
        <f t="shared" ref="O195:O258" si="11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9"/>
        <v>891</v>
      </c>
      <c r="M196">
        <f t="shared" si="9"/>
        <v>-540</v>
      </c>
      <c r="N196">
        <f t="shared" si="10"/>
        <v>-45796</v>
      </c>
      <c r="O196" t="str">
        <f t="shared" si="11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9"/>
        <v>891</v>
      </c>
      <c r="M197">
        <f t="shared" si="9"/>
        <v>-495</v>
      </c>
      <c r="N197">
        <f t="shared" si="10"/>
        <v>-42038</v>
      </c>
      <c r="O197" t="str">
        <f t="shared" si="11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9"/>
        <v>891</v>
      </c>
      <c r="M198">
        <f t="shared" si="9"/>
        <v>-450</v>
      </c>
      <c r="N198">
        <f t="shared" si="10"/>
        <v>-38259</v>
      </c>
      <c r="O198" t="str">
        <f t="shared" si="11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9"/>
        <v>891</v>
      </c>
      <c r="M199">
        <f t="shared" si="9"/>
        <v>-405</v>
      </c>
      <c r="N199">
        <f t="shared" si="10"/>
        <v>-34461</v>
      </c>
      <c r="O199" t="str">
        <f t="shared" si="11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9"/>
        <v>891</v>
      </c>
      <c r="M200">
        <f t="shared" si="9"/>
        <v>-360</v>
      </c>
      <c r="N200">
        <f t="shared" si="10"/>
        <v>-30643</v>
      </c>
      <c r="O200" t="str">
        <f t="shared" si="11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9"/>
        <v>891</v>
      </c>
      <c r="M201">
        <f t="shared" si="9"/>
        <v>-315</v>
      </c>
      <c r="N201">
        <f t="shared" si="10"/>
        <v>-26805</v>
      </c>
      <c r="O201" t="str">
        <f t="shared" si="11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9"/>
        <v>891</v>
      </c>
      <c r="M202">
        <f t="shared" si="9"/>
        <v>-270</v>
      </c>
      <c r="N202">
        <f t="shared" si="10"/>
        <v>-22948</v>
      </c>
      <c r="O202" t="str">
        <f t="shared" si="11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9"/>
        <v>891</v>
      </c>
      <c r="M203">
        <f t="shared" si="9"/>
        <v>-225</v>
      </c>
      <c r="N203">
        <f t="shared" si="10"/>
        <v>-19071</v>
      </c>
      <c r="O203" t="str">
        <f t="shared" si="11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9"/>
        <v>891</v>
      </c>
      <c r="M204">
        <f t="shared" si="9"/>
        <v>-180</v>
      </c>
      <c r="N204">
        <f t="shared" si="10"/>
        <v>-15174</v>
      </c>
      <c r="O204" t="str">
        <f t="shared" si="11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9"/>
        <v>891</v>
      </c>
      <c r="M205">
        <f t="shared" si="9"/>
        <v>-135</v>
      </c>
      <c r="N205">
        <f t="shared" si="10"/>
        <v>-11257</v>
      </c>
      <c r="O205" t="str">
        <f t="shared" si="11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9"/>
        <v>891</v>
      </c>
      <c r="M206">
        <f t="shared" si="9"/>
        <v>-90</v>
      </c>
      <c r="N206">
        <f t="shared" si="10"/>
        <v>-7321</v>
      </c>
      <c r="O206" t="str">
        <f t="shared" si="11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9"/>
        <v>891</v>
      </c>
      <c r="M207">
        <f t="shared" si="9"/>
        <v>-45</v>
      </c>
      <c r="N207">
        <f t="shared" si="10"/>
        <v>-3365</v>
      </c>
      <c r="O207" t="str">
        <f t="shared" si="11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9"/>
        <v>891</v>
      </c>
      <c r="M208">
        <f t="shared" si="9"/>
        <v>-9</v>
      </c>
      <c r="N208">
        <f t="shared" si="10"/>
        <v>-186</v>
      </c>
      <c r="O208" t="str">
        <f t="shared" si="11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9"/>
        <v>891</v>
      </c>
      <c r="M209">
        <f t="shared" si="9"/>
        <v>9</v>
      </c>
      <c r="N209">
        <f t="shared" si="10"/>
        <v>1548</v>
      </c>
      <c r="O209" t="str">
        <f t="shared" si="11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9"/>
        <v>891</v>
      </c>
      <c r="M210">
        <f t="shared" si="9"/>
        <v>45</v>
      </c>
      <c r="N210">
        <f t="shared" si="10"/>
        <v>5096</v>
      </c>
      <c r="O210" t="str">
        <f t="shared" si="11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9"/>
        <v>891</v>
      </c>
      <c r="M211">
        <f t="shared" si="9"/>
        <v>90</v>
      </c>
      <c r="N211">
        <f t="shared" si="10"/>
        <v>9551</v>
      </c>
      <c r="O211" t="str">
        <f t="shared" si="11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9"/>
        <v>891</v>
      </c>
      <c r="M212">
        <f t="shared" si="9"/>
        <v>135</v>
      </c>
      <c r="N212">
        <f t="shared" si="10"/>
        <v>14027</v>
      </c>
      <c r="O212" t="str">
        <f t="shared" si="11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9"/>
        <v>891</v>
      </c>
      <c r="M213">
        <f t="shared" si="9"/>
        <v>180</v>
      </c>
      <c r="N213">
        <f t="shared" si="10"/>
        <v>18525</v>
      </c>
      <c r="O213" t="str">
        <f t="shared" si="11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9"/>
        <v>891</v>
      </c>
      <c r="M214">
        <f t="shared" si="9"/>
        <v>225</v>
      </c>
      <c r="N214">
        <f t="shared" si="10"/>
        <v>23044</v>
      </c>
      <c r="O214" t="str">
        <f t="shared" si="11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9"/>
        <v>891</v>
      </c>
      <c r="M215">
        <f t="shared" si="9"/>
        <v>270</v>
      </c>
      <c r="N215">
        <f t="shared" si="10"/>
        <v>27584</v>
      </c>
      <c r="O215" t="str">
        <f t="shared" si="11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9"/>
        <v>891</v>
      </c>
      <c r="M216">
        <f t="shared" si="9"/>
        <v>315</v>
      </c>
      <c r="N216">
        <f t="shared" si="10"/>
        <v>32146</v>
      </c>
      <c r="O216" t="str">
        <f t="shared" si="11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9"/>
        <v>891</v>
      </c>
      <c r="M217">
        <f t="shared" si="9"/>
        <v>360</v>
      </c>
      <c r="N217">
        <f t="shared" si="10"/>
        <v>36729</v>
      </c>
      <c r="O217" t="str">
        <f t="shared" si="11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9"/>
        <v>891</v>
      </c>
      <c r="M218">
        <f t="shared" si="9"/>
        <v>405</v>
      </c>
      <c r="N218">
        <f t="shared" si="10"/>
        <v>41334</v>
      </c>
      <c r="O218" t="str">
        <f t="shared" si="11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9"/>
        <v>891</v>
      </c>
      <c r="M219">
        <f t="shared" si="9"/>
        <v>450</v>
      </c>
      <c r="N219">
        <f t="shared" si="10"/>
        <v>45960</v>
      </c>
      <c r="O219" t="str">
        <f t="shared" si="11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9"/>
        <v>891</v>
      </c>
      <c r="M220">
        <f t="shared" si="9"/>
        <v>495</v>
      </c>
      <c r="N220">
        <f t="shared" si="10"/>
        <v>50607</v>
      </c>
      <c r="O220" t="str">
        <f t="shared" si="11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9"/>
        <v>891</v>
      </c>
      <c r="M221">
        <f t="shared" si="9"/>
        <v>540</v>
      </c>
      <c r="N221">
        <f t="shared" si="10"/>
        <v>55276</v>
      </c>
      <c r="O221" t="str">
        <f t="shared" si="11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9"/>
        <v>891</v>
      </c>
      <c r="M222">
        <f t="shared" si="9"/>
        <v>585</v>
      </c>
      <c r="N222">
        <f t="shared" si="10"/>
        <v>59967</v>
      </c>
      <c r="O222" t="str">
        <f t="shared" si="11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9"/>
        <v>891</v>
      </c>
      <c r="M223">
        <f t="shared" si="9"/>
        <v>630</v>
      </c>
      <c r="N223">
        <f t="shared" si="10"/>
        <v>64679</v>
      </c>
      <c r="O223" t="str">
        <f t="shared" si="11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9"/>
        <v>891</v>
      </c>
      <c r="M224">
        <f t="shared" si="9"/>
        <v>675</v>
      </c>
      <c r="N224">
        <f t="shared" si="10"/>
        <v>69412</v>
      </c>
      <c r="O224" t="str">
        <f t="shared" si="11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9"/>
        <v>891</v>
      </c>
      <c r="M225">
        <f t="shared" si="9"/>
        <v>720</v>
      </c>
      <c r="N225">
        <f t="shared" si="10"/>
        <v>74167</v>
      </c>
      <c r="O225" t="str">
        <f t="shared" si="11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9"/>
        <v>891</v>
      </c>
      <c r="M226">
        <f t="shared" si="9"/>
        <v>765</v>
      </c>
      <c r="N226">
        <f t="shared" si="10"/>
        <v>78943</v>
      </c>
      <c r="O226" t="str">
        <f t="shared" si="11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9"/>
        <v>891</v>
      </c>
      <c r="M227">
        <f t="shared" si="9"/>
        <v>810</v>
      </c>
      <c r="N227">
        <f t="shared" si="10"/>
        <v>83740</v>
      </c>
      <c r="O227" t="str">
        <f t="shared" si="11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9"/>
        <v>891</v>
      </c>
      <c r="M228">
        <f t="shared" si="9"/>
        <v>855</v>
      </c>
      <c r="N228">
        <f t="shared" si="10"/>
        <v>88559</v>
      </c>
      <c r="O228" t="str">
        <f t="shared" si="11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9"/>
        <v>891</v>
      </c>
      <c r="M229">
        <f t="shared" si="9"/>
        <v>900</v>
      </c>
      <c r="N229">
        <f t="shared" si="10"/>
        <v>93400</v>
      </c>
      <c r="O229" t="str">
        <f t="shared" si="11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9"/>
        <v>891</v>
      </c>
      <c r="M230">
        <f t="shared" si="9"/>
        <v>945</v>
      </c>
      <c r="N230">
        <f t="shared" si="10"/>
        <v>98262</v>
      </c>
      <c r="O230" t="str">
        <f t="shared" si="11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9"/>
        <v>891</v>
      </c>
      <c r="M231">
        <f t="shared" si="9"/>
        <v>990</v>
      </c>
      <c r="N231">
        <f t="shared" si="10"/>
        <v>103145</v>
      </c>
      <c r="O231" t="str">
        <f t="shared" si="11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9"/>
        <v>1188</v>
      </c>
      <c r="M232">
        <f t="shared" si="9"/>
        <v>-990</v>
      </c>
      <c r="N232">
        <f t="shared" si="10"/>
        <v>-110110</v>
      </c>
      <c r="O232" t="str">
        <f t="shared" si="11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9"/>
        <v>1188</v>
      </c>
      <c r="M233">
        <f t="shared" si="9"/>
        <v>-945</v>
      </c>
      <c r="N233">
        <f t="shared" si="10"/>
        <v>-105329</v>
      </c>
      <c r="O233" t="str">
        <f t="shared" si="11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9"/>
        <v>1188</v>
      </c>
      <c r="M234">
        <f t="shared" si="9"/>
        <v>-900</v>
      </c>
      <c r="N234">
        <f t="shared" si="10"/>
        <v>-100523</v>
      </c>
      <c r="O234" t="str">
        <f t="shared" si="11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9"/>
        <v>1188</v>
      </c>
      <c r="M235">
        <f t="shared" si="9"/>
        <v>-855</v>
      </c>
      <c r="N235">
        <f t="shared" si="10"/>
        <v>-95691</v>
      </c>
      <c r="O235" t="str">
        <f t="shared" si="11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9"/>
        <v>1188</v>
      </c>
      <c r="M236">
        <f t="shared" si="9"/>
        <v>-810</v>
      </c>
      <c r="N236">
        <f t="shared" si="10"/>
        <v>-90834</v>
      </c>
      <c r="O236" t="str">
        <f t="shared" si="11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9"/>
        <v>1188</v>
      </c>
      <c r="M237">
        <f t="shared" si="9"/>
        <v>-765</v>
      </c>
      <c r="N237">
        <f t="shared" si="10"/>
        <v>-85952</v>
      </c>
      <c r="O237" t="str">
        <f t="shared" si="11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9"/>
        <v>1188</v>
      </c>
      <c r="M238">
        <f t="shared" si="9"/>
        <v>-720</v>
      </c>
      <c r="N238">
        <f t="shared" si="10"/>
        <v>-81044</v>
      </c>
      <c r="O238" t="str">
        <f t="shared" si="11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9"/>
        <v>1188</v>
      </c>
      <c r="M239">
        <f t="shared" si="9"/>
        <v>-675</v>
      </c>
      <c r="N239">
        <f t="shared" si="10"/>
        <v>-76110</v>
      </c>
      <c r="O239" t="str">
        <f t="shared" si="11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9"/>
        <v>1188</v>
      </c>
      <c r="M240">
        <f t="shared" si="9"/>
        <v>-630</v>
      </c>
      <c r="N240">
        <f t="shared" si="10"/>
        <v>-71151</v>
      </c>
      <c r="O240" t="str">
        <f t="shared" si="11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9"/>
        <v>1188</v>
      </c>
      <c r="M241">
        <f t="shared" si="9"/>
        <v>-585</v>
      </c>
      <c r="N241">
        <f t="shared" si="10"/>
        <v>-66166</v>
      </c>
      <c r="O241" t="str">
        <f t="shared" si="11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9"/>
        <v>1188</v>
      </c>
      <c r="M242">
        <f t="shared" si="9"/>
        <v>-540</v>
      </c>
      <c r="N242">
        <f t="shared" si="10"/>
        <v>-61156</v>
      </c>
      <c r="O242" t="str">
        <f t="shared" si="11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9"/>
        <v>1188</v>
      </c>
      <c r="M243">
        <f t="shared" si="9"/>
        <v>-495</v>
      </c>
      <c r="N243">
        <f t="shared" si="10"/>
        <v>-56120</v>
      </c>
      <c r="O243" t="str">
        <f t="shared" si="11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9"/>
        <v>1188</v>
      </c>
      <c r="M244">
        <f t="shared" si="9"/>
        <v>-450</v>
      </c>
      <c r="N244">
        <f t="shared" si="10"/>
        <v>-51059</v>
      </c>
      <c r="O244" t="str">
        <f t="shared" si="11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9"/>
        <v>1188</v>
      </c>
      <c r="M245">
        <f t="shared" si="9"/>
        <v>-405</v>
      </c>
      <c r="N245">
        <f t="shared" si="10"/>
        <v>-45972</v>
      </c>
      <c r="O245" t="str">
        <f t="shared" si="11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9"/>
        <v>1188</v>
      </c>
      <c r="M246">
        <f t="shared" si="9"/>
        <v>-360</v>
      </c>
      <c r="N246">
        <f t="shared" si="10"/>
        <v>-40859</v>
      </c>
      <c r="O246" t="str">
        <f t="shared" si="11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9"/>
        <v>1188</v>
      </c>
      <c r="M247">
        <f t="shared" si="9"/>
        <v>-315</v>
      </c>
      <c r="N247">
        <f t="shared" si="10"/>
        <v>-35721</v>
      </c>
      <c r="O247" t="str">
        <f t="shared" si="11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9"/>
        <v>1188</v>
      </c>
      <c r="M248">
        <f t="shared" si="9"/>
        <v>-270</v>
      </c>
      <c r="N248">
        <f t="shared" si="10"/>
        <v>-30558</v>
      </c>
      <c r="O248" t="str">
        <f t="shared" si="11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9"/>
        <v>1188</v>
      </c>
      <c r="M249">
        <f t="shared" si="9"/>
        <v>-225</v>
      </c>
      <c r="N249">
        <f t="shared" si="10"/>
        <v>-25369</v>
      </c>
      <c r="O249" t="str">
        <f t="shared" si="11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9"/>
        <v>1188</v>
      </c>
      <c r="M250">
        <f t="shared" si="9"/>
        <v>-180</v>
      </c>
      <c r="N250">
        <f t="shared" si="10"/>
        <v>-20154</v>
      </c>
      <c r="O250" t="str">
        <f t="shared" si="11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9"/>
        <v>1188</v>
      </c>
      <c r="M251">
        <f t="shared" si="9"/>
        <v>-135</v>
      </c>
      <c r="N251">
        <f t="shared" si="10"/>
        <v>-14914</v>
      </c>
      <c r="O251" t="str">
        <f t="shared" si="11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9"/>
        <v>1188</v>
      </c>
      <c r="M252">
        <f t="shared" si="9"/>
        <v>-90</v>
      </c>
      <c r="N252">
        <f t="shared" si="10"/>
        <v>-9649</v>
      </c>
      <c r="O252" t="str">
        <f t="shared" si="11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9"/>
        <v>1188</v>
      </c>
      <c r="M253">
        <f t="shared" si="9"/>
        <v>-45</v>
      </c>
      <c r="N253">
        <f t="shared" si="10"/>
        <v>-4358</v>
      </c>
      <c r="O253" t="str">
        <f t="shared" si="11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9"/>
        <v>1188</v>
      </c>
      <c r="M254">
        <f t="shared" si="9"/>
        <v>-9</v>
      </c>
      <c r="N254">
        <f t="shared" si="10"/>
        <v>-107</v>
      </c>
      <c r="O254" t="str">
        <f t="shared" si="11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9"/>
        <v>1188</v>
      </c>
      <c r="M255">
        <f t="shared" si="9"/>
        <v>9</v>
      </c>
      <c r="N255">
        <f t="shared" si="10"/>
        <v>2217</v>
      </c>
      <c r="O255" t="str">
        <f t="shared" si="11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9"/>
        <v>1188</v>
      </c>
      <c r="M256">
        <f t="shared" si="9"/>
        <v>45</v>
      </c>
      <c r="N256">
        <f t="shared" si="10"/>
        <v>6935</v>
      </c>
      <c r="O256" t="str">
        <f t="shared" si="11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9"/>
        <v>1188</v>
      </c>
      <c r="M257">
        <f t="shared" si="9"/>
        <v>90</v>
      </c>
      <c r="N257">
        <f t="shared" si="10"/>
        <v>12857</v>
      </c>
      <c r="O257" t="str">
        <f t="shared" si="11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9"/>
        <v>1188</v>
      </c>
      <c r="M258">
        <f t="shared" si="9"/>
        <v>135</v>
      </c>
      <c r="N258">
        <f t="shared" si="10"/>
        <v>18806</v>
      </c>
      <c r="O258" t="str">
        <f t="shared" si="11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M322" si="12">A259</f>
        <v>1188</v>
      </c>
      <c r="M259">
        <f t="shared" si="12"/>
        <v>180</v>
      </c>
      <c r="N259">
        <f t="shared" ref="N259:N322" si="13">C259*1000</f>
        <v>24784</v>
      </c>
      <c r="O259" t="str">
        <f t="shared" ref="O259:O322" si="14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2"/>
        <v>1188</v>
      </c>
      <c r="M260">
        <f t="shared" si="12"/>
        <v>225</v>
      </c>
      <c r="N260">
        <f t="shared" si="13"/>
        <v>30789</v>
      </c>
      <c r="O260" t="str">
        <f t="shared" si="14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2"/>
        <v>1188</v>
      </c>
      <c r="M261">
        <f t="shared" si="12"/>
        <v>270</v>
      </c>
      <c r="N261">
        <f t="shared" si="13"/>
        <v>36821</v>
      </c>
      <c r="O261" t="str">
        <f t="shared" si="14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2"/>
        <v>1188</v>
      </c>
      <c r="M262">
        <f t="shared" si="12"/>
        <v>315</v>
      </c>
      <c r="N262">
        <f t="shared" si="13"/>
        <v>42882</v>
      </c>
      <c r="O262" t="str">
        <f t="shared" si="14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2"/>
        <v>1188</v>
      </c>
      <c r="M263">
        <f t="shared" si="12"/>
        <v>360</v>
      </c>
      <c r="N263">
        <f t="shared" si="13"/>
        <v>48970</v>
      </c>
      <c r="O263" t="str">
        <f t="shared" si="14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2"/>
        <v>1188</v>
      </c>
      <c r="M264">
        <f t="shared" si="12"/>
        <v>405</v>
      </c>
      <c r="N264">
        <f t="shared" si="13"/>
        <v>55086</v>
      </c>
      <c r="O264" t="str">
        <f t="shared" si="14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2"/>
        <v>1188</v>
      </c>
      <c r="M265">
        <f t="shared" si="12"/>
        <v>450</v>
      </c>
      <c r="N265">
        <f t="shared" si="13"/>
        <v>61230</v>
      </c>
      <c r="O265" t="str">
        <f t="shared" si="14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2"/>
        <v>1188</v>
      </c>
      <c r="M266">
        <f t="shared" si="12"/>
        <v>495</v>
      </c>
      <c r="N266">
        <f t="shared" si="13"/>
        <v>67401</v>
      </c>
      <c r="O266" t="str">
        <f t="shared" si="14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2"/>
        <v>1188</v>
      </c>
      <c r="M267">
        <f t="shared" si="12"/>
        <v>540</v>
      </c>
      <c r="N267">
        <f t="shared" si="13"/>
        <v>73600</v>
      </c>
      <c r="O267" t="str">
        <f t="shared" si="14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2"/>
        <v>1188</v>
      </c>
      <c r="M268">
        <f t="shared" si="12"/>
        <v>585</v>
      </c>
      <c r="N268">
        <f t="shared" si="13"/>
        <v>79826</v>
      </c>
      <c r="O268" t="str">
        <f t="shared" si="14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2"/>
        <v>1188</v>
      </c>
      <c r="M269">
        <f t="shared" si="12"/>
        <v>630</v>
      </c>
      <c r="N269">
        <f t="shared" si="13"/>
        <v>86081</v>
      </c>
      <c r="O269" t="str">
        <f t="shared" si="14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2"/>
        <v>1188</v>
      </c>
      <c r="M270">
        <f t="shared" si="12"/>
        <v>675</v>
      </c>
      <c r="N270">
        <f t="shared" si="13"/>
        <v>92363</v>
      </c>
      <c r="O270" t="str">
        <f t="shared" si="14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2"/>
        <v>1188</v>
      </c>
      <c r="M271">
        <f t="shared" si="12"/>
        <v>720</v>
      </c>
      <c r="N271">
        <f t="shared" si="13"/>
        <v>98673</v>
      </c>
      <c r="O271" t="str">
        <f t="shared" si="14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2"/>
        <v>1188</v>
      </c>
      <c r="M272">
        <f t="shared" si="12"/>
        <v>765</v>
      </c>
      <c r="N272">
        <f t="shared" si="13"/>
        <v>105010</v>
      </c>
      <c r="O272" t="str">
        <f t="shared" si="14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2"/>
        <v>1188</v>
      </c>
      <c r="M273">
        <f t="shared" si="12"/>
        <v>810</v>
      </c>
      <c r="N273">
        <f t="shared" si="13"/>
        <v>111375</v>
      </c>
      <c r="O273" t="str">
        <f t="shared" si="14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2"/>
        <v>1188</v>
      </c>
      <c r="M274">
        <f t="shared" si="12"/>
        <v>855</v>
      </c>
      <c r="N274">
        <f t="shared" si="13"/>
        <v>117768</v>
      </c>
      <c r="O274" t="str">
        <f t="shared" si="14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2"/>
        <v>1188</v>
      </c>
      <c r="M275">
        <f t="shared" si="12"/>
        <v>900</v>
      </c>
      <c r="N275">
        <f t="shared" si="13"/>
        <v>124189</v>
      </c>
      <c r="O275" t="str">
        <f t="shared" si="14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2"/>
        <v>1188</v>
      </c>
      <c r="M276">
        <f t="shared" si="12"/>
        <v>945</v>
      </c>
      <c r="N276">
        <f t="shared" si="13"/>
        <v>130637</v>
      </c>
      <c r="O276" t="str">
        <f t="shared" si="14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2"/>
        <v>1188</v>
      </c>
      <c r="M277">
        <f t="shared" si="12"/>
        <v>990</v>
      </c>
      <c r="N277">
        <f t="shared" si="13"/>
        <v>137113</v>
      </c>
      <c r="O277" t="str">
        <f t="shared" si="14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2"/>
        <v>1485</v>
      </c>
      <c r="M278">
        <f t="shared" si="12"/>
        <v>-990</v>
      </c>
      <c r="N278">
        <f t="shared" si="13"/>
        <v>-137428</v>
      </c>
      <c r="O278" t="str">
        <f t="shared" si="14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2"/>
        <v>1485</v>
      </c>
      <c r="M279">
        <f t="shared" si="12"/>
        <v>-945</v>
      </c>
      <c r="N279">
        <f t="shared" si="13"/>
        <v>-131463</v>
      </c>
      <c r="O279" t="str">
        <f t="shared" si="14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2"/>
        <v>1485</v>
      </c>
      <c r="M280">
        <f t="shared" si="12"/>
        <v>-900</v>
      </c>
      <c r="N280">
        <f t="shared" si="13"/>
        <v>-125465</v>
      </c>
      <c r="O280" t="str">
        <f t="shared" si="14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2"/>
        <v>1485</v>
      </c>
      <c r="M281">
        <f t="shared" si="12"/>
        <v>-855</v>
      </c>
      <c r="N281">
        <f t="shared" si="13"/>
        <v>-119434</v>
      </c>
      <c r="O281" t="str">
        <f t="shared" si="14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2"/>
        <v>1485</v>
      </c>
      <c r="M282">
        <f t="shared" si="12"/>
        <v>-810</v>
      </c>
      <c r="N282">
        <f t="shared" si="13"/>
        <v>-113370</v>
      </c>
      <c r="O282" t="str">
        <f t="shared" si="14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2"/>
        <v>1485</v>
      </c>
      <c r="M283">
        <f t="shared" si="12"/>
        <v>-765</v>
      </c>
      <c r="N283">
        <f t="shared" si="13"/>
        <v>-107273</v>
      </c>
      <c r="O283" t="str">
        <f t="shared" si="14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2"/>
        <v>1485</v>
      </c>
      <c r="M284">
        <f t="shared" si="12"/>
        <v>-720</v>
      </c>
      <c r="N284">
        <f t="shared" si="13"/>
        <v>-101143</v>
      </c>
      <c r="O284" t="str">
        <f t="shared" si="14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2"/>
        <v>1485</v>
      </c>
      <c r="M285">
        <f t="shared" si="12"/>
        <v>-675</v>
      </c>
      <c r="N285">
        <f t="shared" si="13"/>
        <v>-94981</v>
      </c>
      <c r="O285" t="str">
        <f t="shared" si="14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2"/>
        <v>1485</v>
      </c>
      <c r="M286">
        <f t="shared" si="12"/>
        <v>-630</v>
      </c>
      <c r="N286">
        <f t="shared" si="13"/>
        <v>-88785</v>
      </c>
      <c r="O286" t="str">
        <f t="shared" si="14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2"/>
        <v>1485</v>
      </c>
      <c r="M287">
        <f t="shared" si="12"/>
        <v>-585</v>
      </c>
      <c r="N287">
        <f t="shared" si="13"/>
        <v>-82556</v>
      </c>
      <c r="O287" t="str">
        <f t="shared" si="14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2"/>
        <v>1485</v>
      </c>
      <c r="M288">
        <f t="shared" si="12"/>
        <v>-540</v>
      </c>
      <c r="N288">
        <f t="shared" si="13"/>
        <v>-76295</v>
      </c>
      <c r="O288" t="str">
        <f t="shared" si="14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2"/>
        <v>1485</v>
      </c>
      <c r="M289">
        <f t="shared" si="12"/>
        <v>-495</v>
      </c>
      <c r="N289">
        <f t="shared" si="13"/>
        <v>-70000</v>
      </c>
      <c r="O289" t="str">
        <f t="shared" si="14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2"/>
        <v>1485</v>
      </c>
      <c r="M290">
        <f t="shared" si="12"/>
        <v>-450</v>
      </c>
      <c r="N290">
        <f t="shared" si="13"/>
        <v>-63673</v>
      </c>
      <c r="O290" t="str">
        <f t="shared" si="14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2"/>
        <v>1485</v>
      </c>
      <c r="M291">
        <f t="shared" si="12"/>
        <v>-405</v>
      </c>
      <c r="N291">
        <f t="shared" si="13"/>
        <v>-57313</v>
      </c>
      <c r="O291" t="str">
        <f t="shared" si="14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2"/>
        <v>1485</v>
      </c>
      <c r="M292">
        <f t="shared" si="12"/>
        <v>-360</v>
      </c>
      <c r="N292">
        <f t="shared" si="13"/>
        <v>-50920</v>
      </c>
      <c r="O292" t="str">
        <f t="shared" si="14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2"/>
        <v>1485</v>
      </c>
      <c r="M293">
        <f t="shared" si="12"/>
        <v>-315</v>
      </c>
      <c r="N293">
        <f t="shared" si="13"/>
        <v>-44494</v>
      </c>
      <c r="O293" t="str">
        <f t="shared" si="14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2"/>
        <v>1485</v>
      </c>
      <c r="M294">
        <f t="shared" si="12"/>
        <v>-270</v>
      </c>
      <c r="N294">
        <f t="shared" si="13"/>
        <v>-38035</v>
      </c>
      <c r="O294" t="str">
        <f t="shared" si="14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2"/>
        <v>1485</v>
      </c>
      <c r="M295">
        <f t="shared" si="12"/>
        <v>-225</v>
      </c>
      <c r="N295">
        <f t="shared" si="13"/>
        <v>-31543</v>
      </c>
      <c r="O295" t="str">
        <f t="shared" si="14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2"/>
        <v>1485</v>
      </c>
      <c r="M296">
        <f t="shared" si="12"/>
        <v>-180</v>
      </c>
      <c r="N296">
        <f t="shared" si="13"/>
        <v>-25018</v>
      </c>
      <c r="O296" t="str">
        <f t="shared" si="14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2"/>
        <v>1485</v>
      </c>
      <c r="M297">
        <f t="shared" si="12"/>
        <v>-135</v>
      </c>
      <c r="N297">
        <f t="shared" si="13"/>
        <v>-18460</v>
      </c>
      <c r="O297" t="str">
        <f t="shared" si="14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2"/>
        <v>1485</v>
      </c>
      <c r="M298">
        <f t="shared" si="12"/>
        <v>-90</v>
      </c>
      <c r="N298">
        <f t="shared" si="13"/>
        <v>-11869</v>
      </c>
      <c r="O298" t="str">
        <f t="shared" si="14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2"/>
        <v>1485</v>
      </c>
      <c r="M299">
        <f t="shared" si="12"/>
        <v>-45</v>
      </c>
      <c r="N299">
        <f t="shared" si="13"/>
        <v>-5246</v>
      </c>
      <c r="O299" t="str">
        <f t="shared" si="14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2"/>
        <v>1485</v>
      </c>
      <c r="M300">
        <f t="shared" si="12"/>
        <v>-9</v>
      </c>
      <c r="N300">
        <f t="shared" si="13"/>
        <v>0</v>
      </c>
      <c r="O300" t="str">
        <f t="shared" si="14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2"/>
        <v>1485</v>
      </c>
      <c r="M301">
        <f t="shared" si="12"/>
        <v>9</v>
      </c>
      <c r="N301">
        <f t="shared" si="13"/>
        <v>2999</v>
      </c>
      <c r="O301" t="str">
        <f t="shared" si="14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2"/>
        <v>1485</v>
      </c>
      <c r="M302">
        <f t="shared" si="12"/>
        <v>45</v>
      </c>
      <c r="N302">
        <f t="shared" si="13"/>
        <v>8887</v>
      </c>
      <c r="O302" t="str">
        <f t="shared" si="14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2"/>
        <v>1485</v>
      </c>
      <c r="M303">
        <f t="shared" si="12"/>
        <v>90</v>
      </c>
      <c r="N303">
        <f t="shared" si="13"/>
        <v>16279</v>
      </c>
      <c r="O303" t="str">
        <f t="shared" si="14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2"/>
        <v>1485</v>
      </c>
      <c r="M304">
        <f t="shared" si="12"/>
        <v>135</v>
      </c>
      <c r="N304">
        <f t="shared" si="13"/>
        <v>23706</v>
      </c>
      <c r="O304" t="str">
        <f t="shared" si="14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2"/>
        <v>1485</v>
      </c>
      <c r="M305">
        <f t="shared" si="12"/>
        <v>180</v>
      </c>
      <c r="N305">
        <f t="shared" si="13"/>
        <v>31170</v>
      </c>
      <c r="O305" t="str">
        <f t="shared" si="14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2"/>
        <v>1485</v>
      </c>
      <c r="M306">
        <f t="shared" si="12"/>
        <v>225</v>
      </c>
      <c r="N306">
        <f t="shared" si="13"/>
        <v>38669</v>
      </c>
      <c r="O306" t="str">
        <f t="shared" si="14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2"/>
        <v>1485</v>
      </c>
      <c r="M307">
        <f t="shared" si="12"/>
        <v>270</v>
      </c>
      <c r="N307">
        <f t="shared" si="13"/>
        <v>46204</v>
      </c>
      <c r="O307" t="str">
        <f t="shared" si="14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2"/>
        <v>1485</v>
      </c>
      <c r="M308">
        <f t="shared" si="12"/>
        <v>315</v>
      </c>
      <c r="N308">
        <f t="shared" si="13"/>
        <v>53774</v>
      </c>
      <c r="O308" t="str">
        <f t="shared" si="14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2"/>
        <v>1485</v>
      </c>
      <c r="M309">
        <f t="shared" si="12"/>
        <v>360</v>
      </c>
      <c r="N309">
        <f t="shared" si="13"/>
        <v>61380</v>
      </c>
      <c r="O309" t="str">
        <f t="shared" si="14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2"/>
        <v>1485</v>
      </c>
      <c r="M310">
        <f t="shared" si="12"/>
        <v>405</v>
      </c>
      <c r="N310">
        <f t="shared" si="13"/>
        <v>69022</v>
      </c>
      <c r="O310" t="str">
        <f t="shared" si="14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2"/>
        <v>1485</v>
      </c>
      <c r="M311">
        <f t="shared" si="12"/>
        <v>450</v>
      </c>
      <c r="N311">
        <f t="shared" si="13"/>
        <v>76700</v>
      </c>
      <c r="O311" t="str">
        <f t="shared" si="14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2"/>
        <v>1485</v>
      </c>
      <c r="M312">
        <f t="shared" si="12"/>
        <v>495</v>
      </c>
      <c r="N312">
        <f t="shared" si="13"/>
        <v>84413</v>
      </c>
      <c r="O312" t="str">
        <f t="shared" si="14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2"/>
        <v>1485</v>
      </c>
      <c r="M313">
        <f t="shared" si="12"/>
        <v>540</v>
      </c>
      <c r="N313">
        <f t="shared" si="13"/>
        <v>92162</v>
      </c>
      <c r="O313" t="str">
        <f t="shared" si="14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2"/>
        <v>1485</v>
      </c>
      <c r="M314">
        <f t="shared" si="12"/>
        <v>585</v>
      </c>
      <c r="N314">
        <f t="shared" si="13"/>
        <v>99947</v>
      </c>
      <c r="O314" t="str">
        <f t="shared" si="14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2"/>
        <v>1485</v>
      </c>
      <c r="M315">
        <f t="shared" si="12"/>
        <v>630</v>
      </c>
      <c r="N315">
        <f t="shared" si="13"/>
        <v>107768</v>
      </c>
      <c r="O315" t="str">
        <f t="shared" si="14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2"/>
        <v>1485</v>
      </c>
      <c r="M316">
        <f t="shared" si="12"/>
        <v>675</v>
      </c>
      <c r="N316">
        <f t="shared" si="13"/>
        <v>115624</v>
      </c>
      <c r="O316" t="str">
        <f t="shared" si="14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2"/>
        <v>1485</v>
      </c>
      <c r="M317">
        <f t="shared" si="12"/>
        <v>720</v>
      </c>
      <c r="N317">
        <f t="shared" si="13"/>
        <v>123516</v>
      </c>
      <c r="O317" t="str">
        <f t="shared" si="14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2"/>
        <v>1485</v>
      </c>
      <c r="M318">
        <f t="shared" si="12"/>
        <v>765</v>
      </c>
      <c r="N318">
        <f t="shared" si="13"/>
        <v>131443</v>
      </c>
      <c r="O318" t="str">
        <f t="shared" si="14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2"/>
        <v>1485</v>
      </c>
      <c r="M319">
        <f t="shared" si="12"/>
        <v>810</v>
      </c>
      <c r="N319">
        <f t="shared" si="13"/>
        <v>139407</v>
      </c>
      <c r="O319" t="str">
        <f t="shared" si="14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2"/>
        <v>1485</v>
      </c>
      <c r="M320">
        <f t="shared" si="12"/>
        <v>855</v>
      </c>
      <c r="N320">
        <f t="shared" si="13"/>
        <v>147406</v>
      </c>
      <c r="O320" t="str">
        <f t="shared" si="14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2"/>
        <v>1485</v>
      </c>
      <c r="M321">
        <f t="shared" si="12"/>
        <v>900</v>
      </c>
      <c r="N321">
        <f t="shared" si="13"/>
        <v>155441</v>
      </c>
      <c r="O321" t="str">
        <f t="shared" si="14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2"/>
        <v>1485</v>
      </c>
      <c r="M322">
        <f t="shared" si="12"/>
        <v>945</v>
      </c>
      <c r="N322">
        <f t="shared" si="13"/>
        <v>163511</v>
      </c>
      <c r="O322" t="str">
        <f t="shared" si="14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M386" si="15">A323</f>
        <v>1485</v>
      </c>
      <c r="M323">
        <f t="shared" si="15"/>
        <v>990</v>
      </c>
      <c r="N323">
        <f t="shared" ref="N323:N386" si="16">C323*1000</f>
        <v>171618</v>
      </c>
      <c r="O323" t="str">
        <f t="shared" ref="O323:O386" si="17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15"/>
        <v>1782</v>
      </c>
      <c r="M324">
        <f t="shared" si="15"/>
        <v>-990</v>
      </c>
      <c r="N324">
        <f t="shared" si="16"/>
        <v>-164233</v>
      </c>
      <c r="O324" t="str">
        <f t="shared" si="17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15"/>
        <v>1782</v>
      </c>
      <c r="M325">
        <f t="shared" si="15"/>
        <v>-945</v>
      </c>
      <c r="N325">
        <f t="shared" si="16"/>
        <v>-157118</v>
      </c>
      <c r="O325" t="str">
        <f t="shared" si="17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15"/>
        <v>1782</v>
      </c>
      <c r="M326">
        <f t="shared" si="15"/>
        <v>-900</v>
      </c>
      <c r="N326">
        <f t="shared" si="16"/>
        <v>-149961</v>
      </c>
      <c r="O326" t="str">
        <f t="shared" si="17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15"/>
        <v>1782</v>
      </c>
      <c r="M327">
        <f t="shared" si="15"/>
        <v>-855</v>
      </c>
      <c r="N327">
        <f t="shared" si="16"/>
        <v>-142762</v>
      </c>
      <c r="O327" t="str">
        <f t="shared" si="17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15"/>
        <v>1782</v>
      </c>
      <c r="M328">
        <f t="shared" si="15"/>
        <v>-810</v>
      </c>
      <c r="N328">
        <f t="shared" si="16"/>
        <v>-135521</v>
      </c>
      <c r="O328" t="str">
        <f t="shared" si="17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15"/>
        <v>1782</v>
      </c>
      <c r="M329">
        <f t="shared" si="15"/>
        <v>-765</v>
      </c>
      <c r="N329">
        <f t="shared" si="16"/>
        <v>-128238</v>
      </c>
      <c r="O329" t="str">
        <f t="shared" si="17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15"/>
        <v>1782</v>
      </c>
      <c r="M330">
        <f t="shared" si="15"/>
        <v>-720</v>
      </c>
      <c r="N330">
        <f t="shared" si="16"/>
        <v>-120913</v>
      </c>
      <c r="O330" t="str">
        <f t="shared" si="17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15"/>
        <v>1782</v>
      </c>
      <c r="M331">
        <f t="shared" si="15"/>
        <v>-675</v>
      </c>
      <c r="N331">
        <f t="shared" si="16"/>
        <v>-113546</v>
      </c>
      <c r="O331" t="str">
        <f t="shared" si="17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15"/>
        <v>1782</v>
      </c>
      <c r="M332">
        <f t="shared" si="15"/>
        <v>-630</v>
      </c>
      <c r="N332">
        <f t="shared" si="16"/>
        <v>-106137</v>
      </c>
      <c r="O332" t="str">
        <f t="shared" si="17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15"/>
        <v>1782</v>
      </c>
      <c r="M333">
        <f t="shared" si="15"/>
        <v>-585</v>
      </c>
      <c r="N333">
        <f t="shared" si="16"/>
        <v>-98687</v>
      </c>
      <c r="O333" t="str">
        <f t="shared" si="17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15"/>
        <v>1782</v>
      </c>
      <c r="M334">
        <f t="shared" si="15"/>
        <v>-540</v>
      </c>
      <c r="N334">
        <f t="shared" si="16"/>
        <v>-91194</v>
      </c>
      <c r="O334" t="str">
        <f t="shared" si="17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15"/>
        <v>1782</v>
      </c>
      <c r="M335">
        <f t="shared" si="15"/>
        <v>-495</v>
      </c>
      <c r="N335">
        <f t="shared" si="16"/>
        <v>-83660</v>
      </c>
      <c r="O335" t="str">
        <f t="shared" si="17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15"/>
        <v>1782</v>
      </c>
      <c r="M336">
        <f t="shared" si="15"/>
        <v>-450</v>
      </c>
      <c r="N336">
        <f t="shared" si="16"/>
        <v>-76083</v>
      </c>
      <c r="O336" t="str">
        <f t="shared" si="17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15"/>
        <v>1782</v>
      </c>
      <c r="M337">
        <f t="shared" si="15"/>
        <v>-405</v>
      </c>
      <c r="N337">
        <f t="shared" si="16"/>
        <v>-68465</v>
      </c>
      <c r="O337" t="str">
        <f t="shared" si="17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15"/>
        <v>1782</v>
      </c>
      <c r="M338">
        <f t="shared" si="15"/>
        <v>-360</v>
      </c>
      <c r="N338">
        <f t="shared" si="16"/>
        <v>-60805</v>
      </c>
      <c r="O338" t="str">
        <f t="shared" si="17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15"/>
        <v>1782</v>
      </c>
      <c r="M339">
        <f t="shared" si="15"/>
        <v>-315</v>
      </c>
      <c r="N339">
        <f t="shared" si="16"/>
        <v>-53103</v>
      </c>
      <c r="O339" t="str">
        <f t="shared" si="17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15"/>
        <v>1782</v>
      </c>
      <c r="M340">
        <f t="shared" si="15"/>
        <v>-270</v>
      </c>
      <c r="N340">
        <f t="shared" si="16"/>
        <v>-45358</v>
      </c>
      <c r="O340" t="str">
        <f t="shared" si="17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15"/>
        <v>1782</v>
      </c>
      <c r="M341">
        <f t="shared" si="15"/>
        <v>-225</v>
      </c>
      <c r="N341">
        <f t="shared" si="16"/>
        <v>-37572</v>
      </c>
      <c r="O341" t="str">
        <f t="shared" si="17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15"/>
        <v>1782</v>
      </c>
      <c r="M342">
        <f t="shared" si="15"/>
        <v>-180</v>
      </c>
      <c r="N342">
        <f t="shared" si="16"/>
        <v>-29745</v>
      </c>
      <c r="O342" t="str">
        <f t="shared" si="17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15"/>
        <v>1782</v>
      </c>
      <c r="M343">
        <f t="shared" si="15"/>
        <v>-135</v>
      </c>
      <c r="N343">
        <f t="shared" si="16"/>
        <v>-21875</v>
      </c>
      <c r="O343" t="str">
        <f t="shared" si="17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15"/>
        <v>1782</v>
      </c>
      <c r="M344">
        <f t="shared" si="15"/>
        <v>-90</v>
      </c>
      <c r="N344">
        <f t="shared" si="16"/>
        <v>-13963</v>
      </c>
      <c r="O344" t="str">
        <f t="shared" si="17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15"/>
        <v>1782</v>
      </c>
      <c r="M345">
        <f t="shared" si="15"/>
        <v>-45</v>
      </c>
      <c r="N345">
        <f t="shared" si="16"/>
        <v>-6009</v>
      </c>
      <c r="O345" t="str">
        <f t="shared" si="17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15"/>
        <v>1782</v>
      </c>
      <c r="M346">
        <f t="shared" si="15"/>
        <v>-9</v>
      </c>
      <c r="N346">
        <f t="shared" si="16"/>
        <v>0</v>
      </c>
      <c r="O346" t="str">
        <f t="shared" si="17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15"/>
        <v>1782</v>
      </c>
      <c r="M347">
        <f t="shared" si="15"/>
        <v>9</v>
      </c>
      <c r="N347">
        <f t="shared" si="16"/>
        <v>3916</v>
      </c>
      <c r="O347" t="str">
        <f t="shared" si="17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15"/>
        <v>1782</v>
      </c>
      <c r="M348">
        <f t="shared" si="15"/>
        <v>45</v>
      </c>
      <c r="N348">
        <f t="shared" si="16"/>
        <v>10974</v>
      </c>
      <c r="O348" t="str">
        <f t="shared" si="17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15"/>
        <v>1782</v>
      </c>
      <c r="M349">
        <f t="shared" si="15"/>
        <v>90</v>
      </c>
      <c r="N349">
        <f t="shared" si="16"/>
        <v>19839</v>
      </c>
      <c r="O349" t="str">
        <f t="shared" si="17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15"/>
        <v>1782</v>
      </c>
      <c r="M350">
        <f t="shared" si="15"/>
        <v>135</v>
      </c>
      <c r="N350">
        <f t="shared" si="16"/>
        <v>28749</v>
      </c>
      <c r="O350" t="str">
        <f t="shared" si="17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15"/>
        <v>1782</v>
      </c>
      <c r="M351">
        <f t="shared" si="15"/>
        <v>180</v>
      </c>
      <c r="N351">
        <f t="shared" si="16"/>
        <v>37704</v>
      </c>
      <c r="O351" t="str">
        <f t="shared" si="17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15"/>
        <v>1782</v>
      </c>
      <c r="M352">
        <f t="shared" si="15"/>
        <v>225</v>
      </c>
      <c r="N352">
        <f t="shared" si="16"/>
        <v>46705</v>
      </c>
      <c r="O352" t="str">
        <f t="shared" si="17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15"/>
        <v>1782</v>
      </c>
      <c r="M353">
        <f t="shared" si="15"/>
        <v>270</v>
      </c>
      <c r="N353">
        <f t="shared" si="16"/>
        <v>55751</v>
      </c>
      <c r="O353" t="str">
        <f t="shared" si="17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15"/>
        <v>1782</v>
      </c>
      <c r="M354">
        <f t="shared" si="15"/>
        <v>315</v>
      </c>
      <c r="N354">
        <f t="shared" si="16"/>
        <v>64843</v>
      </c>
      <c r="O354" t="str">
        <f t="shared" si="17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15"/>
        <v>1782</v>
      </c>
      <c r="M355">
        <f t="shared" si="15"/>
        <v>360</v>
      </c>
      <c r="N355">
        <f t="shared" si="16"/>
        <v>73981</v>
      </c>
      <c r="O355" t="str">
        <f t="shared" si="17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15"/>
        <v>1782</v>
      </c>
      <c r="M356">
        <f t="shared" si="15"/>
        <v>405</v>
      </c>
      <c r="N356">
        <f t="shared" si="16"/>
        <v>83163</v>
      </c>
      <c r="O356" t="str">
        <f t="shared" si="17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15"/>
        <v>1782</v>
      </c>
      <c r="M357">
        <f t="shared" si="15"/>
        <v>450</v>
      </c>
      <c r="N357">
        <f t="shared" si="16"/>
        <v>92392</v>
      </c>
      <c r="O357" t="str">
        <f t="shared" si="17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15"/>
        <v>1782</v>
      </c>
      <c r="M358">
        <f t="shared" si="15"/>
        <v>495</v>
      </c>
      <c r="N358">
        <f t="shared" si="16"/>
        <v>101666</v>
      </c>
      <c r="O358" t="str">
        <f t="shared" si="17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15"/>
        <v>1782</v>
      </c>
      <c r="M359">
        <f t="shared" si="15"/>
        <v>540</v>
      </c>
      <c r="N359">
        <f t="shared" si="16"/>
        <v>110985</v>
      </c>
      <c r="O359" t="str">
        <f t="shared" si="17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15"/>
        <v>1782</v>
      </c>
      <c r="M360">
        <f t="shared" si="15"/>
        <v>585</v>
      </c>
      <c r="N360">
        <f t="shared" si="16"/>
        <v>120350</v>
      </c>
      <c r="O360" t="str">
        <f t="shared" si="17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15"/>
        <v>1782</v>
      </c>
      <c r="M361">
        <f t="shared" si="15"/>
        <v>630</v>
      </c>
      <c r="N361">
        <f t="shared" si="16"/>
        <v>129759.99999999999</v>
      </c>
      <c r="O361" t="str">
        <f t="shared" si="17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15"/>
        <v>1782</v>
      </c>
      <c r="M362">
        <f t="shared" si="15"/>
        <v>675</v>
      </c>
      <c r="N362">
        <f t="shared" si="16"/>
        <v>139216</v>
      </c>
      <c r="O362" t="str">
        <f t="shared" si="17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15"/>
        <v>1782</v>
      </c>
      <c r="M363">
        <f t="shared" si="15"/>
        <v>720</v>
      </c>
      <c r="N363">
        <f t="shared" si="16"/>
        <v>148717</v>
      </c>
      <c r="O363" t="str">
        <f t="shared" si="17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15"/>
        <v>1782</v>
      </c>
      <c r="M364">
        <f t="shared" si="15"/>
        <v>765</v>
      </c>
      <c r="N364">
        <f t="shared" si="16"/>
        <v>158264</v>
      </c>
      <c r="O364" t="str">
        <f t="shared" si="17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15"/>
        <v>1782</v>
      </c>
      <c r="M365">
        <f t="shared" si="15"/>
        <v>810</v>
      </c>
      <c r="N365">
        <f t="shared" si="16"/>
        <v>167856</v>
      </c>
      <c r="O365" t="str">
        <f t="shared" si="17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15"/>
        <v>1782</v>
      </c>
      <c r="M366">
        <f t="shared" si="15"/>
        <v>855</v>
      </c>
      <c r="N366">
        <f t="shared" si="16"/>
        <v>177494</v>
      </c>
      <c r="O366" t="str">
        <f t="shared" si="17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15"/>
        <v>1782</v>
      </c>
      <c r="M367">
        <f t="shared" si="15"/>
        <v>900</v>
      </c>
      <c r="N367">
        <f t="shared" si="16"/>
        <v>187177</v>
      </c>
      <c r="O367" t="str">
        <f t="shared" si="17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15"/>
        <v>1782</v>
      </c>
      <c r="M368">
        <f t="shared" si="15"/>
        <v>945</v>
      </c>
      <c r="N368">
        <f t="shared" si="16"/>
        <v>196906</v>
      </c>
      <c r="O368" t="str">
        <f t="shared" si="17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15"/>
        <v>1782</v>
      </c>
      <c r="M369">
        <f t="shared" si="15"/>
        <v>990</v>
      </c>
      <c r="N369">
        <f t="shared" si="16"/>
        <v>206680</v>
      </c>
      <c r="O369" t="str">
        <f t="shared" si="17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15"/>
        <v>2079</v>
      </c>
      <c r="M370">
        <f t="shared" si="15"/>
        <v>-990</v>
      </c>
      <c r="N370">
        <f t="shared" si="16"/>
        <v>-190505</v>
      </c>
      <c r="O370" t="str">
        <f t="shared" si="17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15"/>
        <v>2079</v>
      </c>
      <c r="M371">
        <f t="shared" si="15"/>
        <v>-945</v>
      </c>
      <c r="N371">
        <f t="shared" si="16"/>
        <v>-182275</v>
      </c>
      <c r="O371" t="str">
        <f t="shared" si="17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15"/>
        <v>2079</v>
      </c>
      <c r="M372">
        <f t="shared" si="15"/>
        <v>-900</v>
      </c>
      <c r="N372">
        <f t="shared" si="16"/>
        <v>-173991</v>
      </c>
      <c r="O372" t="str">
        <f t="shared" si="17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15"/>
        <v>2079</v>
      </c>
      <c r="M373">
        <f t="shared" si="15"/>
        <v>-855</v>
      </c>
      <c r="N373">
        <f t="shared" si="16"/>
        <v>-165656</v>
      </c>
      <c r="O373" t="str">
        <f t="shared" si="17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15"/>
        <v>2079</v>
      </c>
      <c r="M374">
        <f t="shared" si="15"/>
        <v>-810</v>
      </c>
      <c r="N374">
        <f t="shared" si="16"/>
        <v>-157267</v>
      </c>
      <c r="O374" t="str">
        <f t="shared" si="17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15"/>
        <v>2079</v>
      </c>
      <c r="M375">
        <f t="shared" si="15"/>
        <v>-765</v>
      </c>
      <c r="N375">
        <f t="shared" si="16"/>
        <v>-148827</v>
      </c>
      <c r="O375" t="str">
        <f t="shared" si="17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15"/>
        <v>2079</v>
      </c>
      <c r="M376">
        <f t="shared" si="15"/>
        <v>-720</v>
      </c>
      <c r="N376">
        <f t="shared" si="16"/>
        <v>-140333</v>
      </c>
      <c r="O376" t="str">
        <f t="shared" si="17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15"/>
        <v>2079</v>
      </c>
      <c r="M377">
        <f t="shared" si="15"/>
        <v>-675</v>
      </c>
      <c r="N377">
        <f t="shared" si="16"/>
        <v>-131787</v>
      </c>
      <c r="O377" t="str">
        <f t="shared" si="17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15"/>
        <v>2079</v>
      </c>
      <c r="M378">
        <f t="shared" si="15"/>
        <v>-630</v>
      </c>
      <c r="N378">
        <f t="shared" si="16"/>
        <v>-123189</v>
      </c>
      <c r="O378" t="str">
        <f t="shared" si="17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15"/>
        <v>2079</v>
      </c>
      <c r="M379">
        <f t="shared" si="15"/>
        <v>-585</v>
      </c>
      <c r="N379">
        <f t="shared" si="16"/>
        <v>-114538</v>
      </c>
      <c r="O379" t="str">
        <f t="shared" si="17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15"/>
        <v>2079</v>
      </c>
      <c r="M380">
        <f t="shared" si="15"/>
        <v>-540</v>
      </c>
      <c r="N380">
        <f t="shared" si="16"/>
        <v>-105835</v>
      </c>
      <c r="O380" t="str">
        <f t="shared" si="17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15"/>
        <v>2079</v>
      </c>
      <c r="M381">
        <f t="shared" si="15"/>
        <v>-495</v>
      </c>
      <c r="N381">
        <f t="shared" si="16"/>
        <v>-97079</v>
      </c>
      <c r="O381" t="str">
        <f t="shared" si="17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15"/>
        <v>2079</v>
      </c>
      <c r="M382">
        <f t="shared" si="15"/>
        <v>-450</v>
      </c>
      <c r="N382">
        <f t="shared" si="16"/>
        <v>-88270</v>
      </c>
      <c r="O382" t="str">
        <f t="shared" si="17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15"/>
        <v>2079</v>
      </c>
      <c r="M383">
        <f t="shared" si="15"/>
        <v>-405</v>
      </c>
      <c r="N383">
        <f t="shared" si="16"/>
        <v>-79409</v>
      </c>
      <c r="O383" t="str">
        <f t="shared" si="17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15"/>
        <v>2079</v>
      </c>
      <c r="M384">
        <f t="shared" si="15"/>
        <v>-360</v>
      </c>
      <c r="N384">
        <f t="shared" si="16"/>
        <v>-70495</v>
      </c>
      <c r="O384" t="str">
        <f t="shared" si="17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15"/>
        <v>2079</v>
      </c>
      <c r="M385">
        <f t="shared" si="15"/>
        <v>-315</v>
      </c>
      <c r="N385">
        <f t="shared" si="16"/>
        <v>-61529</v>
      </c>
      <c r="O385" t="str">
        <f t="shared" si="17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15"/>
        <v>2079</v>
      </c>
      <c r="M386">
        <f t="shared" si="15"/>
        <v>-270</v>
      </c>
      <c r="N386">
        <f t="shared" si="16"/>
        <v>-52510</v>
      </c>
      <c r="O386" t="str">
        <f t="shared" si="17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M450" si="18">A387</f>
        <v>2079</v>
      </c>
      <c r="M387">
        <f t="shared" si="18"/>
        <v>-225</v>
      </c>
      <c r="N387">
        <f t="shared" ref="N387:N450" si="19">C387*1000</f>
        <v>-43439</v>
      </c>
      <c r="O387" t="str">
        <f t="shared" ref="O387:O450" si="20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18"/>
        <v>2079</v>
      </c>
      <c r="M388">
        <f t="shared" si="18"/>
        <v>-180</v>
      </c>
      <c r="N388">
        <f t="shared" si="19"/>
        <v>-34315</v>
      </c>
      <c r="O388" t="str">
        <f t="shared" si="20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18"/>
        <v>2079</v>
      </c>
      <c r="M389">
        <f t="shared" si="18"/>
        <v>-135</v>
      </c>
      <c r="N389">
        <f t="shared" si="19"/>
        <v>-25139</v>
      </c>
      <c r="O389" t="str">
        <f t="shared" si="20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18"/>
        <v>2079</v>
      </c>
      <c r="M390">
        <f t="shared" si="18"/>
        <v>-90</v>
      </c>
      <c r="N390">
        <f t="shared" si="19"/>
        <v>-15910</v>
      </c>
      <c r="O390" t="str">
        <f t="shared" si="20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18"/>
        <v>2079</v>
      </c>
      <c r="M391">
        <f t="shared" si="18"/>
        <v>-45</v>
      </c>
      <c r="N391">
        <f t="shared" si="19"/>
        <v>-6629</v>
      </c>
      <c r="O391" t="str">
        <f t="shared" si="20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18"/>
        <v>2079</v>
      </c>
      <c r="M392">
        <f t="shared" si="18"/>
        <v>-9</v>
      </c>
      <c r="N392">
        <f t="shared" si="19"/>
        <v>0</v>
      </c>
      <c r="O392" t="str">
        <f t="shared" si="20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18"/>
        <v>2079</v>
      </c>
      <c r="M393">
        <f t="shared" si="18"/>
        <v>9</v>
      </c>
      <c r="N393">
        <f t="shared" si="19"/>
        <v>4987</v>
      </c>
      <c r="O393" t="str">
        <f t="shared" si="20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18"/>
        <v>2079</v>
      </c>
      <c r="M394">
        <f t="shared" si="18"/>
        <v>45</v>
      </c>
      <c r="N394">
        <f t="shared" si="19"/>
        <v>13218</v>
      </c>
      <c r="O394" t="str">
        <f t="shared" si="20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18"/>
        <v>2079</v>
      </c>
      <c r="M395">
        <f t="shared" si="18"/>
        <v>90</v>
      </c>
      <c r="N395">
        <f t="shared" si="19"/>
        <v>23557</v>
      </c>
      <c r="O395" t="str">
        <f t="shared" si="20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18"/>
        <v>2079</v>
      </c>
      <c r="M396">
        <f t="shared" si="18"/>
        <v>135</v>
      </c>
      <c r="N396">
        <f t="shared" si="19"/>
        <v>33954</v>
      </c>
      <c r="O396" t="str">
        <f t="shared" si="20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18"/>
        <v>2079</v>
      </c>
      <c r="M397">
        <f t="shared" si="18"/>
        <v>180</v>
      </c>
      <c r="N397">
        <f t="shared" si="19"/>
        <v>44407</v>
      </c>
      <c r="O397" t="str">
        <f t="shared" si="20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18"/>
        <v>2079</v>
      </c>
      <c r="M398">
        <f t="shared" si="18"/>
        <v>225</v>
      </c>
      <c r="N398">
        <f t="shared" si="19"/>
        <v>54918</v>
      </c>
      <c r="O398" t="str">
        <f t="shared" si="20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18"/>
        <v>2079</v>
      </c>
      <c r="M399">
        <f t="shared" si="18"/>
        <v>270</v>
      </c>
      <c r="N399">
        <f t="shared" si="19"/>
        <v>65486.000000000007</v>
      </c>
      <c r="O399" t="str">
        <f t="shared" si="20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18"/>
        <v>2079</v>
      </c>
      <c r="M400">
        <f t="shared" si="18"/>
        <v>315</v>
      </c>
      <c r="N400">
        <f t="shared" si="19"/>
        <v>76110</v>
      </c>
      <c r="O400" t="str">
        <f t="shared" si="20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18"/>
        <v>2079</v>
      </c>
      <c r="M401">
        <f t="shared" si="18"/>
        <v>360</v>
      </c>
      <c r="N401">
        <f t="shared" si="19"/>
        <v>86792</v>
      </c>
      <c r="O401" t="str">
        <f t="shared" si="20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18"/>
        <v>2079</v>
      </c>
      <c r="M402">
        <f t="shared" si="18"/>
        <v>405</v>
      </c>
      <c r="N402">
        <f t="shared" si="19"/>
        <v>97531</v>
      </c>
      <c r="O402" t="str">
        <f t="shared" si="20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18"/>
        <v>2079</v>
      </c>
      <c r="M403">
        <f t="shared" si="18"/>
        <v>450</v>
      </c>
      <c r="N403">
        <f t="shared" si="19"/>
        <v>108326</v>
      </c>
      <c r="O403" t="str">
        <f t="shared" si="20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18"/>
        <v>2079</v>
      </c>
      <c r="M404">
        <f t="shared" si="18"/>
        <v>495</v>
      </c>
      <c r="N404">
        <f t="shared" si="19"/>
        <v>119179</v>
      </c>
      <c r="O404" t="str">
        <f t="shared" si="20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18"/>
        <v>2079</v>
      </c>
      <c r="M405">
        <f t="shared" si="18"/>
        <v>540</v>
      </c>
      <c r="N405">
        <f t="shared" si="19"/>
        <v>130089</v>
      </c>
      <c r="O405" t="str">
        <f t="shared" si="20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18"/>
        <v>2079</v>
      </c>
      <c r="M406">
        <f t="shared" si="18"/>
        <v>585</v>
      </c>
      <c r="N406">
        <f t="shared" si="19"/>
        <v>141055</v>
      </c>
      <c r="O406" t="str">
        <f t="shared" si="20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18"/>
        <v>2079</v>
      </c>
      <c r="M407">
        <f t="shared" si="18"/>
        <v>630</v>
      </c>
      <c r="N407">
        <f t="shared" si="19"/>
        <v>152079</v>
      </c>
      <c r="O407" t="str">
        <f t="shared" si="20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18"/>
        <v>2079</v>
      </c>
      <c r="M408">
        <f t="shared" si="18"/>
        <v>675</v>
      </c>
      <c r="N408">
        <f t="shared" si="19"/>
        <v>163160</v>
      </c>
      <c r="O408" t="str">
        <f t="shared" si="20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18"/>
        <v>2079</v>
      </c>
      <c r="M409">
        <f t="shared" si="18"/>
        <v>720</v>
      </c>
      <c r="N409">
        <f t="shared" si="19"/>
        <v>174297</v>
      </c>
      <c r="O409" t="str">
        <f t="shared" si="20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18"/>
        <v>2079</v>
      </c>
      <c r="M410">
        <f t="shared" si="18"/>
        <v>765</v>
      </c>
      <c r="N410">
        <f t="shared" si="19"/>
        <v>185492</v>
      </c>
      <c r="O410" t="str">
        <f t="shared" si="20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18"/>
        <v>2079</v>
      </c>
      <c r="M411">
        <f t="shared" si="18"/>
        <v>810</v>
      </c>
      <c r="N411">
        <f t="shared" si="19"/>
        <v>196744</v>
      </c>
      <c r="O411" t="str">
        <f t="shared" si="20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18"/>
        <v>2079</v>
      </c>
      <c r="M412">
        <f t="shared" si="18"/>
        <v>855</v>
      </c>
      <c r="N412">
        <f t="shared" si="19"/>
        <v>208052</v>
      </c>
      <c r="O412" t="str">
        <f t="shared" si="20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18"/>
        <v>2079</v>
      </c>
      <c r="M413">
        <f t="shared" si="18"/>
        <v>900</v>
      </c>
      <c r="N413">
        <f t="shared" si="19"/>
        <v>219418</v>
      </c>
      <c r="O413" t="str">
        <f t="shared" si="20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18"/>
        <v>2079</v>
      </c>
      <c r="M414">
        <f t="shared" si="18"/>
        <v>945</v>
      </c>
      <c r="N414">
        <f t="shared" si="19"/>
        <v>230841</v>
      </c>
      <c r="O414" t="str">
        <f t="shared" si="20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18"/>
        <v>2079</v>
      </c>
      <c r="M415">
        <f t="shared" si="18"/>
        <v>990</v>
      </c>
      <c r="N415">
        <f t="shared" si="19"/>
        <v>242320</v>
      </c>
      <c r="O415" t="str">
        <f t="shared" si="20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18"/>
        <v>2376</v>
      </c>
      <c r="M416">
        <f t="shared" si="18"/>
        <v>-990</v>
      </c>
      <c r="N416">
        <f t="shared" si="19"/>
        <v>-216225</v>
      </c>
      <c r="O416" t="str">
        <f t="shared" si="20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18"/>
        <v>2376</v>
      </c>
      <c r="M417">
        <f t="shared" si="18"/>
        <v>-945</v>
      </c>
      <c r="N417">
        <f t="shared" si="19"/>
        <v>-206913</v>
      </c>
      <c r="O417" t="str">
        <f t="shared" si="20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18"/>
        <v>2376</v>
      </c>
      <c r="M418">
        <f t="shared" si="18"/>
        <v>-900</v>
      </c>
      <c r="N418">
        <f t="shared" si="19"/>
        <v>-197537</v>
      </c>
      <c r="O418" t="str">
        <f t="shared" si="20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18"/>
        <v>2376</v>
      </c>
      <c r="M419">
        <f t="shared" si="18"/>
        <v>-855</v>
      </c>
      <c r="N419">
        <f t="shared" si="19"/>
        <v>-188096</v>
      </c>
      <c r="O419" t="str">
        <f t="shared" si="20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18"/>
        <v>2376</v>
      </c>
      <c r="M420">
        <f t="shared" si="18"/>
        <v>-810</v>
      </c>
      <c r="N420">
        <f t="shared" si="19"/>
        <v>-178591</v>
      </c>
      <c r="O420" t="str">
        <f t="shared" si="20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18"/>
        <v>2376</v>
      </c>
      <c r="M421">
        <f t="shared" si="18"/>
        <v>-765</v>
      </c>
      <c r="N421">
        <f t="shared" si="19"/>
        <v>-169020</v>
      </c>
      <c r="O421" t="str">
        <f t="shared" si="20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18"/>
        <v>2376</v>
      </c>
      <c r="M422">
        <f t="shared" si="18"/>
        <v>-720</v>
      </c>
      <c r="N422">
        <f t="shared" si="19"/>
        <v>-159385</v>
      </c>
      <c r="O422" t="str">
        <f t="shared" si="20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18"/>
        <v>2376</v>
      </c>
      <c r="M423">
        <f t="shared" si="18"/>
        <v>-675</v>
      </c>
      <c r="N423">
        <f t="shared" si="19"/>
        <v>-149685</v>
      </c>
      <c r="O423" t="str">
        <f t="shared" si="20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18"/>
        <v>2376</v>
      </c>
      <c r="M424">
        <f t="shared" si="18"/>
        <v>-630</v>
      </c>
      <c r="N424">
        <f t="shared" si="19"/>
        <v>-139920</v>
      </c>
      <c r="O424" t="str">
        <f t="shared" si="20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18"/>
        <v>2376</v>
      </c>
      <c r="M425">
        <f t="shared" si="18"/>
        <v>-585</v>
      </c>
      <c r="N425">
        <f t="shared" si="19"/>
        <v>-130091.00000000001</v>
      </c>
      <c r="O425" t="str">
        <f t="shared" si="20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18"/>
        <v>2376</v>
      </c>
      <c r="M426">
        <f t="shared" si="18"/>
        <v>-540</v>
      </c>
      <c r="N426">
        <f t="shared" si="19"/>
        <v>-120197</v>
      </c>
      <c r="O426" t="str">
        <f t="shared" si="20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18"/>
        <v>2376</v>
      </c>
      <c r="M427">
        <f t="shared" si="18"/>
        <v>-495</v>
      </c>
      <c r="N427">
        <f t="shared" si="19"/>
        <v>-110238</v>
      </c>
      <c r="O427" t="str">
        <f t="shared" si="20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18"/>
        <v>2376</v>
      </c>
      <c r="M428">
        <f t="shared" si="18"/>
        <v>-450</v>
      </c>
      <c r="N428">
        <f t="shared" si="19"/>
        <v>-100214</v>
      </c>
      <c r="O428" t="str">
        <f t="shared" si="20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18"/>
        <v>2376</v>
      </c>
      <c r="M429">
        <f t="shared" si="18"/>
        <v>-405</v>
      </c>
      <c r="N429">
        <f t="shared" si="19"/>
        <v>-90125</v>
      </c>
      <c r="O429" t="str">
        <f t="shared" si="20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18"/>
        <v>2376</v>
      </c>
      <c r="M430">
        <f t="shared" si="18"/>
        <v>-360</v>
      </c>
      <c r="N430">
        <f t="shared" si="19"/>
        <v>-79972</v>
      </c>
      <c r="O430" t="str">
        <f t="shared" si="20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18"/>
        <v>2376</v>
      </c>
      <c r="M431">
        <f t="shared" si="18"/>
        <v>-315</v>
      </c>
      <c r="N431">
        <f t="shared" si="19"/>
        <v>-69754</v>
      </c>
      <c r="O431" t="str">
        <f t="shared" si="20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18"/>
        <v>2376</v>
      </c>
      <c r="M432">
        <f t="shared" si="18"/>
        <v>-270</v>
      </c>
      <c r="N432">
        <f t="shared" si="19"/>
        <v>-59471</v>
      </c>
      <c r="O432" t="str">
        <f t="shared" si="20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18"/>
        <v>2376</v>
      </c>
      <c r="M433">
        <f t="shared" si="18"/>
        <v>-225</v>
      </c>
      <c r="N433">
        <f t="shared" si="19"/>
        <v>-49123</v>
      </c>
      <c r="O433" t="str">
        <f t="shared" si="20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18"/>
        <v>2376</v>
      </c>
      <c r="M434">
        <f t="shared" si="18"/>
        <v>-180</v>
      </c>
      <c r="N434">
        <f t="shared" si="19"/>
        <v>-38711</v>
      </c>
      <c r="O434" t="str">
        <f t="shared" si="20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18"/>
        <v>2376</v>
      </c>
      <c r="M435">
        <f t="shared" si="18"/>
        <v>-135</v>
      </c>
      <c r="N435">
        <f t="shared" si="19"/>
        <v>-28234</v>
      </c>
      <c r="O435" t="str">
        <f t="shared" si="20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18"/>
        <v>2376</v>
      </c>
      <c r="M436">
        <f t="shared" si="18"/>
        <v>-90</v>
      </c>
      <c r="N436">
        <f t="shared" si="19"/>
        <v>-17692</v>
      </c>
      <c r="O436" t="str">
        <f t="shared" si="20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18"/>
        <v>2376</v>
      </c>
      <c r="M437">
        <f t="shared" si="18"/>
        <v>-45</v>
      </c>
      <c r="N437">
        <f t="shared" si="19"/>
        <v>-7086</v>
      </c>
      <c r="O437" t="str">
        <f t="shared" si="20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18"/>
        <v>2376</v>
      </c>
      <c r="M438">
        <f t="shared" si="18"/>
        <v>-9</v>
      </c>
      <c r="N438">
        <f t="shared" si="19"/>
        <v>0</v>
      </c>
      <c r="O438" t="str">
        <f t="shared" si="20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18"/>
        <v>2376</v>
      </c>
      <c r="M439">
        <f t="shared" si="18"/>
        <v>9</v>
      </c>
      <c r="N439">
        <f t="shared" si="19"/>
        <v>6235</v>
      </c>
      <c r="O439" t="str">
        <f t="shared" si="20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18"/>
        <v>2376</v>
      </c>
      <c r="M440">
        <f t="shared" si="18"/>
        <v>45</v>
      </c>
      <c r="N440">
        <f t="shared" si="19"/>
        <v>15638</v>
      </c>
      <c r="O440" t="str">
        <f t="shared" si="20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18"/>
        <v>2376</v>
      </c>
      <c r="M441">
        <f t="shared" si="18"/>
        <v>90</v>
      </c>
      <c r="N441">
        <f t="shared" si="19"/>
        <v>27455</v>
      </c>
      <c r="O441" t="str">
        <f t="shared" si="20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18"/>
        <v>2376</v>
      </c>
      <c r="M442">
        <f t="shared" si="18"/>
        <v>135</v>
      </c>
      <c r="N442">
        <f t="shared" si="19"/>
        <v>39343</v>
      </c>
      <c r="O442" t="str">
        <f t="shared" si="20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18"/>
        <v>2376</v>
      </c>
      <c r="M443">
        <f t="shared" si="18"/>
        <v>180</v>
      </c>
      <c r="N443">
        <f t="shared" si="19"/>
        <v>51301</v>
      </c>
      <c r="O443" t="str">
        <f t="shared" si="20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18"/>
        <v>2376</v>
      </c>
      <c r="M444">
        <f t="shared" si="18"/>
        <v>225</v>
      </c>
      <c r="N444">
        <f t="shared" si="19"/>
        <v>63329</v>
      </c>
      <c r="O444" t="str">
        <f t="shared" si="20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18"/>
        <v>2376</v>
      </c>
      <c r="M445">
        <f t="shared" si="18"/>
        <v>270</v>
      </c>
      <c r="N445">
        <f t="shared" si="19"/>
        <v>75428</v>
      </c>
      <c r="O445" t="str">
        <f t="shared" si="20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18"/>
        <v>2376</v>
      </c>
      <c r="M446">
        <f t="shared" si="18"/>
        <v>315</v>
      </c>
      <c r="N446">
        <f t="shared" si="19"/>
        <v>87596</v>
      </c>
      <c r="O446" t="str">
        <f t="shared" si="20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18"/>
        <v>2376</v>
      </c>
      <c r="M447">
        <f t="shared" si="18"/>
        <v>360</v>
      </c>
      <c r="N447">
        <f t="shared" si="19"/>
        <v>99836</v>
      </c>
      <c r="O447" t="str">
        <f t="shared" si="20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18"/>
        <v>2376</v>
      </c>
      <c r="M448">
        <f t="shared" si="18"/>
        <v>405</v>
      </c>
      <c r="N448">
        <f t="shared" si="19"/>
        <v>112145</v>
      </c>
      <c r="O448" t="str">
        <f t="shared" si="20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18"/>
        <v>2376</v>
      </c>
      <c r="M449">
        <f t="shared" si="18"/>
        <v>450</v>
      </c>
      <c r="N449">
        <f t="shared" si="19"/>
        <v>124524</v>
      </c>
      <c r="O449" t="str">
        <f t="shared" si="20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18"/>
        <v>2376</v>
      </c>
      <c r="M450">
        <f t="shared" si="18"/>
        <v>495</v>
      </c>
      <c r="N450">
        <f t="shared" si="19"/>
        <v>136974</v>
      </c>
      <c r="O450" t="str">
        <f t="shared" si="20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M514" si="21">A451</f>
        <v>2376</v>
      </c>
      <c r="M451">
        <f t="shared" si="21"/>
        <v>540</v>
      </c>
      <c r="N451">
        <f t="shared" ref="N451:N514" si="22">C451*1000</f>
        <v>149494</v>
      </c>
      <c r="O451" t="str">
        <f t="shared" ref="O451:O514" si="23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1"/>
        <v>2376</v>
      </c>
      <c r="M452">
        <f t="shared" si="21"/>
        <v>585</v>
      </c>
      <c r="N452">
        <f t="shared" si="22"/>
        <v>162085</v>
      </c>
      <c r="O452" t="str">
        <f t="shared" si="23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1"/>
        <v>2376</v>
      </c>
      <c r="M453">
        <f t="shared" si="21"/>
        <v>630</v>
      </c>
      <c r="N453">
        <f t="shared" si="22"/>
        <v>174745</v>
      </c>
      <c r="O453" t="str">
        <f t="shared" si="23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1"/>
        <v>2376</v>
      </c>
      <c r="M454">
        <f t="shared" si="21"/>
        <v>675</v>
      </c>
      <c r="N454">
        <f t="shared" si="22"/>
        <v>187476</v>
      </c>
      <c r="O454" t="str">
        <f t="shared" si="23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1"/>
        <v>2376</v>
      </c>
      <c r="M455">
        <f t="shared" si="21"/>
        <v>720</v>
      </c>
      <c r="N455">
        <f t="shared" si="22"/>
        <v>200277</v>
      </c>
      <c r="O455" t="str">
        <f t="shared" si="23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1"/>
        <v>2376</v>
      </c>
      <c r="M456">
        <f t="shared" si="21"/>
        <v>765</v>
      </c>
      <c r="N456">
        <f t="shared" si="22"/>
        <v>213149</v>
      </c>
      <c r="O456" t="str">
        <f t="shared" si="23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1"/>
        <v>2376</v>
      </c>
      <c r="M457">
        <f t="shared" si="21"/>
        <v>810</v>
      </c>
      <c r="N457">
        <f t="shared" si="22"/>
        <v>226091</v>
      </c>
      <c r="O457" t="str">
        <f t="shared" si="23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1"/>
        <v>2376</v>
      </c>
      <c r="M458">
        <f t="shared" si="21"/>
        <v>855</v>
      </c>
      <c r="N458">
        <f t="shared" si="22"/>
        <v>239103</v>
      </c>
      <c r="O458" t="str">
        <f t="shared" si="23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1"/>
        <v>2376</v>
      </c>
      <c r="M459">
        <f t="shared" si="21"/>
        <v>900</v>
      </c>
      <c r="N459">
        <f t="shared" si="22"/>
        <v>252185</v>
      </c>
      <c r="O459" t="str">
        <f t="shared" si="23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1"/>
        <v>2376</v>
      </c>
      <c r="M460">
        <f t="shared" si="21"/>
        <v>945</v>
      </c>
      <c r="N460">
        <f t="shared" si="22"/>
        <v>265338</v>
      </c>
      <c r="O460" t="str">
        <f t="shared" si="23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1"/>
        <v>2376</v>
      </c>
      <c r="M461">
        <f t="shared" si="21"/>
        <v>990</v>
      </c>
      <c r="N461">
        <f t="shared" si="22"/>
        <v>278560</v>
      </c>
      <c r="O461" t="str">
        <f t="shared" si="23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1"/>
        <v>2673</v>
      </c>
      <c r="M462">
        <f t="shared" si="21"/>
        <v>-990</v>
      </c>
      <c r="N462">
        <f t="shared" si="22"/>
        <v>-241372</v>
      </c>
      <c r="O462" t="str">
        <f t="shared" si="23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1"/>
        <v>2673</v>
      </c>
      <c r="M463">
        <f t="shared" si="21"/>
        <v>-945</v>
      </c>
      <c r="N463">
        <f t="shared" si="22"/>
        <v>-231015</v>
      </c>
      <c r="O463" t="str">
        <f t="shared" si="23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1"/>
        <v>2673</v>
      </c>
      <c r="M464">
        <f t="shared" si="21"/>
        <v>-900</v>
      </c>
      <c r="N464">
        <f t="shared" si="22"/>
        <v>-220579</v>
      </c>
      <c r="O464" t="str">
        <f t="shared" si="23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1"/>
        <v>2673</v>
      </c>
      <c r="M465">
        <f t="shared" si="21"/>
        <v>-855</v>
      </c>
      <c r="N465">
        <f t="shared" si="22"/>
        <v>-210064</v>
      </c>
      <c r="O465" t="str">
        <f t="shared" si="23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1"/>
        <v>2673</v>
      </c>
      <c r="M466">
        <f t="shared" si="21"/>
        <v>-810</v>
      </c>
      <c r="N466">
        <f t="shared" si="22"/>
        <v>-199471</v>
      </c>
      <c r="O466" t="str">
        <f t="shared" si="23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1"/>
        <v>2673</v>
      </c>
      <c r="M467">
        <f t="shared" si="21"/>
        <v>-765</v>
      </c>
      <c r="N467">
        <f t="shared" si="22"/>
        <v>-188799</v>
      </c>
      <c r="O467" t="str">
        <f t="shared" si="23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1"/>
        <v>2673</v>
      </c>
      <c r="M468">
        <f t="shared" si="21"/>
        <v>-720</v>
      </c>
      <c r="N468">
        <f t="shared" si="22"/>
        <v>-178049</v>
      </c>
      <c r="O468" t="str">
        <f t="shared" si="23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1"/>
        <v>2673</v>
      </c>
      <c r="M469">
        <f t="shared" si="21"/>
        <v>-675</v>
      </c>
      <c r="N469">
        <f t="shared" si="22"/>
        <v>-167220</v>
      </c>
      <c r="O469" t="str">
        <f t="shared" si="23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1"/>
        <v>2673</v>
      </c>
      <c r="M470">
        <f t="shared" si="21"/>
        <v>-630</v>
      </c>
      <c r="N470">
        <f t="shared" si="22"/>
        <v>-156312</v>
      </c>
      <c r="O470" t="str">
        <f t="shared" si="23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1"/>
        <v>2673</v>
      </c>
      <c r="M471">
        <f t="shared" si="21"/>
        <v>-585</v>
      </c>
      <c r="N471">
        <f t="shared" si="22"/>
        <v>-145326</v>
      </c>
      <c r="O471" t="str">
        <f t="shared" si="23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1"/>
        <v>2673</v>
      </c>
      <c r="M472">
        <f t="shared" si="21"/>
        <v>-540</v>
      </c>
      <c r="N472">
        <f t="shared" si="22"/>
        <v>-134261</v>
      </c>
      <c r="O472" t="str">
        <f t="shared" si="23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1"/>
        <v>2673</v>
      </c>
      <c r="M473">
        <f t="shared" si="21"/>
        <v>-495</v>
      </c>
      <c r="N473">
        <f t="shared" si="22"/>
        <v>-123117</v>
      </c>
      <c r="O473" t="str">
        <f t="shared" si="23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1"/>
        <v>2673</v>
      </c>
      <c r="M474">
        <f t="shared" si="21"/>
        <v>-450</v>
      </c>
      <c r="N474">
        <f t="shared" si="22"/>
        <v>-111895</v>
      </c>
      <c r="O474" t="str">
        <f t="shared" si="23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1"/>
        <v>2673</v>
      </c>
      <c r="M475">
        <f t="shared" si="21"/>
        <v>-405</v>
      </c>
      <c r="N475">
        <f t="shared" si="22"/>
        <v>-100595</v>
      </c>
      <c r="O475" t="str">
        <f t="shared" si="23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1"/>
        <v>2673</v>
      </c>
      <c r="M476">
        <f t="shared" si="21"/>
        <v>-360</v>
      </c>
      <c r="N476">
        <f t="shared" si="22"/>
        <v>-89215</v>
      </c>
      <c r="O476" t="str">
        <f t="shared" si="23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1"/>
        <v>2673</v>
      </c>
      <c r="M477">
        <f t="shared" si="21"/>
        <v>-315</v>
      </c>
      <c r="N477">
        <f t="shared" si="22"/>
        <v>-77757</v>
      </c>
      <c r="O477" t="str">
        <f t="shared" si="23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1"/>
        <v>2673</v>
      </c>
      <c r="M478">
        <f t="shared" si="21"/>
        <v>-270</v>
      </c>
      <c r="N478">
        <f t="shared" si="22"/>
        <v>-66221</v>
      </c>
      <c r="O478" t="str">
        <f t="shared" si="23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1"/>
        <v>2673</v>
      </c>
      <c r="M479">
        <f t="shared" si="21"/>
        <v>-225</v>
      </c>
      <c r="N479">
        <f t="shared" si="22"/>
        <v>-54606</v>
      </c>
      <c r="O479" t="str">
        <f t="shared" si="23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1"/>
        <v>2673</v>
      </c>
      <c r="M480">
        <f t="shared" si="21"/>
        <v>-180</v>
      </c>
      <c r="N480">
        <f t="shared" si="22"/>
        <v>-42912</v>
      </c>
      <c r="O480" t="str">
        <f t="shared" si="23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1"/>
        <v>2673</v>
      </c>
      <c r="M481">
        <f t="shared" si="21"/>
        <v>-135</v>
      </c>
      <c r="N481">
        <f t="shared" si="22"/>
        <v>-31140</v>
      </c>
      <c r="O481" t="str">
        <f t="shared" si="23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1"/>
        <v>2673</v>
      </c>
      <c r="M482">
        <f t="shared" si="21"/>
        <v>-90</v>
      </c>
      <c r="N482">
        <f t="shared" si="22"/>
        <v>-19289</v>
      </c>
      <c r="O482" t="str">
        <f t="shared" si="23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1"/>
        <v>2673</v>
      </c>
      <c r="M483">
        <f t="shared" si="21"/>
        <v>-45</v>
      </c>
      <c r="N483">
        <f t="shared" si="22"/>
        <v>-7360</v>
      </c>
      <c r="O483" t="str">
        <f t="shared" si="23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1"/>
        <v>2673</v>
      </c>
      <c r="M484">
        <f t="shared" si="21"/>
        <v>-9</v>
      </c>
      <c r="N484">
        <f t="shared" si="22"/>
        <v>0</v>
      </c>
      <c r="O484" t="str">
        <f t="shared" si="23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1"/>
        <v>2673</v>
      </c>
      <c r="M485">
        <f t="shared" si="21"/>
        <v>9</v>
      </c>
      <c r="N485">
        <f t="shared" si="22"/>
        <v>7679</v>
      </c>
      <c r="O485" t="str">
        <f t="shared" si="23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1"/>
        <v>2673</v>
      </c>
      <c r="M486">
        <f t="shared" si="21"/>
        <v>45</v>
      </c>
      <c r="N486">
        <f t="shared" si="22"/>
        <v>18256</v>
      </c>
      <c r="O486" t="str">
        <f t="shared" si="23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1"/>
        <v>2673</v>
      </c>
      <c r="M487">
        <f t="shared" si="21"/>
        <v>90</v>
      </c>
      <c r="N487">
        <f t="shared" si="22"/>
        <v>31554</v>
      </c>
      <c r="O487" t="str">
        <f t="shared" si="23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1"/>
        <v>2673</v>
      </c>
      <c r="M488">
        <f t="shared" si="21"/>
        <v>135</v>
      </c>
      <c r="N488">
        <f t="shared" si="22"/>
        <v>44937</v>
      </c>
      <c r="O488" t="str">
        <f t="shared" si="23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1"/>
        <v>2673</v>
      </c>
      <c r="M489">
        <f t="shared" si="21"/>
        <v>180</v>
      </c>
      <c r="N489">
        <f t="shared" si="22"/>
        <v>58406</v>
      </c>
      <c r="O489" t="str">
        <f t="shared" si="23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1"/>
        <v>2673</v>
      </c>
      <c r="M490">
        <f t="shared" si="21"/>
        <v>225</v>
      </c>
      <c r="N490">
        <f t="shared" si="22"/>
        <v>71959</v>
      </c>
      <c r="O490" t="str">
        <f t="shared" si="23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1"/>
        <v>2673</v>
      </c>
      <c r="M491">
        <f t="shared" si="21"/>
        <v>270</v>
      </c>
      <c r="N491">
        <f t="shared" si="22"/>
        <v>85598</v>
      </c>
      <c r="O491" t="str">
        <f t="shared" si="23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1"/>
        <v>2673</v>
      </c>
      <c r="M492">
        <f t="shared" si="21"/>
        <v>315</v>
      </c>
      <c r="N492">
        <f t="shared" si="22"/>
        <v>99323</v>
      </c>
      <c r="O492" t="str">
        <f t="shared" si="23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1"/>
        <v>2673</v>
      </c>
      <c r="M493">
        <f t="shared" si="21"/>
        <v>360</v>
      </c>
      <c r="N493">
        <f t="shared" si="22"/>
        <v>113132</v>
      </c>
      <c r="O493" t="str">
        <f t="shared" si="23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1"/>
        <v>2673</v>
      </c>
      <c r="M494">
        <f t="shared" si="21"/>
        <v>405</v>
      </c>
      <c r="N494">
        <f t="shared" si="22"/>
        <v>127027</v>
      </c>
      <c r="O494" t="str">
        <f t="shared" si="23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1"/>
        <v>2673</v>
      </c>
      <c r="M495">
        <f t="shared" si="21"/>
        <v>450</v>
      </c>
      <c r="N495">
        <f t="shared" si="22"/>
        <v>141007</v>
      </c>
      <c r="O495" t="str">
        <f t="shared" si="23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1"/>
        <v>2673</v>
      </c>
      <c r="M496">
        <f t="shared" si="21"/>
        <v>495</v>
      </c>
      <c r="N496">
        <f t="shared" si="22"/>
        <v>155072</v>
      </c>
      <c r="O496" t="str">
        <f t="shared" si="23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1"/>
        <v>2673</v>
      </c>
      <c r="M497">
        <f t="shared" si="21"/>
        <v>540</v>
      </c>
      <c r="N497">
        <f t="shared" si="22"/>
        <v>169223</v>
      </c>
      <c r="O497" t="str">
        <f t="shared" si="23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1"/>
        <v>2673</v>
      </c>
      <c r="M498">
        <f t="shared" si="21"/>
        <v>585</v>
      </c>
      <c r="N498">
        <f t="shared" si="22"/>
        <v>183459</v>
      </c>
      <c r="O498" t="str">
        <f t="shared" si="23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1"/>
        <v>2673</v>
      </c>
      <c r="M499">
        <f t="shared" si="21"/>
        <v>630</v>
      </c>
      <c r="N499">
        <f t="shared" si="22"/>
        <v>197780</v>
      </c>
      <c r="O499" t="str">
        <f t="shared" si="23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1"/>
        <v>2673</v>
      </c>
      <c r="M500">
        <f t="shared" si="21"/>
        <v>675</v>
      </c>
      <c r="N500">
        <f t="shared" si="22"/>
        <v>212187</v>
      </c>
      <c r="O500" t="str">
        <f t="shared" si="23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1"/>
        <v>2673</v>
      </c>
      <c r="M501">
        <f t="shared" si="21"/>
        <v>720</v>
      </c>
      <c r="N501">
        <f t="shared" si="22"/>
        <v>226679</v>
      </c>
      <c r="O501" t="str">
        <f t="shared" si="23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1"/>
        <v>2673</v>
      </c>
      <c r="M502">
        <f t="shared" si="21"/>
        <v>765</v>
      </c>
      <c r="N502">
        <f t="shared" si="22"/>
        <v>241256</v>
      </c>
      <c r="O502" t="str">
        <f t="shared" si="23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1"/>
        <v>2673</v>
      </c>
      <c r="M503">
        <f t="shared" si="21"/>
        <v>810</v>
      </c>
      <c r="N503">
        <f t="shared" si="22"/>
        <v>255918</v>
      </c>
      <c r="O503" t="str">
        <f t="shared" si="23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1"/>
        <v>2673</v>
      </c>
      <c r="M504">
        <f t="shared" si="21"/>
        <v>855</v>
      </c>
      <c r="N504">
        <f t="shared" si="22"/>
        <v>270666</v>
      </c>
      <c r="O504" t="str">
        <f t="shared" si="23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1"/>
        <v>2673</v>
      </c>
      <c r="M505">
        <f t="shared" si="21"/>
        <v>900</v>
      </c>
      <c r="N505">
        <f t="shared" si="22"/>
        <v>285499</v>
      </c>
      <c r="O505" t="str">
        <f t="shared" si="23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1"/>
        <v>2673</v>
      </c>
      <c r="M506">
        <f t="shared" si="21"/>
        <v>945</v>
      </c>
      <c r="N506">
        <f t="shared" si="22"/>
        <v>300417</v>
      </c>
      <c r="O506" t="str">
        <f t="shared" si="23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1"/>
        <v>2673</v>
      </c>
      <c r="M507">
        <f t="shared" si="21"/>
        <v>990</v>
      </c>
      <c r="N507">
        <f t="shared" si="22"/>
        <v>315421</v>
      </c>
      <c r="O507" t="str">
        <f t="shared" si="23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1"/>
        <v>2970</v>
      </c>
      <c r="M508">
        <f t="shared" si="21"/>
        <v>-990</v>
      </c>
      <c r="N508">
        <f t="shared" si="22"/>
        <v>-265929</v>
      </c>
      <c r="O508" t="str">
        <f t="shared" si="23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1"/>
        <v>2970</v>
      </c>
      <c r="M509">
        <f t="shared" si="21"/>
        <v>-945</v>
      </c>
      <c r="N509">
        <f t="shared" si="22"/>
        <v>-254560</v>
      </c>
      <c r="O509" t="str">
        <f t="shared" si="23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1"/>
        <v>2970</v>
      </c>
      <c r="M510">
        <f t="shared" si="21"/>
        <v>-900</v>
      </c>
      <c r="N510">
        <f t="shared" si="22"/>
        <v>-243097</v>
      </c>
      <c r="O510" t="str">
        <f t="shared" si="23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1"/>
        <v>2970</v>
      </c>
      <c r="M511">
        <f t="shared" si="21"/>
        <v>-855</v>
      </c>
      <c r="N511">
        <f t="shared" si="22"/>
        <v>-231540</v>
      </c>
      <c r="O511" t="str">
        <f t="shared" si="23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1"/>
        <v>2970</v>
      </c>
      <c r="M512">
        <f t="shared" si="21"/>
        <v>-810</v>
      </c>
      <c r="N512">
        <f t="shared" si="22"/>
        <v>-219889</v>
      </c>
      <c r="O512" t="str">
        <f t="shared" si="23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1"/>
        <v>2970</v>
      </c>
      <c r="M513">
        <f t="shared" si="21"/>
        <v>-765</v>
      </c>
      <c r="N513">
        <f t="shared" si="22"/>
        <v>-208144</v>
      </c>
      <c r="O513" t="str">
        <f t="shared" si="23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1"/>
        <v>2970</v>
      </c>
      <c r="M514">
        <f t="shared" si="21"/>
        <v>-720</v>
      </c>
      <c r="N514">
        <f t="shared" si="22"/>
        <v>-196305</v>
      </c>
      <c r="O514" t="str">
        <f t="shared" si="23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M578" si="24">A515</f>
        <v>2970</v>
      </c>
      <c r="M515">
        <f t="shared" si="24"/>
        <v>-675</v>
      </c>
      <c r="N515">
        <f t="shared" ref="N515:N578" si="25">C515*1000</f>
        <v>-184372</v>
      </c>
      <c r="O515" t="str">
        <f t="shared" ref="O515:O578" si="26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24"/>
        <v>2970</v>
      </c>
      <c r="M516">
        <f t="shared" si="24"/>
        <v>-630</v>
      </c>
      <c r="N516">
        <f t="shared" si="25"/>
        <v>-172344</v>
      </c>
      <c r="O516" t="str">
        <f t="shared" si="26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24"/>
        <v>2970</v>
      </c>
      <c r="M517">
        <f t="shared" si="24"/>
        <v>-585</v>
      </c>
      <c r="N517">
        <f t="shared" si="25"/>
        <v>-160223</v>
      </c>
      <c r="O517" t="str">
        <f t="shared" si="26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24"/>
        <v>2970</v>
      </c>
      <c r="M518">
        <f t="shared" si="24"/>
        <v>-540</v>
      </c>
      <c r="N518">
        <f t="shared" si="25"/>
        <v>-148008</v>
      </c>
      <c r="O518" t="str">
        <f t="shared" si="26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24"/>
        <v>2970</v>
      </c>
      <c r="M519">
        <f t="shared" si="24"/>
        <v>-495</v>
      </c>
      <c r="N519">
        <f t="shared" si="25"/>
        <v>-135699</v>
      </c>
      <c r="O519" t="str">
        <f t="shared" si="26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24"/>
        <v>2970</v>
      </c>
      <c r="M520">
        <f t="shared" si="24"/>
        <v>-450</v>
      </c>
      <c r="N520">
        <f t="shared" si="25"/>
        <v>-123295</v>
      </c>
      <c r="O520" t="str">
        <f t="shared" si="26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24"/>
        <v>2970</v>
      </c>
      <c r="M521">
        <f t="shared" si="24"/>
        <v>-405</v>
      </c>
      <c r="N521">
        <f t="shared" si="25"/>
        <v>-110798</v>
      </c>
      <c r="O521" t="str">
        <f t="shared" si="26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24"/>
        <v>2970</v>
      </c>
      <c r="M522">
        <f t="shared" si="24"/>
        <v>-360</v>
      </c>
      <c r="N522">
        <f t="shared" si="25"/>
        <v>-98206</v>
      </c>
      <c r="O522" t="str">
        <f t="shared" si="26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24"/>
        <v>2970</v>
      </c>
      <c r="M523">
        <f t="shared" si="24"/>
        <v>-315</v>
      </c>
      <c r="N523">
        <f t="shared" si="25"/>
        <v>-85521</v>
      </c>
      <c r="O523" t="str">
        <f t="shared" si="26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24"/>
        <v>2970</v>
      </c>
      <c r="M524">
        <f t="shared" si="24"/>
        <v>-270</v>
      </c>
      <c r="N524">
        <f t="shared" si="25"/>
        <v>-72741</v>
      </c>
      <c r="O524" t="str">
        <f t="shared" si="26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24"/>
        <v>2970</v>
      </c>
      <c r="M525">
        <f t="shared" si="24"/>
        <v>-225</v>
      </c>
      <c r="N525">
        <f t="shared" si="25"/>
        <v>-59867</v>
      </c>
      <c r="O525" t="str">
        <f t="shared" si="26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24"/>
        <v>2970</v>
      </c>
      <c r="M526">
        <f t="shared" si="24"/>
        <v>-180</v>
      </c>
      <c r="N526">
        <f t="shared" si="25"/>
        <v>-46900</v>
      </c>
      <c r="O526" t="str">
        <f t="shared" si="26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24"/>
        <v>2970</v>
      </c>
      <c r="M527">
        <f t="shared" si="24"/>
        <v>-135</v>
      </c>
      <c r="N527">
        <f t="shared" si="25"/>
        <v>-33838</v>
      </c>
      <c r="O527" t="str">
        <f t="shared" si="26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24"/>
        <v>2970</v>
      </c>
      <c r="M528">
        <f t="shared" si="24"/>
        <v>-90</v>
      </c>
      <c r="N528">
        <f t="shared" si="25"/>
        <v>-20682</v>
      </c>
      <c r="O528" t="str">
        <f t="shared" si="26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24"/>
        <v>2970</v>
      </c>
      <c r="M529">
        <f t="shared" si="24"/>
        <v>-45</v>
      </c>
      <c r="N529">
        <f t="shared" si="25"/>
        <v>-7432</v>
      </c>
      <c r="O529" t="str">
        <f t="shared" si="26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24"/>
        <v>2970</v>
      </c>
      <c r="M530">
        <f t="shared" si="24"/>
        <v>-9</v>
      </c>
      <c r="N530">
        <f t="shared" si="25"/>
        <v>0</v>
      </c>
      <c r="O530" t="str">
        <f t="shared" si="26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24"/>
        <v>2970</v>
      </c>
      <c r="M531">
        <f t="shared" si="24"/>
        <v>9</v>
      </c>
      <c r="N531">
        <f t="shared" si="25"/>
        <v>9342</v>
      </c>
      <c r="O531" t="str">
        <f t="shared" si="26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24"/>
        <v>2970</v>
      </c>
      <c r="M532">
        <f t="shared" si="24"/>
        <v>45</v>
      </c>
      <c r="N532">
        <f t="shared" si="25"/>
        <v>21094</v>
      </c>
      <c r="O532" t="str">
        <f t="shared" si="26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24"/>
        <v>2970</v>
      </c>
      <c r="M533">
        <f t="shared" si="24"/>
        <v>90</v>
      </c>
      <c r="N533">
        <f t="shared" si="25"/>
        <v>35874</v>
      </c>
      <c r="O533" t="str">
        <f t="shared" si="26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24"/>
        <v>2970</v>
      </c>
      <c r="M534">
        <f t="shared" si="24"/>
        <v>135</v>
      </c>
      <c r="N534">
        <f t="shared" si="25"/>
        <v>50757</v>
      </c>
      <c r="O534" t="str">
        <f t="shared" si="26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24"/>
        <v>2970</v>
      </c>
      <c r="M535">
        <f t="shared" si="24"/>
        <v>180</v>
      </c>
      <c r="N535">
        <f t="shared" si="25"/>
        <v>65742</v>
      </c>
      <c r="O535" t="str">
        <f t="shared" si="26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24"/>
        <v>2970</v>
      </c>
      <c r="M536">
        <f t="shared" si="24"/>
        <v>225</v>
      </c>
      <c r="N536">
        <f t="shared" si="25"/>
        <v>80829</v>
      </c>
      <c r="O536" t="str">
        <f t="shared" si="26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24"/>
        <v>2970</v>
      </c>
      <c r="M537">
        <f t="shared" si="24"/>
        <v>270</v>
      </c>
      <c r="N537">
        <f t="shared" si="25"/>
        <v>96018</v>
      </c>
      <c r="O537" t="str">
        <f t="shared" si="26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24"/>
        <v>2970</v>
      </c>
      <c r="M538">
        <f t="shared" si="24"/>
        <v>315</v>
      </c>
      <c r="N538">
        <f t="shared" si="25"/>
        <v>111310</v>
      </c>
      <c r="O538" t="str">
        <f t="shared" si="26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24"/>
        <v>2970</v>
      </c>
      <c r="M539">
        <f t="shared" si="24"/>
        <v>360</v>
      </c>
      <c r="N539">
        <f t="shared" si="25"/>
        <v>126703</v>
      </c>
      <c r="O539" t="str">
        <f t="shared" si="26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24"/>
        <v>2970</v>
      </c>
      <c r="M540">
        <f t="shared" si="24"/>
        <v>405</v>
      </c>
      <c r="N540">
        <f t="shared" si="25"/>
        <v>142198</v>
      </c>
      <c r="O540" t="str">
        <f t="shared" si="26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24"/>
        <v>2970</v>
      </c>
      <c r="M541">
        <f t="shared" si="24"/>
        <v>450</v>
      </c>
      <c r="N541">
        <f t="shared" si="25"/>
        <v>157795</v>
      </c>
      <c r="O541" t="str">
        <f t="shared" si="26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24"/>
        <v>2970</v>
      </c>
      <c r="M542">
        <f t="shared" si="24"/>
        <v>495</v>
      </c>
      <c r="N542">
        <f t="shared" si="25"/>
        <v>173495</v>
      </c>
      <c r="O542" t="str">
        <f t="shared" si="26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24"/>
        <v>2970</v>
      </c>
      <c r="M543">
        <f t="shared" si="24"/>
        <v>540</v>
      </c>
      <c r="N543">
        <f t="shared" si="25"/>
        <v>189296</v>
      </c>
      <c r="O543" t="str">
        <f t="shared" si="26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24"/>
        <v>2970</v>
      </c>
      <c r="M544">
        <f t="shared" si="24"/>
        <v>585</v>
      </c>
      <c r="N544">
        <f t="shared" si="25"/>
        <v>205199</v>
      </c>
      <c r="O544" t="str">
        <f t="shared" si="26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24"/>
        <v>2970</v>
      </c>
      <c r="M545">
        <f t="shared" si="24"/>
        <v>630</v>
      </c>
      <c r="N545">
        <f t="shared" si="25"/>
        <v>221205</v>
      </c>
      <c r="O545" t="str">
        <f t="shared" si="26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24"/>
        <v>2970</v>
      </c>
      <c r="M546">
        <f t="shared" si="24"/>
        <v>675</v>
      </c>
      <c r="N546">
        <f t="shared" si="25"/>
        <v>237313</v>
      </c>
      <c r="O546" t="str">
        <f t="shared" si="26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24"/>
        <v>2970</v>
      </c>
      <c r="M547">
        <f t="shared" si="24"/>
        <v>720</v>
      </c>
      <c r="N547">
        <f t="shared" si="25"/>
        <v>253522</v>
      </c>
      <c r="O547" t="str">
        <f t="shared" si="26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24"/>
        <v>2970</v>
      </c>
      <c r="M548">
        <f t="shared" si="24"/>
        <v>765</v>
      </c>
      <c r="N548">
        <f t="shared" si="25"/>
        <v>269834</v>
      </c>
      <c r="O548" t="str">
        <f t="shared" si="26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24"/>
        <v>2970</v>
      </c>
      <c r="M549">
        <f t="shared" si="24"/>
        <v>810</v>
      </c>
      <c r="N549">
        <f t="shared" si="25"/>
        <v>286248</v>
      </c>
      <c r="O549" t="str">
        <f t="shared" si="26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24"/>
        <v>2970</v>
      </c>
      <c r="M550">
        <f t="shared" si="24"/>
        <v>855</v>
      </c>
      <c r="N550">
        <f t="shared" si="25"/>
        <v>302763</v>
      </c>
      <c r="O550" t="str">
        <f t="shared" si="26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24"/>
        <v>2970</v>
      </c>
      <c r="M551">
        <f t="shared" si="24"/>
        <v>900</v>
      </c>
      <c r="N551">
        <f t="shared" si="25"/>
        <v>319381</v>
      </c>
      <c r="O551" t="str">
        <f t="shared" si="26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24"/>
        <v>2970</v>
      </c>
      <c r="M552">
        <f t="shared" si="24"/>
        <v>945</v>
      </c>
      <c r="N552">
        <f t="shared" si="25"/>
        <v>336101</v>
      </c>
      <c r="O552" t="str">
        <f t="shared" si="26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24"/>
        <v>2970</v>
      </c>
      <c r="M553">
        <f t="shared" si="24"/>
        <v>990</v>
      </c>
      <c r="N553">
        <f t="shared" si="25"/>
        <v>352923</v>
      </c>
      <c r="O553" t="str">
        <f t="shared" si="26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24"/>
        <v>3267</v>
      </c>
      <c r="M554">
        <f t="shared" si="24"/>
        <v>-990</v>
      </c>
      <c r="N554">
        <f t="shared" si="25"/>
        <v>-289874</v>
      </c>
      <c r="O554" t="str">
        <f t="shared" si="26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24"/>
        <v>3267</v>
      </c>
      <c r="M555">
        <f t="shared" si="24"/>
        <v>-945</v>
      </c>
      <c r="N555">
        <f t="shared" si="25"/>
        <v>-277529</v>
      </c>
      <c r="O555" t="str">
        <f t="shared" si="26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24"/>
        <v>3267</v>
      </c>
      <c r="M556">
        <f t="shared" si="24"/>
        <v>-900</v>
      </c>
      <c r="N556">
        <f t="shared" si="25"/>
        <v>-265072</v>
      </c>
      <c r="O556" t="str">
        <f t="shared" si="26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24"/>
        <v>3267</v>
      </c>
      <c r="M557">
        <f t="shared" si="24"/>
        <v>-855</v>
      </c>
      <c r="N557">
        <f t="shared" si="25"/>
        <v>-252504</v>
      </c>
      <c r="O557" t="str">
        <f t="shared" si="26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24"/>
        <v>3267</v>
      </c>
      <c r="M558">
        <f t="shared" si="24"/>
        <v>-810</v>
      </c>
      <c r="N558">
        <f t="shared" si="25"/>
        <v>-239825</v>
      </c>
      <c r="O558" t="str">
        <f t="shared" si="26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24"/>
        <v>3267</v>
      </c>
      <c r="M559">
        <f t="shared" si="24"/>
        <v>-765</v>
      </c>
      <c r="N559">
        <f t="shared" si="25"/>
        <v>-227035</v>
      </c>
      <c r="O559" t="str">
        <f t="shared" si="26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24"/>
        <v>3267</v>
      </c>
      <c r="M560">
        <f t="shared" si="24"/>
        <v>-720</v>
      </c>
      <c r="N560">
        <f t="shared" si="25"/>
        <v>-214134</v>
      </c>
      <c r="O560" t="str">
        <f t="shared" si="26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24"/>
        <v>3267</v>
      </c>
      <c r="M561">
        <f t="shared" si="24"/>
        <v>-675</v>
      </c>
      <c r="N561">
        <f t="shared" si="25"/>
        <v>-201122</v>
      </c>
      <c r="O561" t="str">
        <f t="shared" si="26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24"/>
        <v>3267</v>
      </c>
      <c r="M562">
        <f t="shared" si="24"/>
        <v>-630</v>
      </c>
      <c r="N562">
        <f t="shared" si="25"/>
        <v>-187999</v>
      </c>
      <c r="O562" t="str">
        <f t="shared" si="26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24"/>
        <v>3267</v>
      </c>
      <c r="M563">
        <f t="shared" si="24"/>
        <v>-585</v>
      </c>
      <c r="N563">
        <f t="shared" si="25"/>
        <v>-174764</v>
      </c>
      <c r="O563" t="str">
        <f t="shared" si="26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24"/>
        <v>3267</v>
      </c>
      <c r="M564">
        <f t="shared" si="24"/>
        <v>-540</v>
      </c>
      <c r="N564">
        <f t="shared" si="25"/>
        <v>-161419</v>
      </c>
      <c r="O564" t="str">
        <f t="shared" si="26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24"/>
        <v>3267</v>
      </c>
      <c r="M565">
        <f t="shared" si="24"/>
        <v>-495</v>
      </c>
      <c r="N565">
        <f t="shared" si="25"/>
        <v>-147962</v>
      </c>
      <c r="O565" t="str">
        <f t="shared" si="26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24"/>
        <v>3267</v>
      </c>
      <c r="M566">
        <f t="shared" si="24"/>
        <v>-450</v>
      </c>
      <c r="N566">
        <f t="shared" si="25"/>
        <v>-134394</v>
      </c>
      <c r="O566" t="str">
        <f t="shared" si="26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24"/>
        <v>3267</v>
      </c>
      <c r="M567">
        <f t="shared" si="24"/>
        <v>-405</v>
      </c>
      <c r="N567">
        <f t="shared" si="25"/>
        <v>-120715</v>
      </c>
      <c r="O567" t="str">
        <f t="shared" si="26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24"/>
        <v>3267</v>
      </c>
      <c r="M568">
        <f t="shared" si="24"/>
        <v>-360</v>
      </c>
      <c r="N568">
        <f t="shared" si="25"/>
        <v>-106925</v>
      </c>
      <c r="O568" t="str">
        <f t="shared" si="26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24"/>
        <v>3267</v>
      </c>
      <c r="M569">
        <f t="shared" si="24"/>
        <v>-315</v>
      </c>
      <c r="N569">
        <f t="shared" si="25"/>
        <v>-93024</v>
      </c>
      <c r="O569" t="str">
        <f t="shared" si="26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24"/>
        <v>3267</v>
      </c>
      <c r="M570">
        <f t="shared" si="24"/>
        <v>-270</v>
      </c>
      <c r="N570">
        <f t="shared" si="25"/>
        <v>-79012</v>
      </c>
      <c r="O570" t="str">
        <f t="shared" si="26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24"/>
        <v>3267</v>
      </c>
      <c r="M571">
        <f t="shared" si="24"/>
        <v>-225</v>
      </c>
      <c r="N571">
        <f t="shared" si="25"/>
        <v>-64888.000000000007</v>
      </c>
      <c r="O571" t="str">
        <f t="shared" si="26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24"/>
        <v>3267</v>
      </c>
      <c r="M572">
        <f t="shared" si="24"/>
        <v>-180</v>
      </c>
      <c r="N572">
        <f t="shared" si="25"/>
        <v>-50654</v>
      </c>
      <c r="O572" t="str">
        <f t="shared" si="26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24"/>
        <v>3267</v>
      </c>
      <c r="M573">
        <f t="shared" si="24"/>
        <v>-135</v>
      </c>
      <c r="N573">
        <f t="shared" si="25"/>
        <v>-36308</v>
      </c>
      <c r="O573" t="str">
        <f t="shared" si="26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24"/>
        <v>3267</v>
      </c>
      <c r="M574">
        <f t="shared" si="24"/>
        <v>-90</v>
      </c>
      <c r="N574">
        <f t="shared" si="25"/>
        <v>-21851</v>
      </c>
      <c r="O574" t="str">
        <f t="shared" si="26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24"/>
        <v>3267</v>
      </c>
      <c r="M575">
        <f t="shared" si="24"/>
        <v>-45</v>
      </c>
      <c r="N575">
        <f t="shared" si="25"/>
        <v>-7283</v>
      </c>
      <c r="O575" t="str">
        <f t="shared" si="26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24"/>
        <v>3267</v>
      </c>
      <c r="M576">
        <f t="shared" si="24"/>
        <v>-9</v>
      </c>
      <c r="N576">
        <f t="shared" si="25"/>
        <v>0</v>
      </c>
      <c r="O576" t="str">
        <f t="shared" si="26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24"/>
        <v>3267</v>
      </c>
      <c r="M577">
        <f t="shared" si="24"/>
        <v>9</v>
      </c>
      <c r="N577">
        <f t="shared" si="25"/>
        <v>11244</v>
      </c>
      <c r="O577" t="str">
        <f t="shared" si="26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24"/>
        <v>3267</v>
      </c>
      <c r="M578">
        <f t="shared" si="24"/>
        <v>45</v>
      </c>
      <c r="N578">
        <f t="shared" si="25"/>
        <v>24171</v>
      </c>
      <c r="O578" t="str">
        <f t="shared" si="26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M642" si="27">A579</f>
        <v>3267</v>
      </c>
      <c r="M579">
        <f t="shared" si="27"/>
        <v>90</v>
      </c>
      <c r="N579">
        <f t="shared" ref="N579:N642" si="28">C579*1000</f>
        <v>40437</v>
      </c>
      <c r="O579" t="str">
        <f t="shared" ref="O579:O642" si="2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27"/>
        <v>3267</v>
      </c>
      <c r="M580">
        <f t="shared" si="27"/>
        <v>135</v>
      </c>
      <c r="N580">
        <f t="shared" si="28"/>
        <v>56824</v>
      </c>
      <c r="O580" t="str">
        <f t="shared" si="2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27"/>
        <v>3267</v>
      </c>
      <c r="M581">
        <f t="shared" si="27"/>
        <v>180</v>
      </c>
      <c r="N581">
        <f t="shared" si="28"/>
        <v>73332</v>
      </c>
      <c r="O581" t="str">
        <f t="shared" si="2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27"/>
        <v>3267</v>
      </c>
      <c r="M582">
        <f t="shared" si="27"/>
        <v>225</v>
      </c>
      <c r="N582">
        <f t="shared" si="28"/>
        <v>89960</v>
      </c>
      <c r="O582" t="str">
        <f t="shared" si="2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27"/>
        <v>3267</v>
      </c>
      <c r="M583">
        <f t="shared" si="27"/>
        <v>270</v>
      </c>
      <c r="N583">
        <f t="shared" si="28"/>
        <v>106709</v>
      </c>
      <c r="O583" t="str">
        <f t="shared" si="2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27"/>
        <v>3267</v>
      </c>
      <c r="M584">
        <f t="shared" si="27"/>
        <v>315</v>
      </c>
      <c r="N584">
        <f t="shared" si="28"/>
        <v>123579</v>
      </c>
      <c r="O584" t="str">
        <f t="shared" si="2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27"/>
        <v>3267</v>
      </c>
      <c r="M585">
        <f t="shared" si="27"/>
        <v>360</v>
      </c>
      <c r="N585">
        <f t="shared" si="28"/>
        <v>140569</v>
      </c>
      <c r="O585" t="str">
        <f t="shared" si="2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27"/>
        <v>3267</v>
      </c>
      <c r="M586">
        <f t="shared" si="27"/>
        <v>405</v>
      </c>
      <c r="N586">
        <f t="shared" si="28"/>
        <v>157679</v>
      </c>
      <c r="O586" t="str">
        <f t="shared" si="2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27"/>
        <v>3267</v>
      </c>
      <c r="M587">
        <f t="shared" si="27"/>
        <v>450</v>
      </c>
      <c r="N587">
        <f t="shared" si="28"/>
        <v>174910</v>
      </c>
      <c r="O587" t="str">
        <f t="shared" si="2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27"/>
        <v>3267</v>
      </c>
      <c r="M588">
        <f t="shared" si="27"/>
        <v>495</v>
      </c>
      <c r="N588">
        <f t="shared" si="28"/>
        <v>192262</v>
      </c>
      <c r="O588" t="str">
        <f t="shared" si="2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27"/>
        <v>3267</v>
      </c>
      <c r="M589">
        <f t="shared" si="27"/>
        <v>540</v>
      </c>
      <c r="N589">
        <f t="shared" si="28"/>
        <v>209734</v>
      </c>
      <c r="O589" t="str">
        <f t="shared" si="2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27"/>
        <v>3267</v>
      </c>
      <c r="M590">
        <f t="shared" si="27"/>
        <v>585</v>
      </c>
      <c r="N590">
        <f t="shared" si="28"/>
        <v>227327</v>
      </c>
      <c r="O590" t="str">
        <f t="shared" si="2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27"/>
        <v>3267</v>
      </c>
      <c r="M591">
        <f t="shared" si="27"/>
        <v>630</v>
      </c>
      <c r="N591">
        <f t="shared" si="28"/>
        <v>245040</v>
      </c>
      <c r="O591" t="str">
        <f t="shared" si="2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27"/>
        <v>3267</v>
      </c>
      <c r="M592">
        <f t="shared" si="27"/>
        <v>675</v>
      </c>
      <c r="N592">
        <f t="shared" si="28"/>
        <v>262874</v>
      </c>
      <c r="O592" t="str">
        <f t="shared" si="2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27"/>
        <v>3267</v>
      </c>
      <c r="M593">
        <f t="shared" si="27"/>
        <v>720</v>
      </c>
      <c r="N593">
        <f t="shared" si="28"/>
        <v>280829</v>
      </c>
      <c r="O593" t="str">
        <f t="shared" si="2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27"/>
        <v>3267</v>
      </c>
      <c r="M594">
        <f t="shared" si="27"/>
        <v>765</v>
      </c>
      <c r="N594">
        <f t="shared" si="28"/>
        <v>298904</v>
      </c>
      <c r="O594" t="str">
        <f t="shared" si="2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27"/>
        <v>3267</v>
      </c>
      <c r="M595">
        <f t="shared" si="27"/>
        <v>810</v>
      </c>
      <c r="N595">
        <f t="shared" si="28"/>
        <v>317099</v>
      </c>
      <c r="O595" t="str">
        <f t="shared" si="2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27"/>
        <v>3267</v>
      </c>
      <c r="M596">
        <f t="shared" si="27"/>
        <v>855</v>
      </c>
      <c r="N596">
        <f t="shared" si="28"/>
        <v>335415</v>
      </c>
      <c r="O596" t="str">
        <f t="shared" si="2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27"/>
        <v>3267</v>
      </c>
      <c r="M597">
        <f t="shared" si="27"/>
        <v>900</v>
      </c>
      <c r="N597">
        <f t="shared" si="28"/>
        <v>353852</v>
      </c>
      <c r="O597" t="str">
        <f t="shared" si="2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27"/>
        <v>3267</v>
      </c>
      <c r="M598">
        <f t="shared" si="27"/>
        <v>945</v>
      </c>
      <c r="N598">
        <f t="shared" si="28"/>
        <v>372410</v>
      </c>
      <c r="O598" t="str">
        <f t="shared" si="2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27"/>
        <v>3267</v>
      </c>
      <c r="M599">
        <f t="shared" si="27"/>
        <v>990</v>
      </c>
      <c r="N599">
        <f t="shared" si="28"/>
        <v>391087</v>
      </c>
      <c r="O599" t="str">
        <f t="shared" si="2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27"/>
        <v>3564</v>
      </c>
      <c r="M600">
        <f t="shared" si="27"/>
        <v>-990</v>
      </c>
      <c r="N600">
        <f t="shared" si="28"/>
        <v>-313190</v>
      </c>
      <c r="O600" t="str">
        <f t="shared" si="2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27"/>
        <v>3564</v>
      </c>
      <c r="M601">
        <f t="shared" si="27"/>
        <v>-945</v>
      </c>
      <c r="N601">
        <f t="shared" si="28"/>
        <v>-299903</v>
      </c>
      <c r="O601" t="str">
        <f t="shared" si="2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27"/>
        <v>3564</v>
      </c>
      <c r="M602">
        <f t="shared" si="27"/>
        <v>-900</v>
      </c>
      <c r="N602">
        <f t="shared" si="28"/>
        <v>-286485</v>
      </c>
      <c r="O602" t="str">
        <f t="shared" si="2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27"/>
        <v>3564</v>
      </c>
      <c r="M603">
        <f t="shared" si="27"/>
        <v>-855</v>
      </c>
      <c r="N603">
        <f t="shared" si="28"/>
        <v>-272938</v>
      </c>
      <c r="O603" t="str">
        <f t="shared" si="2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27"/>
        <v>3564</v>
      </c>
      <c r="M604">
        <f t="shared" si="27"/>
        <v>-810</v>
      </c>
      <c r="N604">
        <f t="shared" si="28"/>
        <v>-259261.00000000003</v>
      </c>
      <c r="O604" t="str">
        <f t="shared" si="2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27"/>
        <v>3564</v>
      </c>
      <c r="M605">
        <f t="shared" si="27"/>
        <v>-765</v>
      </c>
      <c r="N605">
        <f t="shared" si="28"/>
        <v>-245454</v>
      </c>
      <c r="O605" t="str">
        <f t="shared" si="2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27"/>
        <v>3564</v>
      </c>
      <c r="M606">
        <f t="shared" si="27"/>
        <v>-720</v>
      </c>
      <c r="N606">
        <f t="shared" si="28"/>
        <v>-231518</v>
      </c>
      <c r="O606" t="str">
        <f t="shared" si="2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27"/>
        <v>3564</v>
      </c>
      <c r="M607">
        <f t="shared" si="27"/>
        <v>-675</v>
      </c>
      <c r="N607">
        <f t="shared" si="28"/>
        <v>-217451</v>
      </c>
      <c r="O607" t="str">
        <f t="shared" si="2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27"/>
        <v>3564</v>
      </c>
      <c r="M608">
        <f t="shared" si="27"/>
        <v>-630</v>
      </c>
      <c r="N608">
        <f t="shared" si="28"/>
        <v>-203255</v>
      </c>
      <c r="O608" t="str">
        <f t="shared" si="2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27"/>
        <v>3564</v>
      </c>
      <c r="M609">
        <f t="shared" si="27"/>
        <v>-585</v>
      </c>
      <c r="N609">
        <f t="shared" si="28"/>
        <v>-188929</v>
      </c>
      <c r="O609" t="str">
        <f t="shared" si="2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27"/>
        <v>3564</v>
      </c>
      <c r="M610">
        <f t="shared" si="27"/>
        <v>-540</v>
      </c>
      <c r="N610">
        <f t="shared" si="28"/>
        <v>-174474</v>
      </c>
      <c r="O610" t="str">
        <f t="shared" si="2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27"/>
        <v>3564</v>
      </c>
      <c r="M611">
        <f t="shared" si="27"/>
        <v>-495</v>
      </c>
      <c r="N611">
        <f t="shared" si="28"/>
        <v>-159888</v>
      </c>
      <c r="O611" t="str">
        <f t="shared" si="2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27"/>
        <v>3564</v>
      </c>
      <c r="M612">
        <f t="shared" si="27"/>
        <v>-450</v>
      </c>
      <c r="N612">
        <f t="shared" si="28"/>
        <v>-145173</v>
      </c>
      <c r="O612" t="str">
        <f t="shared" si="2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27"/>
        <v>3564</v>
      </c>
      <c r="M613">
        <f t="shared" si="27"/>
        <v>-405</v>
      </c>
      <c r="N613">
        <f t="shared" si="28"/>
        <v>-130328</v>
      </c>
      <c r="O613" t="str">
        <f t="shared" si="2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27"/>
        <v>3564</v>
      </c>
      <c r="M614">
        <f t="shared" si="27"/>
        <v>-360</v>
      </c>
      <c r="N614">
        <f t="shared" si="28"/>
        <v>-115353</v>
      </c>
      <c r="O614" t="str">
        <f t="shared" si="2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27"/>
        <v>3564</v>
      </c>
      <c r="M615">
        <f t="shared" si="27"/>
        <v>-315</v>
      </c>
      <c r="N615">
        <f t="shared" si="28"/>
        <v>-100248</v>
      </c>
      <c r="O615" t="str">
        <f t="shared" si="2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27"/>
        <v>3564</v>
      </c>
      <c r="M616">
        <f t="shared" si="27"/>
        <v>-270</v>
      </c>
      <c r="N616">
        <f t="shared" si="28"/>
        <v>-85013</v>
      </c>
      <c r="O616" t="str">
        <f t="shared" si="2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27"/>
        <v>3564</v>
      </c>
      <c r="M617">
        <f t="shared" si="27"/>
        <v>-225</v>
      </c>
      <c r="N617">
        <f t="shared" si="28"/>
        <v>-69649</v>
      </c>
      <c r="O617" t="str">
        <f t="shared" si="2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27"/>
        <v>3564</v>
      </c>
      <c r="M618">
        <f t="shared" si="27"/>
        <v>-180</v>
      </c>
      <c r="N618">
        <f t="shared" si="28"/>
        <v>-54155</v>
      </c>
      <c r="O618" t="str">
        <f t="shared" si="2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27"/>
        <v>3564</v>
      </c>
      <c r="M619">
        <f t="shared" si="27"/>
        <v>-135</v>
      </c>
      <c r="N619">
        <f t="shared" si="28"/>
        <v>-38531</v>
      </c>
      <c r="O619" t="str">
        <f t="shared" si="2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27"/>
        <v>3564</v>
      </c>
      <c r="M620">
        <f t="shared" si="27"/>
        <v>-90</v>
      </c>
      <c r="N620">
        <f t="shared" si="28"/>
        <v>-22777</v>
      </c>
      <c r="O620" t="str">
        <f t="shared" si="2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27"/>
        <v>3564</v>
      </c>
      <c r="M621">
        <f t="shared" si="27"/>
        <v>-45</v>
      </c>
      <c r="N621">
        <f t="shared" si="28"/>
        <v>-6894</v>
      </c>
      <c r="O621" t="str">
        <f t="shared" si="2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27"/>
        <v>3564</v>
      </c>
      <c r="M622">
        <f t="shared" si="27"/>
        <v>-9</v>
      </c>
      <c r="N622">
        <f t="shared" si="28"/>
        <v>0</v>
      </c>
      <c r="O622" t="str">
        <f t="shared" si="2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27"/>
        <v>3564</v>
      </c>
      <c r="M623">
        <f t="shared" si="27"/>
        <v>9</v>
      </c>
      <c r="N623">
        <f t="shared" si="28"/>
        <v>13407</v>
      </c>
      <c r="O623" t="str">
        <f t="shared" si="2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27"/>
        <v>3564</v>
      </c>
      <c r="M624">
        <f t="shared" si="27"/>
        <v>45</v>
      </c>
      <c r="N624">
        <f t="shared" si="28"/>
        <v>27509</v>
      </c>
      <c r="O624" t="str">
        <f t="shared" si="2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27"/>
        <v>3564</v>
      </c>
      <c r="M625">
        <f t="shared" si="27"/>
        <v>90</v>
      </c>
      <c r="N625">
        <f t="shared" si="28"/>
        <v>45264</v>
      </c>
      <c r="O625" t="str">
        <f t="shared" si="2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27"/>
        <v>3564</v>
      </c>
      <c r="M626">
        <f t="shared" si="27"/>
        <v>135</v>
      </c>
      <c r="N626">
        <f t="shared" si="28"/>
        <v>63160</v>
      </c>
      <c r="O626" t="str">
        <f t="shared" si="2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27"/>
        <v>3564</v>
      </c>
      <c r="M627">
        <f t="shared" si="27"/>
        <v>180</v>
      </c>
      <c r="N627">
        <f t="shared" si="28"/>
        <v>81196</v>
      </c>
      <c r="O627" t="str">
        <f t="shared" si="2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27"/>
        <v>3564</v>
      </c>
      <c r="M628">
        <f t="shared" si="27"/>
        <v>225</v>
      </c>
      <c r="N628">
        <f t="shared" si="28"/>
        <v>99373</v>
      </c>
      <c r="O628" t="str">
        <f t="shared" si="2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27"/>
        <v>3564</v>
      </c>
      <c r="M629">
        <f t="shared" si="27"/>
        <v>270</v>
      </c>
      <c r="N629">
        <f t="shared" si="28"/>
        <v>117692</v>
      </c>
      <c r="O629" t="str">
        <f t="shared" si="2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27"/>
        <v>3564</v>
      </c>
      <c r="M630">
        <f t="shared" si="27"/>
        <v>315</v>
      </c>
      <c r="N630">
        <f t="shared" si="28"/>
        <v>136151</v>
      </c>
      <c r="O630" t="str">
        <f t="shared" si="2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27"/>
        <v>3564</v>
      </c>
      <c r="M631">
        <f t="shared" si="27"/>
        <v>360</v>
      </c>
      <c r="N631">
        <f t="shared" si="28"/>
        <v>154750</v>
      </c>
      <c r="O631" t="str">
        <f t="shared" si="2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27"/>
        <v>3564</v>
      </c>
      <c r="M632">
        <f t="shared" si="27"/>
        <v>405</v>
      </c>
      <c r="N632">
        <f t="shared" si="28"/>
        <v>173491</v>
      </c>
      <c r="O632" t="str">
        <f t="shared" si="2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27"/>
        <v>3564</v>
      </c>
      <c r="M633">
        <f t="shared" si="27"/>
        <v>450</v>
      </c>
      <c r="N633">
        <f t="shared" si="28"/>
        <v>192372</v>
      </c>
      <c r="O633" t="str">
        <f t="shared" si="2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27"/>
        <v>3564</v>
      </c>
      <c r="M634">
        <f t="shared" si="27"/>
        <v>495</v>
      </c>
      <c r="N634">
        <f t="shared" si="28"/>
        <v>211395</v>
      </c>
      <c r="O634" t="str">
        <f t="shared" si="2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27"/>
        <v>3564</v>
      </c>
      <c r="M635">
        <f t="shared" si="27"/>
        <v>540</v>
      </c>
      <c r="N635">
        <f t="shared" si="28"/>
        <v>230558</v>
      </c>
      <c r="O635" t="str">
        <f t="shared" si="2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27"/>
        <v>3564</v>
      </c>
      <c r="M636">
        <f t="shared" si="27"/>
        <v>585</v>
      </c>
      <c r="N636">
        <f t="shared" si="28"/>
        <v>249862</v>
      </c>
      <c r="O636" t="str">
        <f t="shared" si="2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27"/>
        <v>3564</v>
      </c>
      <c r="M637">
        <f t="shared" si="27"/>
        <v>630</v>
      </c>
      <c r="N637">
        <f t="shared" si="28"/>
        <v>269307</v>
      </c>
      <c r="O637" t="str">
        <f t="shared" si="2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27"/>
        <v>3564</v>
      </c>
      <c r="M638">
        <f t="shared" si="27"/>
        <v>675</v>
      </c>
      <c r="N638">
        <f t="shared" si="28"/>
        <v>288892</v>
      </c>
      <c r="O638" t="str">
        <f t="shared" si="2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27"/>
        <v>3564</v>
      </c>
      <c r="M639">
        <f t="shared" si="27"/>
        <v>720</v>
      </c>
      <c r="N639">
        <f t="shared" si="28"/>
        <v>308619</v>
      </c>
      <c r="O639" t="str">
        <f t="shared" si="2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27"/>
        <v>3564</v>
      </c>
      <c r="M640">
        <f t="shared" si="27"/>
        <v>765</v>
      </c>
      <c r="N640">
        <f t="shared" si="28"/>
        <v>328486</v>
      </c>
      <c r="O640" t="str">
        <f t="shared" si="2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27"/>
        <v>3564</v>
      </c>
      <c r="M641">
        <f t="shared" si="27"/>
        <v>810</v>
      </c>
      <c r="N641">
        <f t="shared" si="28"/>
        <v>348494</v>
      </c>
      <c r="O641" t="str">
        <f t="shared" si="2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27"/>
        <v>3564</v>
      </c>
      <c r="M642">
        <f t="shared" si="27"/>
        <v>855</v>
      </c>
      <c r="N642">
        <f t="shared" si="28"/>
        <v>368643</v>
      </c>
      <c r="O642" t="str">
        <f t="shared" si="2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M706" si="30">A643</f>
        <v>3564</v>
      </c>
      <c r="M643">
        <f t="shared" si="30"/>
        <v>900</v>
      </c>
      <c r="N643">
        <f t="shared" ref="N643:N706" si="31">C643*1000</f>
        <v>388933</v>
      </c>
      <c r="O643" t="str">
        <f t="shared" ref="O643:O706" si="32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30"/>
        <v>3564</v>
      </c>
      <c r="M644">
        <f t="shared" si="30"/>
        <v>945</v>
      </c>
      <c r="N644">
        <f t="shared" si="31"/>
        <v>409364</v>
      </c>
      <c r="O644" t="str">
        <f t="shared" si="32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30"/>
        <v>3564</v>
      </c>
      <c r="M645">
        <f t="shared" si="30"/>
        <v>990</v>
      </c>
      <c r="N645">
        <f t="shared" si="31"/>
        <v>429935</v>
      </c>
      <c r="O645" t="str">
        <f t="shared" si="32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30"/>
        <v>3861</v>
      </c>
      <c r="M646">
        <f t="shared" si="30"/>
        <v>-990</v>
      </c>
      <c r="N646">
        <f t="shared" si="31"/>
        <v>-335857</v>
      </c>
      <c r="O646" t="str">
        <f t="shared" si="32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30"/>
        <v>3861</v>
      </c>
      <c r="M647">
        <f t="shared" si="30"/>
        <v>-945</v>
      </c>
      <c r="N647">
        <f t="shared" si="31"/>
        <v>-321662</v>
      </c>
      <c r="O647" t="str">
        <f t="shared" si="32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30"/>
        <v>3861</v>
      </c>
      <c r="M648">
        <f t="shared" si="30"/>
        <v>-900</v>
      </c>
      <c r="N648">
        <f t="shared" si="31"/>
        <v>-307317</v>
      </c>
      <c r="O648" t="str">
        <f t="shared" si="32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30"/>
        <v>3861</v>
      </c>
      <c r="M649">
        <f t="shared" si="30"/>
        <v>-855</v>
      </c>
      <c r="N649">
        <f t="shared" si="31"/>
        <v>-292822</v>
      </c>
      <c r="O649" t="str">
        <f t="shared" si="32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30"/>
        <v>3861</v>
      </c>
      <c r="M650">
        <f t="shared" si="30"/>
        <v>-810</v>
      </c>
      <c r="N650">
        <f t="shared" si="31"/>
        <v>-278177</v>
      </c>
      <c r="O650" t="str">
        <f t="shared" si="32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30"/>
        <v>3861</v>
      </c>
      <c r="M651">
        <f t="shared" si="30"/>
        <v>-765</v>
      </c>
      <c r="N651">
        <f t="shared" si="31"/>
        <v>-263381</v>
      </c>
      <c r="O651" t="str">
        <f t="shared" si="32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30"/>
        <v>3861</v>
      </c>
      <c r="M652">
        <f t="shared" si="30"/>
        <v>-720</v>
      </c>
      <c r="N652">
        <f t="shared" si="31"/>
        <v>-248436</v>
      </c>
      <c r="O652" t="str">
        <f t="shared" si="32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30"/>
        <v>3861</v>
      </c>
      <c r="M653">
        <f t="shared" si="30"/>
        <v>-675</v>
      </c>
      <c r="N653">
        <f t="shared" si="31"/>
        <v>-233340</v>
      </c>
      <c r="O653" t="str">
        <f t="shared" si="32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30"/>
        <v>3861</v>
      </c>
      <c r="M654">
        <f t="shared" si="30"/>
        <v>-630</v>
      </c>
      <c r="N654">
        <f t="shared" si="31"/>
        <v>-218095</v>
      </c>
      <c r="O654" t="str">
        <f t="shared" si="32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30"/>
        <v>3861</v>
      </c>
      <c r="M655">
        <f t="shared" si="30"/>
        <v>-585</v>
      </c>
      <c r="N655">
        <f t="shared" si="31"/>
        <v>-202699</v>
      </c>
      <c r="O655" t="str">
        <f t="shared" si="32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30"/>
        <v>3861</v>
      </c>
      <c r="M656">
        <f t="shared" si="30"/>
        <v>-540</v>
      </c>
      <c r="N656">
        <f t="shared" si="31"/>
        <v>-187153</v>
      </c>
      <c r="O656" t="str">
        <f t="shared" si="32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30"/>
        <v>3861</v>
      </c>
      <c r="M657">
        <f t="shared" si="30"/>
        <v>-495</v>
      </c>
      <c r="N657">
        <f t="shared" si="31"/>
        <v>-171457</v>
      </c>
      <c r="O657" t="str">
        <f t="shared" si="32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30"/>
        <v>3861</v>
      </c>
      <c r="M658">
        <f t="shared" si="30"/>
        <v>-450</v>
      </c>
      <c r="N658">
        <f t="shared" si="31"/>
        <v>-155612</v>
      </c>
      <c r="O658" t="str">
        <f t="shared" si="32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30"/>
        <v>3861</v>
      </c>
      <c r="M659">
        <f t="shared" si="30"/>
        <v>-405</v>
      </c>
      <c r="N659">
        <f t="shared" si="31"/>
        <v>-139616</v>
      </c>
      <c r="O659" t="str">
        <f t="shared" si="32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30"/>
        <v>3861</v>
      </c>
      <c r="M660">
        <f t="shared" si="30"/>
        <v>-360</v>
      </c>
      <c r="N660">
        <f t="shared" si="31"/>
        <v>-123470</v>
      </c>
      <c r="O660" t="str">
        <f t="shared" si="32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30"/>
        <v>3861</v>
      </c>
      <c r="M661">
        <f t="shared" si="30"/>
        <v>-315</v>
      </c>
      <c r="N661">
        <f t="shared" si="31"/>
        <v>-107173</v>
      </c>
      <c r="O661" t="str">
        <f t="shared" si="32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30"/>
        <v>3861</v>
      </c>
      <c r="M662">
        <f t="shared" si="30"/>
        <v>-270</v>
      </c>
      <c r="N662">
        <f t="shared" si="31"/>
        <v>-90727</v>
      </c>
      <c r="O662" t="str">
        <f t="shared" si="32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30"/>
        <v>3861</v>
      </c>
      <c r="M663">
        <f t="shared" si="30"/>
        <v>-225</v>
      </c>
      <c r="N663">
        <f t="shared" si="31"/>
        <v>-74131</v>
      </c>
      <c r="O663" t="str">
        <f t="shared" si="32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30"/>
        <v>3861</v>
      </c>
      <c r="M664">
        <f t="shared" si="30"/>
        <v>-180</v>
      </c>
      <c r="N664">
        <f t="shared" si="31"/>
        <v>-57384</v>
      </c>
      <c r="O664" t="str">
        <f t="shared" si="32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30"/>
        <v>3861</v>
      </c>
      <c r="M665">
        <f t="shared" si="30"/>
        <v>-135</v>
      </c>
      <c r="N665">
        <f t="shared" si="31"/>
        <v>-40488</v>
      </c>
      <c r="O665" t="str">
        <f t="shared" si="32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30"/>
        <v>3861</v>
      </c>
      <c r="M666">
        <f t="shared" si="30"/>
        <v>-90</v>
      </c>
      <c r="N666">
        <f t="shared" si="31"/>
        <v>-23441</v>
      </c>
      <c r="O666" t="str">
        <f t="shared" si="32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30"/>
        <v>3861</v>
      </c>
      <c r="M667">
        <f t="shared" si="30"/>
        <v>-45</v>
      </c>
      <c r="N667">
        <f t="shared" si="31"/>
        <v>-6245</v>
      </c>
      <c r="O667" t="str">
        <f t="shared" si="32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30"/>
        <v>3861</v>
      </c>
      <c r="M668">
        <f t="shared" si="30"/>
        <v>-9</v>
      </c>
      <c r="N668">
        <f t="shared" si="31"/>
        <v>0</v>
      </c>
      <c r="O668" t="str">
        <f t="shared" si="32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30"/>
        <v>3861</v>
      </c>
      <c r="M669">
        <f t="shared" si="30"/>
        <v>9</v>
      </c>
      <c r="N669">
        <f t="shared" si="31"/>
        <v>15850</v>
      </c>
      <c r="O669" t="str">
        <f t="shared" si="32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30"/>
        <v>3861</v>
      </c>
      <c r="M670">
        <f t="shared" si="30"/>
        <v>45</v>
      </c>
      <c r="N670">
        <f t="shared" si="31"/>
        <v>31129</v>
      </c>
      <c r="O670" t="str">
        <f t="shared" si="32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30"/>
        <v>3861</v>
      </c>
      <c r="M671">
        <f t="shared" si="30"/>
        <v>90</v>
      </c>
      <c r="N671">
        <f t="shared" si="31"/>
        <v>50375</v>
      </c>
      <c r="O671" t="str">
        <f t="shared" si="32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30"/>
        <v>3861</v>
      </c>
      <c r="M672">
        <f t="shared" si="30"/>
        <v>135</v>
      </c>
      <c r="N672">
        <f t="shared" si="31"/>
        <v>69784</v>
      </c>
      <c r="O672" t="str">
        <f t="shared" si="32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30"/>
        <v>3861</v>
      </c>
      <c r="M673">
        <f t="shared" si="30"/>
        <v>180</v>
      </c>
      <c r="N673">
        <f t="shared" si="31"/>
        <v>89355</v>
      </c>
      <c r="O673" t="str">
        <f t="shared" si="32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30"/>
        <v>3861</v>
      </c>
      <c r="M674">
        <f t="shared" si="30"/>
        <v>225</v>
      </c>
      <c r="N674">
        <f t="shared" si="31"/>
        <v>109089</v>
      </c>
      <c r="O674" t="str">
        <f t="shared" si="32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30"/>
        <v>3861</v>
      </c>
      <c r="M675">
        <f t="shared" si="30"/>
        <v>270</v>
      </c>
      <c r="N675">
        <f t="shared" si="31"/>
        <v>128985.99999999999</v>
      </c>
      <c r="O675" t="str">
        <f t="shared" si="32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30"/>
        <v>3861</v>
      </c>
      <c r="M676">
        <f t="shared" si="30"/>
        <v>315</v>
      </c>
      <c r="N676">
        <f t="shared" si="31"/>
        <v>149046</v>
      </c>
      <c r="O676" t="str">
        <f t="shared" si="32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30"/>
        <v>3861</v>
      </c>
      <c r="M677">
        <f t="shared" si="30"/>
        <v>360</v>
      </c>
      <c r="N677">
        <f t="shared" si="31"/>
        <v>169269</v>
      </c>
      <c r="O677" t="str">
        <f t="shared" si="32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30"/>
        <v>3861</v>
      </c>
      <c r="M678">
        <f t="shared" si="30"/>
        <v>405</v>
      </c>
      <c r="N678">
        <f t="shared" si="31"/>
        <v>189655</v>
      </c>
      <c r="O678" t="str">
        <f t="shared" si="32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30"/>
        <v>3861</v>
      </c>
      <c r="M679">
        <f t="shared" si="30"/>
        <v>450</v>
      </c>
      <c r="N679">
        <f t="shared" si="31"/>
        <v>210203</v>
      </c>
      <c r="O679" t="str">
        <f t="shared" si="32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30"/>
        <v>3861</v>
      </c>
      <c r="M680">
        <f t="shared" si="30"/>
        <v>495</v>
      </c>
      <c r="N680">
        <f t="shared" si="31"/>
        <v>230915</v>
      </c>
      <c r="O680" t="str">
        <f t="shared" si="32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30"/>
        <v>3861</v>
      </c>
      <c r="M681">
        <f t="shared" si="30"/>
        <v>540</v>
      </c>
      <c r="N681">
        <f t="shared" si="31"/>
        <v>251789</v>
      </c>
      <c r="O681" t="str">
        <f t="shared" si="32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30"/>
        <v>3861</v>
      </c>
      <c r="M682">
        <f t="shared" si="30"/>
        <v>585</v>
      </c>
      <c r="N682">
        <f t="shared" si="31"/>
        <v>272826</v>
      </c>
      <c r="O682" t="str">
        <f t="shared" si="32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30"/>
        <v>3861</v>
      </c>
      <c r="M683">
        <f t="shared" si="30"/>
        <v>630</v>
      </c>
      <c r="N683">
        <f t="shared" si="31"/>
        <v>294026</v>
      </c>
      <c r="O683" t="str">
        <f t="shared" si="32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30"/>
        <v>3861</v>
      </c>
      <c r="M684">
        <f t="shared" si="30"/>
        <v>675</v>
      </c>
      <c r="N684">
        <f t="shared" si="31"/>
        <v>315389</v>
      </c>
      <c r="O684" t="str">
        <f t="shared" si="32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30"/>
        <v>3861</v>
      </c>
      <c r="M685">
        <f t="shared" si="30"/>
        <v>720</v>
      </c>
      <c r="N685">
        <f t="shared" si="31"/>
        <v>336914</v>
      </c>
      <c r="O685" t="str">
        <f t="shared" si="32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30"/>
        <v>3861</v>
      </c>
      <c r="M686">
        <f t="shared" si="30"/>
        <v>765</v>
      </c>
      <c r="N686">
        <f t="shared" si="31"/>
        <v>358603</v>
      </c>
      <c r="O686" t="str">
        <f t="shared" si="32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30"/>
        <v>3861</v>
      </c>
      <c r="M687">
        <f t="shared" si="30"/>
        <v>810</v>
      </c>
      <c r="N687">
        <f t="shared" si="31"/>
        <v>380454</v>
      </c>
      <c r="O687" t="str">
        <f t="shared" si="32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30"/>
        <v>3861</v>
      </c>
      <c r="M688">
        <f t="shared" si="30"/>
        <v>855</v>
      </c>
      <c r="N688">
        <f t="shared" si="31"/>
        <v>402468</v>
      </c>
      <c r="O688" t="str">
        <f t="shared" si="32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30"/>
        <v>3861</v>
      </c>
      <c r="M689">
        <f t="shared" si="30"/>
        <v>900</v>
      </c>
      <c r="N689">
        <f t="shared" si="31"/>
        <v>424645</v>
      </c>
      <c r="O689" t="str">
        <f t="shared" si="32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30"/>
        <v>3861</v>
      </c>
      <c r="M690">
        <f t="shared" si="30"/>
        <v>945</v>
      </c>
      <c r="N690">
        <f t="shared" si="31"/>
        <v>446985</v>
      </c>
      <c r="O690" t="str">
        <f t="shared" si="32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30"/>
        <v>3861</v>
      </c>
      <c r="M691">
        <f t="shared" si="30"/>
        <v>990</v>
      </c>
      <c r="N691">
        <f t="shared" si="31"/>
        <v>469488</v>
      </c>
      <c r="O691" t="str">
        <f t="shared" si="32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30"/>
        <v>4158</v>
      </c>
      <c r="M692">
        <f t="shared" si="30"/>
        <v>-990</v>
      </c>
      <c r="N692">
        <f t="shared" si="31"/>
        <v>-357855</v>
      </c>
      <c r="O692" t="str">
        <f t="shared" si="32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30"/>
        <v>4158</v>
      </c>
      <c r="M693">
        <f t="shared" si="30"/>
        <v>-945</v>
      </c>
      <c r="N693">
        <f t="shared" si="31"/>
        <v>-342788</v>
      </c>
      <c r="O693" t="str">
        <f t="shared" si="32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30"/>
        <v>4158</v>
      </c>
      <c r="M694">
        <f t="shared" si="30"/>
        <v>-900</v>
      </c>
      <c r="N694">
        <f t="shared" si="31"/>
        <v>-327548</v>
      </c>
      <c r="O694" t="str">
        <f t="shared" si="32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30"/>
        <v>4158</v>
      </c>
      <c r="M695">
        <f t="shared" si="30"/>
        <v>-855</v>
      </c>
      <c r="N695">
        <f t="shared" si="31"/>
        <v>-312136</v>
      </c>
      <c r="O695" t="str">
        <f t="shared" si="32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30"/>
        <v>4158</v>
      </c>
      <c r="M696">
        <f t="shared" si="30"/>
        <v>-810</v>
      </c>
      <c r="N696">
        <f t="shared" si="31"/>
        <v>-296552</v>
      </c>
      <c r="O696" t="str">
        <f t="shared" si="32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30"/>
        <v>4158</v>
      </c>
      <c r="M697">
        <f t="shared" si="30"/>
        <v>-765</v>
      </c>
      <c r="N697">
        <f t="shared" si="31"/>
        <v>-280797</v>
      </c>
      <c r="O697" t="str">
        <f t="shared" si="32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30"/>
        <v>4158</v>
      </c>
      <c r="M698">
        <f t="shared" si="30"/>
        <v>-720</v>
      </c>
      <c r="N698">
        <f t="shared" si="31"/>
        <v>-264869</v>
      </c>
      <c r="O698" t="str">
        <f t="shared" si="32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30"/>
        <v>4158</v>
      </c>
      <c r="M699">
        <f t="shared" si="30"/>
        <v>-675</v>
      </c>
      <c r="N699">
        <f t="shared" si="31"/>
        <v>-248769</v>
      </c>
      <c r="O699" t="str">
        <f t="shared" si="32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30"/>
        <v>4158</v>
      </c>
      <c r="M700">
        <f t="shared" si="30"/>
        <v>-630</v>
      </c>
      <c r="N700">
        <f t="shared" si="31"/>
        <v>-232498</v>
      </c>
      <c r="O700" t="str">
        <f t="shared" si="32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30"/>
        <v>4158</v>
      </c>
      <c r="M701">
        <f t="shared" si="30"/>
        <v>-585</v>
      </c>
      <c r="N701">
        <f t="shared" si="31"/>
        <v>-216054</v>
      </c>
      <c r="O701" t="str">
        <f t="shared" si="32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30"/>
        <v>4158</v>
      </c>
      <c r="M702">
        <f t="shared" si="30"/>
        <v>-540</v>
      </c>
      <c r="N702">
        <f t="shared" si="31"/>
        <v>-199439</v>
      </c>
      <c r="O702" t="str">
        <f t="shared" si="32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30"/>
        <v>4158</v>
      </c>
      <c r="M703">
        <f t="shared" si="30"/>
        <v>-495</v>
      </c>
      <c r="N703">
        <f t="shared" si="31"/>
        <v>-182651</v>
      </c>
      <c r="O703" t="str">
        <f t="shared" si="32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30"/>
        <v>4158</v>
      </c>
      <c r="M704">
        <f t="shared" si="30"/>
        <v>-450</v>
      </c>
      <c r="N704">
        <f t="shared" si="31"/>
        <v>-165691</v>
      </c>
      <c r="O704" t="str">
        <f t="shared" si="32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30"/>
        <v>4158</v>
      </c>
      <c r="M705">
        <f t="shared" si="30"/>
        <v>-405</v>
      </c>
      <c r="N705">
        <f t="shared" si="31"/>
        <v>-148560</v>
      </c>
      <c r="O705" t="str">
        <f t="shared" si="32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30"/>
        <v>4158</v>
      </c>
      <c r="M706">
        <f t="shared" si="30"/>
        <v>-360</v>
      </c>
      <c r="N706">
        <f t="shared" si="31"/>
        <v>-131256</v>
      </c>
      <c r="O706" t="str">
        <f t="shared" si="32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M770" si="33">A707</f>
        <v>4158</v>
      </c>
      <c r="M707">
        <f t="shared" si="33"/>
        <v>-315</v>
      </c>
      <c r="N707">
        <f t="shared" ref="N707:N770" si="34">C707*1000</f>
        <v>-113781</v>
      </c>
      <c r="O707" t="str">
        <f t="shared" ref="O707:O770" si="35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33"/>
        <v>4158</v>
      </c>
      <c r="M708">
        <f t="shared" si="33"/>
        <v>-270</v>
      </c>
      <c r="N708">
        <f t="shared" si="34"/>
        <v>-96134</v>
      </c>
      <c r="O708" t="str">
        <f t="shared" si="35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33"/>
        <v>4158</v>
      </c>
      <c r="M709">
        <f t="shared" si="33"/>
        <v>-225</v>
      </c>
      <c r="N709">
        <f t="shared" si="34"/>
        <v>-78314</v>
      </c>
      <c r="O709" t="str">
        <f t="shared" si="35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33"/>
        <v>4158</v>
      </c>
      <c r="M710">
        <f t="shared" si="33"/>
        <v>-180</v>
      </c>
      <c r="N710">
        <f t="shared" si="34"/>
        <v>-60323</v>
      </c>
      <c r="O710" t="str">
        <f t="shared" si="35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33"/>
        <v>4158</v>
      </c>
      <c r="M711">
        <f t="shared" si="33"/>
        <v>-135</v>
      </c>
      <c r="N711">
        <f t="shared" si="34"/>
        <v>-42159</v>
      </c>
      <c r="O711" t="str">
        <f t="shared" si="35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33"/>
        <v>4158</v>
      </c>
      <c r="M712">
        <f t="shared" si="33"/>
        <v>-90</v>
      </c>
      <c r="N712">
        <f t="shared" si="34"/>
        <v>-23824</v>
      </c>
      <c r="O712" t="str">
        <f t="shared" si="35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33"/>
        <v>4158</v>
      </c>
      <c r="M713">
        <f t="shared" si="33"/>
        <v>-45</v>
      </c>
      <c r="N713">
        <f t="shared" si="34"/>
        <v>-5316</v>
      </c>
      <c r="O713" t="str">
        <f t="shared" si="35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33"/>
        <v>4158</v>
      </c>
      <c r="M714">
        <f t="shared" si="33"/>
        <v>-9</v>
      </c>
      <c r="N714">
        <f t="shared" si="34"/>
        <v>0</v>
      </c>
      <c r="O714" t="str">
        <f t="shared" si="35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33"/>
        <v>4158</v>
      </c>
      <c r="M715">
        <f t="shared" si="33"/>
        <v>9</v>
      </c>
      <c r="N715">
        <f t="shared" si="34"/>
        <v>18595</v>
      </c>
      <c r="O715" t="str">
        <f t="shared" si="35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33"/>
        <v>4158</v>
      </c>
      <c r="M716">
        <f t="shared" si="33"/>
        <v>45</v>
      </c>
      <c r="N716">
        <f t="shared" si="34"/>
        <v>35052</v>
      </c>
      <c r="O716" t="str">
        <f t="shared" si="35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33"/>
        <v>4158</v>
      </c>
      <c r="M717">
        <f t="shared" si="33"/>
        <v>90</v>
      </c>
      <c r="N717">
        <f t="shared" si="34"/>
        <v>55792</v>
      </c>
      <c r="O717" t="str">
        <f t="shared" si="35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33"/>
        <v>4158</v>
      </c>
      <c r="M718">
        <f t="shared" si="33"/>
        <v>135</v>
      </c>
      <c r="N718">
        <f t="shared" si="34"/>
        <v>76718</v>
      </c>
      <c r="O718" t="str">
        <f t="shared" si="35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33"/>
        <v>4158</v>
      </c>
      <c r="M719">
        <f t="shared" si="33"/>
        <v>180</v>
      </c>
      <c r="N719">
        <f t="shared" si="34"/>
        <v>97830</v>
      </c>
      <c r="O719" t="str">
        <f t="shared" si="35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33"/>
        <v>4158</v>
      </c>
      <c r="M720">
        <f t="shared" si="33"/>
        <v>225</v>
      </c>
      <c r="N720">
        <f t="shared" si="34"/>
        <v>119129</v>
      </c>
      <c r="O720" t="str">
        <f t="shared" si="35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33"/>
        <v>4158</v>
      </c>
      <c r="M721">
        <f t="shared" si="33"/>
        <v>270</v>
      </c>
      <c r="N721">
        <f t="shared" si="34"/>
        <v>140615</v>
      </c>
      <c r="O721" t="str">
        <f t="shared" si="35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33"/>
        <v>4158</v>
      </c>
      <c r="M722">
        <f t="shared" si="33"/>
        <v>315</v>
      </c>
      <c r="N722">
        <f t="shared" si="34"/>
        <v>162287</v>
      </c>
      <c r="O722" t="str">
        <f t="shared" si="35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33"/>
        <v>4158</v>
      </c>
      <c r="M723">
        <f t="shared" si="33"/>
        <v>360</v>
      </c>
      <c r="N723">
        <f t="shared" si="34"/>
        <v>184146</v>
      </c>
      <c r="O723" t="str">
        <f t="shared" si="35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33"/>
        <v>4158</v>
      </c>
      <c r="M724">
        <f t="shared" si="33"/>
        <v>405</v>
      </c>
      <c r="N724">
        <f t="shared" si="34"/>
        <v>206192</v>
      </c>
      <c r="O724" t="str">
        <f t="shared" si="35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33"/>
        <v>4158</v>
      </c>
      <c r="M725">
        <f t="shared" si="33"/>
        <v>450</v>
      </c>
      <c r="N725">
        <f t="shared" si="34"/>
        <v>228424</v>
      </c>
      <c r="O725" t="str">
        <f t="shared" si="35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33"/>
        <v>4158</v>
      </c>
      <c r="M726">
        <f t="shared" si="33"/>
        <v>495</v>
      </c>
      <c r="N726">
        <f t="shared" si="34"/>
        <v>250843</v>
      </c>
      <c r="O726" t="str">
        <f t="shared" si="35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33"/>
        <v>4158</v>
      </c>
      <c r="M727">
        <f t="shared" si="33"/>
        <v>540</v>
      </c>
      <c r="N727">
        <f t="shared" si="34"/>
        <v>273448</v>
      </c>
      <c r="O727" t="str">
        <f t="shared" si="35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33"/>
        <v>4158</v>
      </c>
      <c r="M728">
        <f t="shared" si="33"/>
        <v>585</v>
      </c>
      <c r="N728">
        <f t="shared" si="34"/>
        <v>296240</v>
      </c>
      <c r="O728" t="str">
        <f t="shared" si="35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33"/>
        <v>4158</v>
      </c>
      <c r="M729">
        <f t="shared" si="33"/>
        <v>630</v>
      </c>
      <c r="N729">
        <f t="shared" si="34"/>
        <v>319219</v>
      </c>
      <c r="O729" t="str">
        <f t="shared" si="35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33"/>
        <v>4158</v>
      </c>
      <c r="M730">
        <f t="shared" si="33"/>
        <v>675</v>
      </c>
      <c r="N730">
        <f t="shared" si="34"/>
        <v>342384</v>
      </c>
      <c r="O730" t="str">
        <f t="shared" si="35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33"/>
        <v>4158</v>
      </c>
      <c r="M731">
        <f t="shared" si="33"/>
        <v>720</v>
      </c>
      <c r="N731">
        <f t="shared" si="34"/>
        <v>365736</v>
      </c>
      <c r="O731" t="str">
        <f t="shared" si="35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33"/>
        <v>4158</v>
      </c>
      <c r="M732">
        <f t="shared" si="33"/>
        <v>765</v>
      </c>
      <c r="N732">
        <f t="shared" si="34"/>
        <v>389274</v>
      </c>
      <c r="O732" t="str">
        <f t="shared" si="35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33"/>
        <v>4158</v>
      </c>
      <c r="M733">
        <f t="shared" si="33"/>
        <v>810</v>
      </c>
      <c r="N733">
        <f t="shared" si="34"/>
        <v>412999</v>
      </c>
      <c r="O733" t="str">
        <f t="shared" si="35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33"/>
        <v>4158</v>
      </c>
      <c r="M734">
        <f t="shared" si="33"/>
        <v>855</v>
      </c>
      <c r="N734">
        <f t="shared" si="34"/>
        <v>436911</v>
      </c>
      <c r="O734" t="str">
        <f t="shared" si="35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33"/>
        <v>4158</v>
      </c>
      <c r="M735">
        <f t="shared" si="33"/>
        <v>900</v>
      </c>
      <c r="N735">
        <f t="shared" si="34"/>
        <v>461009</v>
      </c>
      <c r="O735" t="str">
        <f t="shared" si="35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33"/>
        <v>4158</v>
      </c>
      <c r="M736">
        <f t="shared" si="33"/>
        <v>945</v>
      </c>
      <c r="N736">
        <f t="shared" si="34"/>
        <v>485294</v>
      </c>
      <c r="O736" t="str">
        <f t="shared" si="35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33"/>
        <v>4158</v>
      </c>
      <c r="M737">
        <f t="shared" si="33"/>
        <v>990</v>
      </c>
      <c r="N737">
        <f t="shared" si="34"/>
        <v>509766</v>
      </c>
      <c r="O737" t="str">
        <f t="shared" si="35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33"/>
        <v>4455</v>
      </c>
      <c r="M738">
        <f t="shared" si="33"/>
        <v>-990</v>
      </c>
      <c r="N738">
        <f t="shared" si="34"/>
        <v>-379166</v>
      </c>
      <c r="O738" t="str">
        <f t="shared" si="35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33"/>
        <v>4455</v>
      </c>
      <c r="M739">
        <f t="shared" si="33"/>
        <v>-945</v>
      </c>
      <c r="N739">
        <f t="shared" si="34"/>
        <v>-363260</v>
      </c>
      <c r="O739" t="str">
        <f t="shared" si="35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33"/>
        <v>4455</v>
      </c>
      <c r="M740">
        <f t="shared" si="33"/>
        <v>-900</v>
      </c>
      <c r="N740">
        <f t="shared" si="34"/>
        <v>-347158</v>
      </c>
      <c r="O740" t="str">
        <f t="shared" si="35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33"/>
        <v>4455</v>
      </c>
      <c r="M741">
        <f t="shared" si="33"/>
        <v>-855</v>
      </c>
      <c r="N741">
        <f t="shared" si="34"/>
        <v>-330862</v>
      </c>
      <c r="O741" t="str">
        <f t="shared" si="35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33"/>
        <v>4455</v>
      </c>
      <c r="M742">
        <f t="shared" si="33"/>
        <v>-810</v>
      </c>
      <c r="N742">
        <f t="shared" si="34"/>
        <v>-314369</v>
      </c>
      <c r="O742" t="str">
        <f t="shared" si="35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33"/>
        <v>4455</v>
      </c>
      <c r="M743">
        <f t="shared" si="33"/>
        <v>-765</v>
      </c>
      <c r="N743">
        <f t="shared" si="34"/>
        <v>-297681</v>
      </c>
      <c r="O743" t="str">
        <f t="shared" si="35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33"/>
        <v>4455</v>
      </c>
      <c r="M744">
        <f t="shared" si="33"/>
        <v>-720</v>
      </c>
      <c r="N744">
        <f t="shared" si="34"/>
        <v>-280798</v>
      </c>
      <c r="O744" t="str">
        <f t="shared" si="35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33"/>
        <v>4455</v>
      </c>
      <c r="M745">
        <f t="shared" si="33"/>
        <v>-675</v>
      </c>
      <c r="N745">
        <f t="shared" si="34"/>
        <v>-263719</v>
      </c>
      <c r="O745" t="str">
        <f t="shared" si="35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33"/>
        <v>4455</v>
      </c>
      <c r="M746">
        <f t="shared" si="33"/>
        <v>-630</v>
      </c>
      <c r="N746">
        <f t="shared" si="34"/>
        <v>-246445</v>
      </c>
      <c r="O746" t="str">
        <f t="shared" si="35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33"/>
        <v>4455</v>
      </c>
      <c r="M747">
        <f t="shared" si="33"/>
        <v>-585</v>
      </c>
      <c r="N747">
        <f t="shared" si="34"/>
        <v>-228975</v>
      </c>
      <c r="O747" t="str">
        <f t="shared" si="35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33"/>
        <v>4455</v>
      </c>
      <c r="M748">
        <f t="shared" si="33"/>
        <v>-540</v>
      </c>
      <c r="N748">
        <f t="shared" si="34"/>
        <v>-211310</v>
      </c>
      <c r="O748" t="str">
        <f t="shared" si="35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33"/>
        <v>4455</v>
      </c>
      <c r="M749">
        <f t="shared" si="33"/>
        <v>-495</v>
      </c>
      <c r="N749">
        <f t="shared" si="34"/>
        <v>-193449</v>
      </c>
      <c r="O749" t="str">
        <f t="shared" si="35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33"/>
        <v>4455</v>
      </c>
      <c r="M750">
        <f t="shared" si="33"/>
        <v>-450</v>
      </c>
      <c r="N750">
        <f t="shared" si="34"/>
        <v>-175393</v>
      </c>
      <c r="O750" t="str">
        <f t="shared" si="35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33"/>
        <v>4455</v>
      </c>
      <c r="M751">
        <f t="shared" si="33"/>
        <v>-405</v>
      </c>
      <c r="N751">
        <f t="shared" si="34"/>
        <v>-157141</v>
      </c>
      <c r="O751" t="str">
        <f t="shared" si="35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33"/>
        <v>4455</v>
      </c>
      <c r="M752">
        <f t="shared" si="33"/>
        <v>-360</v>
      </c>
      <c r="N752">
        <f t="shared" si="34"/>
        <v>-138694</v>
      </c>
      <c r="O752" t="str">
        <f t="shared" si="35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33"/>
        <v>4455</v>
      </c>
      <c r="M753">
        <f t="shared" si="33"/>
        <v>-315</v>
      </c>
      <c r="N753">
        <f t="shared" si="34"/>
        <v>-120051</v>
      </c>
      <c r="O753" t="str">
        <f t="shared" si="35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33"/>
        <v>4455</v>
      </c>
      <c r="M754">
        <f t="shared" si="33"/>
        <v>-270</v>
      </c>
      <c r="N754">
        <f t="shared" si="34"/>
        <v>-101213</v>
      </c>
      <c r="O754" t="str">
        <f t="shared" si="35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33"/>
        <v>4455</v>
      </c>
      <c r="M755">
        <f t="shared" si="33"/>
        <v>-225</v>
      </c>
      <c r="N755">
        <f t="shared" si="34"/>
        <v>-82179</v>
      </c>
      <c r="O755" t="str">
        <f t="shared" si="35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33"/>
        <v>4455</v>
      </c>
      <c r="M756">
        <f t="shared" si="33"/>
        <v>-180</v>
      </c>
      <c r="N756">
        <f t="shared" si="34"/>
        <v>-62950</v>
      </c>
      <c r="O756" t="str">
        <f t="shared" si="35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33"/>
        <v>4455</v>
      </c>
      <c r="M757">
        <f t="shared" si="33"/>
        <v>-135</v>
      </c>
      <c r="N757">
        <f t="shared" si="34"/>
        <v>-43525</v>
      </c>
      <c r="O757" t="str">
        <f t="shared" si="35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33"/>
        <v>4455</v>
      </c>
      <c r="M758">
        <f t="shared" si="33"/>
        <v>-90</v>
      </c>
      <c r="N758">
        <f t="shared" si="34"/>
        <v>-23905</v>
      </c>
      <c r="O758" t="str">
        <f t="shared" si="35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33"/>
        <v>4455</v>
      </c>
      <c r="M759">
        <f t="shared" si="33"/>
        <v>-45</v>
      </c>
      <c r="N759">
        <f t="shared" si="34"/>
        <v>-4090</v>
      </c>
      <c r="O759" t="str">
        <f t="shared" si="35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33"/>
        <v>4455</v>
      </c>
      <c r="M760">
        <f t="shared" si="33"/>
        <v>-9</v>
      </c>
      <c r="N760">
        <f t="shared" si="34"/>
        <v>0</v>
      </c>
      <c r="O760" t="str">
        <f t="shared" si="35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33"/>
        <v>4455</v>
      </c>
      <c r="M761">
        <f t="shared" si="33"/>
        <v>9</v>
      </c>
      <c r="N761">
        <f t="shared" si="34"/>
        <v>21664</v>
      </c>
      <c r="O761" t="str">
        <f t="shared" si="35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33"/>
        <v>4455</v>
      </c>
      <c r="M762">
        <f t="shared" si="33"/>
        <v>45</v>
      </c>
      <c r="N762">
        <f t="shared" si="34"/>
        <v>39299</v>
      </c>
      <c r="O762" t="str">
        <f t="shared" si="35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33"/>
        <v>4455</v>
      </c>
      <c r="M763">
        <f t="shared" si="33"/>
        <v>90</v>
      </c>
      <c r="N763">
        <f t="shared" si="34"/>
        <v>61535</v>
      </c>
      <c r="O763" t="str">
        <f t="shared" si="35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33"/>
        <v>4455</v>
      </c>
      <c r="M764">
        <f t="shared" si="33"/>
        <v>135</v>
      </c>
      <c r="N764">
        <f t="shared" si="34"/>
        <v>83982</v>
      </c>
      <c r="O764" t="str">
        <f t="shared" si="35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33"/>
        <v>4455</v>
      </c>
      <c r="M765">
        <f t="shared" si="33"/>
        <v>180</v>
      </c>
      <c r="N765">
        <f t="shared" si="34"/>
        <v>106642</v>
      </c>
      <c r="O765" t="str">
        <f t="shared" si="35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33"/>
        <v>4455</v>
      </c>
      <c r="M766">
        <f t="shared" si="33"/>
        <v>225</v>
      </c>
      <c r="N766">
        <f t="shared" si="34"/>
        <v>129514.00000000001</v>
      </c>
      <c r="O766" t="str">
        <f t="shared" si="35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33"/>
        <v>4455</v>
      </c>
      <c r="M767">
        <f t="shared" si="33"/>
        <v>270</v>
      </c>
      <c r="N767">
        <f t="shared" si="34"/>
        <v>152598</v>
      </c>
      <c r="O767" t="str">
        <f t="shared" si="35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33"/>
        <v>4455</v>
      </c>
      <c r="M768">
        <f t="shared" si="33"/>
        <v>315</v>
      </c>
      <c r="N768">
        <f t="shared" si="34"/>
        <v>175894</v>
      </c>
      <c r="O768" t="str">
        <f t="shared" si="35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33"/>
        <v>4455</v>
      </c>
      <c r="M769">
        <f t="shared" si="33"/>
        <v>360</v>
      </c>
      <c r="N769">
        <f t="shared" si="34"/>
        <v>199402</v>
      </c>
      <c r="O769" t="str">
        <f t="shared" si="35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33"/>
        <v>4455</v>
      </c>
      <c r="M770">
        <f t="shared" si="33"/>
        <v>405</v>
      </c>
      <c r="N770">
        <f t="shared" si="34"/>
        <v>223122</v>
      </c>
      <c r="O770" t="str">
        <f t="shared" si="35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M834" si="36">A771</f>
        <v>4455</v>
      </c>
      <c r="M771">
        <f t="shared" si="36"/>
        <v>450</v>
      </c>
      <c r="N771">
        <f t="shared" ref="N771:N834" si="37">C771*1000</f>
        <v>247055</v>
      </c>
      <c r="O771" t="str">
        <f t="shared" ref="O771:O834" si="38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36"/>
        <v>4455</v>
      </c>
      <c r="M772">
        <f t="shared" si="36"/>
        <v>495</v>
      </c>
      <c r="N772">
        <f t="shared" si="37"/>
        <v>271200</v>
      </c>
      <c r="O772" t="str">
        <f t="shared" si="38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36"/>
        <v>4455</v>
      </c>
      <c r="M773">
        <f t="shared" si="36"/>
        <v>540</v>
      </c>
      <c r="N773">
        <f t="shared" si="37"/>
        <v>295556</v>
      </c>
      <c r="O773" t="str">
        <f t="shared" si="38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36"/>
        <v>4455</v>
      </c>
      <c r="M774">
        <f t="shared" si="36"/>
        <v>585</v>
      </c>
      <c r="N774">
        <f t="shared" si="37"/>
        <v>320125</v>
      </c>
      <c r="O774" t="str">
        <f t="shared" si="38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36"/>
        <v>4455</v>
      </c>
      <c r="M775">
        <f t="shared" si="36"/>
        <v>630</v>
      </c>
      <c r="N775">
        <f t="shared" si="37"/>
        <v>344906</v>
      </c>
      <c r="O775" t="str">
        <f t="shared" si="38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36"/>
        <v>4455</v>
      </c>
      <c r="M776">
        <f t="shared" si="36"/>
        <v>675</v>
      </c>
      <c r="N776">
        <f t="shared" si="37"/>
        <v>369899</v>
      </c>
      <c r="O776" t="str">
        <f t="shared" si="38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36"/>
        <v>4455</v>
      </c>
      <c r="M777">
        <f t="shared" si="36"/>
        <v>720</v>
      </c>
      <c r="N777">
        <f t="shared" si="37"/>
        <v>395104</v>
      </c>
      <c r="O777" t="str">
        <f t="shared" si="38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36"/>
        <v>4455</v>
      </c>
      <c r="M778">
        <f t="shared" si="36"/>
        <v>765</v>
      </c>
      <c r="N778">
        <f t="shared" si="37"/>
        <v>420522</v>
      </c>
      <c r="O778" t="str">
        <f t="shared" si="38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36"/>
        <v>4455</v>
      </c>
      <c r="M779">
        <f t="shared" si="36"/>
        <v>810</v>
      </c>
      <c r="N779">
        <f t="shared" si="37"/>
        <v>446151</v>
      </c>
      <c r="O779" t="str">
        <f t="shared" si="38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36"/>
        <v>4455</v>
      </c>
      <c r="M780">
        <f t="shared" si="36"/>
        <v>855</v>
      </c>
      <c r="N780">
        <f t="shared" si="37"/>
        <v>471993</v>
      </c>
      <c r="O780" t="str">
        <f t="shared" si="38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36"/>
        <v>4455</v>
      </c>
      <c r="M781">
        <f t="shared" si="36"/>
        <v>900</v>
      </c>
      <c r="N781">
        <f t="shared" si="37"/>
        <v>498046</v>
      </c>
      <c r="O781" t="str">
        <f t="shared" si="38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36"/>
        <v>4455</v>
      </c>
      <c r="M782">
        <f t="shared" si="36"/>
        <v>945</v>
      </c>
      <c r="N782">
        <f t="shared" si="37"/>
        <v>524312</v>
      </c>
      <c r="O782" t="str">
        <f t="shared" si="38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36"/>
        <v>4455</v>
      </c>
      <c r="M783">
        <f t="shared" si="36"/>
        <v>990</v>
      </c>
      <c r="N783">
        <f t="shared" si="37"/>
        <v>550790</v>
      </c>
      <c r="O783" t="str">
        <f t="shared" si="38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36"/>
        <v>4752</v>
      </c>
      <c r="M784">
        <f t="shared" si="36"/>
        <v>-990</v>
      </c>
      <c r="N784">
        <f t="shared" si="37"/>
        <v>-399769</v>
      </c>
      <c r="O784" t="str">
        <f t="shared" si="38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36"/>
        <v>4752</v>
      </c>
      <c r="M785">
        <f t="shared" si="36"/>
        <v>-945</v>
      </c>
      <c r="N785">
        <f t="shared" si="37"/>
        <v>-383059</v>
      </c>
      <c r="O785" t="str">
        <f t="shared" si="38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36"/>
        <v>4752</v>
      </c>
      <c r="M786">
        <f t="shared" si="36"/>
        <v>-900</v>
      </c>
      <c r="N786">
        <f t="shared" si="37"/>
        <v>-366129</v>
      </c>
      <c r="O786" t="str">
        <f t="shared" si="38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36"/>
        <v>4752</v>
      </c>
      <c r="M787">
        <f t="shared" si="36"/>
        <v>-855</v>
      </c>
      <c r="N787">
        <f t="shared" si="37"/>
        <v>-348979</v>
      </c>
      <c r="O787" t="str">
        <f t="shared" si="38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36"/>
        <v>4752</v>
      </c>
      <c r="M788">
        <f t="shared" si="36"/>
        <v>-810</v>
      </c>
      <c r="N788">
        <f t="shared" si="37"/>
        <v>-331608</v>
      </c>
      <c r="O788" t="str">
        <f t="shared" si="38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36"/>
        <v>4752</v>
      </c>
      <c r="M789">
        <f t="shared" si="36"/>
        <v>-765</v>
      </c>
      <c r="N789">
        <f t="shared" si="37"/>
        <v>-314016</v>
      </c>
      <c r="O789" t="str">
        <f t="shared" si="38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36"/>
        <v>4752</v>
      </c>
      <c r="M790">
        <f t="shared" si="36"/>
        <v>-720</v>
      </c>
      <c r="N790">
        <f t="shared" si="37"/>
        <v>-296204</v>
      </c>
      <c r="O790" t="str">
        <f t="shared" si="38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36"/>
        <v>4752</v>
      </c>
      <c r="M791">
        <f t="shared" si="36"/>
        <v>-675</v>
      </c>
      <c r="N791">
        <f t="shared" si="37"/>
        <v>-278171</v>
      </c>
      <c r="O791" t="str">
        <f t="shared" si="38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36"/>
        <v>4752</v>
      </c>
      <c r="M792">
        <f t="shared" si="36"/>
        <v>-630</v>
      </c>
      <c r="N792">
        <f t="shared" si="37"/>
        <v>-259916.99999999997</v>
      </c>
      <c r="O792" t="str">
        <f t="shared" si="38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36"/>
        <v>4752</v>
      </c>
      <c r="M793">
        <f t="shared" si="36"/>
        <v>-585</v>
      </c>
      <c r="N793">
        <f t="shared" si="37"/>
        <v>-241443</v>
      </c>
      <c r="O793" t="str">
        <f t="shared" si="38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36"/>
        <v>4752</v>
      </c>
      <c r="M794">
        <f t="shared" si="36"/>
        <v>-540</v>
      </c>
      <c r="N794">
        <f t="shared" si="37"/>
        <v>-222748</v>
      </c>
      <c r="O794" t="str">
        <f t="shared" si="38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36"/>
        <v>4752</v>
      </c>
      <c r="M795">
        <f t="shared" si="36"/>
        <v>-495</v>
      </c>
      <c r="N795">
        <f t="shared" si="37"/>
        <v>-203833</v>
      </c>
      <c r="O795" t="str">
        <f t="shared" si="38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36"/>
        <v>4752</v>
      </c>
      <c r="M796">
        <f t="shared" si="36"/>
        <v>-450</v>
      </c>
      <c r="N796">
        <f t="shared" si="37"/>
        <v>-184697</v>
      </c>
      <c r="O796" t="str">
        <f t="shared" si="38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36"/>
        <v>4752</v>
      </c>
      <c r="M797">
        <f t="shared" si="36"/>
        <v>-405</v>
      </c>
      <c r="N797">
        <f t="shared" si="37"/>
        <v>-165340</v>
      </c>
      <c r="O797" t="str">
        <f t="shared" si="38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36"/>
        <v>4752</v>
      </c>
      <c r="M798">
        <f t="shared" si="36"/>
        <v>-360</v>
      </c>
      <c r="N798">
        <f t="shared" si="37"/>
        <v>-145763</v>
      </c>
      <c r="O798" t="str">
        <f t="shared" si="38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36"/>
        <v>4752</v>
      </c>
      <c r="M799">
        <f t="shared" si="36"/>
        <v>-315</v>
      </c>
      <c r="N799">
        <f t="shared" si="37"/>
        <v>-125965</v>
      </c>
      <c r="O799" t="str">
        <f t="shared" si="38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36"/>
        <v>4752</v>
      </c>
      <c r="M800">
        <f t="shared" si="36"/>
        <v>-270</v>
      </c>
      <c r="N800">
        <f t="shared" si="37"/>
        <v>-105947</v>
      </c>
      <c r="O800" t="str">
        <f t="shared" si="38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36"/>
        <v>4752</v>
      </c>
      <c r="M801">
        <f t="shared" si="36"/>
        <v>-225</v>
      </c>
      <c r="N801">
        <f t="shared" si="37"/>
        <v>-85707</v>
      </c>
      <c r="O801" t="str">
        <f t="shared" si="38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36"/>
        <v>4752</v>
      </c>
      <c r="M802">
        <f t="shared" si="36"/>
        <v>-180</v>
      </c>
      <c r="N802">
        <f t="shared" si="37"/>
        <v>-65248.000000000007</v>
      </c>
      <c r="O802" t="str">
        <f t="shared" si="38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36"/>
        <v>4752</v>
      </c>
      <c r="M803">
        <f t="shared" si="36"/>
        <v>-135</v>
      </c>
      <c r="N803">
        <f t="shared" si="37"/>
        <v>-44567</v>
      </c>
      <c r="O803" t="str">
        <f t="shared" si="38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36"/>
        <v>4752</v>
      </c>
      <c r="M804">
        <f t="shared" si="36"/>
        <v>-90</v>
      </c>
      <c r="N804">
        <f t="shared" si="37"/>
        <v>-23666</v>
      </c>
      <c r="O804" t="str">
        <f t="shared" si="38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36"/>
        <v>4752</v>
      </c>
      <c r="M805">
        <f t="shared" si="36"/>
        <v>-45</v>
      </c>
      <c r="N805">
        <f t="shared" si="37"/>
        <v>-2545</v>
      </c>
      <c r="O805" t="str">
        <f t="shared" si="38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36"/>
        <v>4752</v>
      </c>
      <c r="M806">
        <f t="shared" si="36"/>
        <v>-9</v>
      </c>
      <c r="N806">
        <f t="shared" si="37"/>
        <v>0</v>
      </c>
      <c r="O806" t="str">
        <f t="shared" si="38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36"/>
        <v>4752</v>
      </c>
      <c r="M807">
        <f t="shared" si="36"/>
        <v>9</v>
      </c>
      <c r="N807">
        <f t="shared" si="37"/>
        <v>25076</v>
      </c>
      <c r="O807" t="str">
        <f t="shared" si="38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36"/>
        <v>4752</v>
      </c>
      <c r="M808">
        <f t="shared" si="36"/>
        <v>45</v>
      </c>
      <c r="N808">
        <f t="shared" si="37"/>
        <v>43891</v>
      </c>
      <c r="O808" t="str">
        <f t="shared" si="38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36"/>
        <v>4752</v>
      </c>
      <c r="M809">
        <f t="shared" si="36"/>
        <v>90</v>
      </c>
      <c r="N809">
        <f t="shared" si="37"/>
        <v>67626</v>
      </c>
      <c r="O809" t="str">
        <f t="shared" si="38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36"/>
        <v>4752</v>
      </c>
      <c r="M810">
        <f t="shared" si="36"/>
        <v>135</v>
      </c>
      <c r="N810">
        <f t="shared" si="37"/>
        <v>91599</v>
      </c>
      <c r="O810" t="str">
        <f t="shared" si="38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36"/>
        <v>4752</v>
      </c>
      <c r="M811">
        <f t="shared" si="36"/>
        <v>180</v>
      </c>
      <c r="N811">
        <f t="shared" si="37"/>
        <v>115812</v>
      </c>
      <c r="O811" t="str">
        <f t="shared" si="38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36"/>
        <v>4752</v>
      </c>
      <c r="M812">
        <f t="shared" si="36"/>
        <v>225</v>
      </c>
      <c r="N812">
        <f t="shared" si="37"/>
        <v>140265</v>
      </c>
      <c r="O812" t="str">
        <f t="shared" si="38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36"/>
        <v>4752</v>
      </c>
      <c r="M813">
        <f t="shared" si="36"/>
        <v>270</v>
      </c>
      <c r="N813">
        <f t="shared" si="37"/>
        <v>164956</v>
      </c>
      <c r="O813" t="str">
        <f t="shared" si="38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36"/>
        <v>4752</v>
      </c>
      <c r="M814">
        <f t="shared" si="36"/>
        <v>315</v>
      </c>
      <c r="N814">
        <f t="shared" si="37"/>
        <v>189888</v>
      </c>
      <c r="O814" t="str">
        <f t="shared" si="38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36"/>
        <v>4752</v>
      </c>
      <c r="M815">
        <f t="shared" si="36"/>
        <v>360</v>
      </c>
      <c r="N815">
        <f t="shared" si="37"/>
        <v>215058</v>
      </c>
      <c r="O815" t="str">
        <f t="shared" si="38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36"/>
        <v>4752</v>
      </c>
      <c r="M816">
        <f t="shared" si="36"/>
        <v>405</v>
      </c>
      <c r="N816">
        <f t="shared" si="37"/>
        <v>240468</v>
      </c>
      <c r="O816" t="str">
        <f t="shared" si="38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36"/>
        <v>4752</v>
      </c>
      <c r="M817">
        <f t="shared" si="36"/>
        <v>450</v>
      </c>
      <c r="N817">
        <f t="shared" si="37"/>
        <v>266118</v>
      </c>
      <c r="O817" t="str">
        <f t="shared" si="38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36"/>
        <v>4752</v>
      </c>
      <c r="M818">
        <f t="shared" si="36"/>
        <v>495</v>
      </c>
      <c r="N818">
        <f t="shared" si="37"/>
        <v>292006</v>
      </c>
      <c r="O818" t="str">
        <f t="shared" si="38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36"/>
        <v>4752</v>
      </c>
      <c r="M819">
        <f t="shared" si="36"/>
        <v>540</v>
      </c>
      <c r="N819">
        <f t="shared" si="37"/>
        <v>318134</v>
      </c>
      <c r="O819" t="str">
        <f t="shared" si="38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36"/>
        <v>4752</v>
      </c>
      <c r="M820">
        <f t="shared" si="36"/>
        <v>585</v>
      </c>
      <c r="N820">
        <f t="shared" si="37"/>
        <v>344502</v>
      </c>
      <c r="O820" t="str">
        <f t="shared" si="38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36"/>
        <v>4752</v>
      </c>
      <c r="M821">
        <f t="shared" si="36"/>
        <v>630</v>
      </c>
      <c r="N821">
        <f t="shared" si="37"/>
        <v>371109</v>
      </c>
      <c r="O821" t="str">
        <f t="shared" si="38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36"/>
        <v>4752</v>
      </c>
      <c r="M822">
        <f t="shared" si="36"/>
        <v>675</v>
      </c>
      <c r="N822">
        <f t="shared" si="37"/>
        <v>397955</v>
      </c>
      <c r="O822" t="str">
        <f t="shared" si="38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36"/>
        <v>4752</v>
      </c>
      <c r="M823">
        <f t="shared" si="36"/>
        <v>720</v>
      </c>
      <c r="N823">
        <f t="shared" si="37"/>
        <v>425041</v>
      </c>
      <c r="O823" t="str">
        <f t="shared" si="38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36"/>
        <v>4752</v>
      </c>
      <c r="M824">
        <f t="shared" si="36"/>
        <v>765</v>
      </c>
      <c r="N824">
        <f t="shared" si="37"/>
        <v>452366</v>
      </c>
      <c r="O824" t="str">
        <f t="shared" si="38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36"/>
        <v>4752</v>
      </c>
      <c r="M825">
        <f t="shared" si="36"/>
        <v>810</v>
      </c>
      <c r="N825">
        <f t="shared" si="37"/>
        <v>479930</v>
      </c>
      <c r="O825" t="str">
        <f t="shared" si="38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36"/>
        <v>4752</v>
      </c>
      <c r="M826">
        <f t="shared" si="36"/>
        <v>855</v>
      </c>
      <c r="N826">
        <f t="shared" si="37"/>
        <v>507734</v>
      </c>
      <c r="O826" t="str">
        <f t="shared" si="38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36"/>
        <v>4752</v>
      </c>
      <c r="M827">
        <f t="shared" si="36"/>
        <v>900</v>
      </c>
      <c r="N827">
        <f t="shared" si="37"/>
        <v>535777</v>
      </c>
      <c r="O827" t="str">
        <f t="shared" si="38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36"/>
        <v>4752</v>
      </c>
      <c r="M828">
        <f t="shared" si="36"/>
        <v>945</v>
      </c>
      <c r="N828">
        <f t="shared" si="37"/>
        <v>564060</v>
      </c>
      <c r="O828" t="str">
        <f t="shared" si="38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36"/>
        <v>4752</v>
      </c>
      <c r="M829">
        <f t="shared" si="36"/>
        <v>990</v>
      </c>
      <c r="N829">
        <f t="shared" si="37"/>
        <v>592582</v>
      </c>
      <c r="O829" t="str">
        <f t="shared" si="38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36"/>
        <v>5049</v>
      </c>
      <c r="M830">
        <f t="shared" si="36"/>
        <v>-990</v>
      </c>
      <c r="N830">
        <f t="shared" si="37"/>
        <v>-419645</v>
      </c>
      <c r="O830" t="str">
        <f t="shared" si="38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36"/>
        <v>5049</v>
      </c>
      <c r="M831">
        <f t="shared" si="36"/>
        <v>-945</v>
      </c>
      <c r="N831">
        <f t="shared" si="37"/>
        <v>-402167</v>
      </c>
      <c r="O831" t="str">
        <f t="shared" si="38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36"/>
        <v>5049</v>
      </c>
      <c r="M832">
        <f t="shared" si="36"/>
        <v>-900</v>
      </c>
      <c r="N832">
        <f t="shared" si="37"/>
        <v>-384442</v>
      </c>
      <c r="O832" t="str">
        <f t="shared" si="38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36"/>
        <v>5049</v>
      </c>
      <c r="M833">
        <f t="shared" si="36"/>
        <v>-855</v>
      </c>
      <c r="N833">
        <f t="shared" si="37"/>
        <v>-366469</v>
      </c>
      <c r="O833" t="str">
        <f t="shared" si="38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36"/>
        <v>5049</v>
      </c>
      <c r="M834">
        <f t="shared" si="36"/>
        <v>-810</v>
      </c>
      <c r="N834">
        <f t="shared" si="37"/>
        <v>-348249</v>
      </c>
      <c r="O834" t="str">
        <f t="shared" si="38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M898" si="39">A835</f>
        <v>5049</v>
      </c>
      <c r="M835">
        <f t="shared" si="39"/>
        <v>-765</v>
      </c>
      <c r="N835">
        <f t="shared" ref="N835:N898" si="40">C835*1000</f>
        <v>-329781</v>
      </c>
      <c r="O835" t="str">
        <f t="shared" ref="O835:O898" si="41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39"/>
        <v>5049</v>
      </c>
      <c r="M836">
        <f t="shared" si="39"/>
        <v>-720</v>
      </c>
      <c r="N836">
        <f t="shared" si="40"/>
        <v>-311067</v>
      </c>
      <c r="O836" t="str">
        <f t="shared" si="41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39"/>
        <v>5049</v>
      </c>
      <c r="M837">
        <f t="shared" si="39"/>
        <v>-675</v>
      </c>
      <c r="N837">
        <f t="shared" si="40"/>
        <v>-292105</v>
      </c>
      <c r="O837" t="str">
        <f t="shared" si="41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39"/>
        <v>5049</v>
      </c>
      <c r="M838">
        <f t="shared" si="39"/>
        <v>-630</v>
      </c>
      <c r="N838">
        <f t="shared" si="40"/>
        <v>-272895</v>
      </c>
      <c r="O838" t="str">
        <f t="shared" si="41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39"/>
        <v>5049</v>
      </c>
      <c r="M839">
        <f t="shared" si="39"/>
        <v>-585</v>
      </c>
      <c r="N839">
        <f t="shared" si="40"/>
        <v>-253438</v>
      </c>
      <c r="O839" t="str">
        <f t="shared" si="41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39"/>
        <v>5049</v>
      </c>
      <c r="M840">
        <f t="shared" si="39"/>
        <v>-540</v>
      </c>
      <c r="N840">
        <f t="shared" si="40"/>
        <v>-233734</v>
      </c>
      <c r="O840" t="str">
        <f t="shared" si="41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39"/>
        <v>5049</v>
      </c>
      <c r="M841">
        <f t="shared" si="39"/>
        <v>-495</v>
      </c>
      <c r="N841">
        <f t="shared" si="40"/>
        <v>-213783</v>
      </c>
      <c r="O841" t="str">
        <f t="shared" si="41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39"/>
        <v>5049</v>
      </c>
      <c r="M842">
        <f t="shared" si="39"/>
        <v>-450</v>
      </c>
      <c r="N842">
        <f t="shared" si="40"/>
        <v>-193584</v>
      </c>
      <c r="O842" t="str">
        <f t="shared" si="41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39"/>
        <v>5049</v>
      </c>
      <c r="M843">
        <f t="shared" si="39"/>
        <v>-405</v>
      </c>
      <c r="N843">
        <f t="shared" si="40"/>
        <v>-173138</v>
      </c>
      <c r="O843" t="str">
        <f t="shared" si="41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39"/>
        <v>5049</v>
      </c>
      <c r="M844">
        <f t="shared" si="39"/>
        <v>-360</v>
      </c>
      <c r="N844">
        <f t="shared" si="40"/>
        <v>-152444</v>
      </c>
      <c r="O844" t="str">
        <f t="shared" si="41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39"/>
        <v>5049</v>
      </c>
      <c r="M845">
        <f t="shared" si="39"/>
        <v>-315</v>
      </c>
      <c r="N845">
        <f t="shared" si="40"/>
        <v>-131503</v>
      </c>
      <c r="O845" t="str">
        <f t="shared" si="41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39"/>
        <v>5049</v>
      </c>
      <c r="M846">
        <f t="shared" si="39"/>
        <v>-270</v>
      </c>
      <c r="N846">
        <f t="shared" si="40"/>
        <v>-110315</v>
      </c>
      <c r="O846" t="str">
        <f t="shared" si="41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39"/>
        <v>5049</v>
      </c>
      <c r="M847">
        <f t="shared" si="39"/>
        <v>-225</v>
      </c>
      <c r="N847">
        <f t="shared" si="40"/>
        <v>-88879</v>
      </c>
      <c r="O847" t="str">
        <f t="shared" si="41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39"/>
        <v>5049</v>
      </c>
      <c r="M848">
        <f t="shared" si="39"/>
        <v>-180</v>
      </c>
      <c r="N848">
        <f t="shared" si="40"/>
        <v>-67196</v>
      </c>
      <c r="O848" t="str">
        <f t="shared" si="41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39"/>
        <v>5049</v>
      </c>
      <c r="M849">
        <f t="shared" si="39"/>
        <v>-135</v>
      </c>
      <c r="N849">
        <f t="shared" si="40"/>
        <v>-45266</v>
      </c>
      <c r="O849" t="str">
        <f t="shared" si="41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39"/>
        <v>5049</v>
      </c>
      <c r="M850">
        <f t="shared" si="39"/>
        <v>-90</v>
      </c>
      <c r="N850">
        <f t="shared" si="40"/>
        <v>-23088</v>
      </c>
      <c r="O850" t="str">
        <f t="shared" si="41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39"/>
        <v>5049</v>
      </c>
      <c r="M851">
        <f t="shared" si="39"/>
        <v>-45</v>
      </c>
      <c r="N851">
        <f t="shared" si="40"/>
        <v>-663</v>
      </c>
      <c r="O851" t="str">
        <f t="shared" si="41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39"/>
        <v>5049</v>
      </c>
      <c r="M852">
        <f t="shared" si="39"/>
        <v>-9</v>
      </c>
      <c r="N852">
        <f t="shared" si="40"/>
        <v>0</v>
      </c>
      <c r="O852" t="str">
        <f t="shared" si="41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39"/>
        <v>5049</v>
      </c>
      <c r="M853">
        <f t="shared" si="39"/>
        <v>9</v>
      </c>
      <c r="N853">
        <f t="shared" si="40"/>
        <v>28854</v>
      </c>
      <c r="O853" t="str">
        <f t="shared" si="41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39"/>
        <v>5049</v>
      </c>
      <c r="M854">
        <f t="shared" si="39"/>
        <v>45</v>
      </c>
      <c r="N854">
        <f t="shared" si="40"/>
        <v>48849</v>
      </c>
      <c r="O854" t="str">
        <f t="shared" si="41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39"/>
        <v>5049</v>
      </c>
      <c r="M855">
        <f t="shared" si="39"/>
        <v>90</v>
      </c>
      <c r="N855">
        <f t="shared" si="40"/>
        <v>74085</v>
      </c>
      <c r="O855" t="str">
        <f t="shared" si="41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39"/>
        <v>5049</v>
      </c>
      <c r="M856">
        <f t="shared" si="39"/>
        <v>135</v>
      </c>
      <c r="N856">
        <f t="shared" si="40"/>
        <v>99589</v>
      </c>
      <c r="O856" t="str">
        <f t="shared" si="41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39"/>
        <v>5049</v>
      </c>
      <c r="M857">
        <f t="shared" si="39"/>
        <v>180</v>
      </c>
      <c r="N857">
        <f t="shared" si="40"/>
        <v>125362</v>
      </c>
      <c r="O857" t="str">
        <f t="shared" si="41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39"/>
        <v>5049</v>
      </c>
      <c r="M858">
        <f t="shared" si="39"/>
        <v>225</v>
      </c>
      <c r="N858">
        <f t="shared" si="40"/>
        <v>151402</v>
      </c>
      <c r="O858" t="str">
        <f t="shared" si="41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39"/>
        <v>5049</v>
      </c>
      <c r="M859">
        <f t="shared" si="39"/>
        <v>270</v>
      </c>
      <c r="N859">
        <f t="shared" si="40"/>
        <v>177712</v>
      </c>
      <c r="O859" t="str">
        <f t="shared" si="41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39"/>
        <v>5049</v>
      </c>
      <c r="M860">
        <f t="shared" si="39"/>
        <v>315</v>
      </c>
      <c r="N860">
        <f t="shared" si="40"/>
        <v>204289</v>
      </c>
      <c r="O860" t="str">
        <f t="shared" si="41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39"/>
        <v>5049</v>
      </c>
      <c r="M861">
        <f t="shared" si="39"/>
        <v>360</v>
      </c>
      <c r="N861">
        <f t="shared" si="40"/>
        <v>231135</v>
      </c>
      <c r="O861" t="str">
        <f t="shared" si="41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39"/>
        <v>5049</v>
      </c>
      <c r="M862">
        <f t="shared" si="39"/>
        <v>405</v>
      </c>
      <c r="N862">
        <f t="shared" si="40"/>
        <v>258250</v>
      </c>
      <c r="O862" t="str">
        <f t="shared" si="41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39"/>
        <v>5049</v>
      </c>
      <c r="M863">
        <f t="shared" si="39"/>
        <v>450</v>
      </c>
      <c r="N863">
        <f t="shared" si="40"/>
        <v>285633</v>
      </c>
      <c r="O863" t="str">
        <f t="shared" si="41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39"/>
        <v>5049</v>
      </c>
      <c r="M864">
        <f t="shared" si="39"/>
        <v>495</v>
      </c>
      <c r="N864">
        <f t="shared" si="40"/>
        <v>313284</v>
      </c>
      <c r="O864" t="str">
        <f t="shared" si="41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39"/>
        <v>5049</v>
      </c>
      <c r="M865">
        <f t="shared" si="39"/>
        <v>540</v>
      </c>
      <c r="N865">
        <f t="shared" si="40"/>
        <v>341203</v>
      </c>
      <c r="O865" t="str">
        <f t="shared" si="41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39"/>
        <v>5049</v>
      </c>
      <c r="M866">
        <f t="shared" si="39"/>
        <v>585</v>
      </c>
      <c r="N866">
        <f t="shared" si="40"/>
        <v>369392</v>
      </c>
      <c r="O866" t="str">
        <f t="shared" si="41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39"/>
        <v>5049</v>
      </c>
      <c r="M867">
        <f t="shared" si="39"/>
        <v>630</v>
      </c>
      <c r="N867">
        <f t="shared" si="40"/>
        <v>397848</v>
      </c>
      <c r="O867" t="str">
        <f t="shared" si="41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39"/>
        <v>5049</v>
      </c>
      <c r="M868">
        <f t="shared" si="39"/>
        <v>675</v>
      </c>
      <c r="N868">
        <f t="shared" si="40"/>
        <v>426573</v>
      </c>
      <c r="O868" t="str">
        <f t="shared" si="41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39"/>
        <v>5049</v>
      </c>
      <c r="M869">
        <f t="shared" si="39"/>
        <v>720</v>
      </c>
      <c r="N869">
        <f t="shared" si="40"/>
        <v>455566</v>
      </c>
      <c r="O869" t="str">
        <f t="shared" si="41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39"/>
        <v>5049</v>
      </c>
      <c r="M870">
        <f t="shared" si="39"/>
        <v>765</v>
      </c>
      <c r="N870">
        <f t="shared" si="40"/>
        <v>484828</v>
      </c>
      <c r="O870" t="str">
        <f t="shared" si="41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39"/>
        <v>5049</v>
      </c>
      <c r="M871">
        <f t="shared" si="39"/>
        <v>810</v>
      </c>
      <c r="N871">
        <f t="shared" si="40"/>
        <v>514357.99999999994</v>
      </c>
      <c r="O871" t="str">
        <f t="shared" si="41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39"/>
        <v>5049</v>
      </c>
      <c r="M872">
        <f t="shared" si="39"/>
        <v>855</v>
      </c>
      <c r="N872">
        <f t="shared" si="40"/>
        <v>544156</v>
      </c>
      <c r="O872" t="str">
        <f t="shared" si="41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39"/>
        <v>5049</v>
      </c>
      <c r="M873">
        <f t="shared" si="39"/>
        <v>900</v>
      </c>
      <c r="N873">
        <f t="shared" si="40"/>
        <v>574223</v>
      </c>
      <c r="O873" t="str">
        <f t="shared" si="41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39"/>
        <v>5049</v>
      </c>
      <c r="M874">
        <f t="shared" si="39"/>
        <v>945</v>
      </c>
      <c r="N874">
        <f t="shared" si="40"/>
        <v>604558</v>
      </c>
      <c r="O874" t="str">
        <f t="shared" si="41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39"/>
        <v>5049</v>
      </c>
      <c r="M875">
        <f t="shared" si="39"/>
        <v>990</v>
      </c>
      <c r="N875">
        <f t="shared" si="40"/>
        <v>635162</v>
      </c>
      <c r="O875" t="str">
        <f t="shared" si="41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39"/>
        <v>5346</v>
      </c>
      <c r="M876">
        <f t="shared" si="39"/>
        <v>-990</v>
      </c>
      <c r="N876">
        <f t="shared" si="40"/>
        <v>-438775</v>
      </c>
      <c r="O876" t="str">
        <f t="shared" si="41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39"/>
        <v>5346</v>
      </c>
      <c r="M877">
        <f t="shared" si="39"/>
        <v>-945</v>
      </c>
      <c r="N877">
        <f t="shared" si="40"/>
        <v>-420563</v>
      </c>
      <c r="O877" t="str">
        <f t="shared" si="41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39"/>
        <v>5346</v>
      </c>
      <c r="M878">
        <f t="shared" si="39"/>
        <v>-900</v>
      </c>
      <c r="N878">
        <f t="shared" si="40"/>
        <v>-402076</v>
      </c>
      <c r="O878" t="str">
        <f t="shared" si="41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39"/>
        <v>5346</v>
      </c>
      <c r="M879">
        <f t="shared" si="39"/>
        <v>-855</v>
      </c>
      <c r="N879">
        <f t="shared" si="40"/>
        <v>-383312</v>
      </c>
      <c r="O879" t="str">
        <f t="shared" si="41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39"/>
        <v>5346</v>
      </c>
      <c r="M880">
        <f t="shared" si="39"/>
        <v>-810</v>
      </c>
      <c r="N880">
        <f t="shared" si="40"/>
        <v>-364273</v>
      </c>
      <c r="O880" t="str">
        <f t="shared" si="41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39"/>
        <v>5346</v>
      </c>
      <c r="M881">
        <f t="shared" si="39"/>
        <v>-765</v>
      </c>
      <c r="N881">
        <f t="shared" si="40"/>
        <v>-344958</v>
      </c>
      <c r="O881" t="str">
        <f t="shared" si="41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39"/>
        <v>5346</v>
      </c>
      <c r="M882">
        <f t="shared" si="39"/>
        <v>-720</v>
      </c>
      <c r="N882">
        <f t="shared" si="40"/>
        <v>-325367</v>
      </c>
      <c r="O882" t="str">
        <f t="shared" si="41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39"/>
        <v>5346</v>
      </c>
      <c r="M883">
        <f t="shared" si="39"/>
        <v>-675</v>
      </c>
      <c r="N883">
        <f t="shared" si="40"/>
        <v>-305501</v>
      </c>
      <c r="O883" t="str">
        <f t="shared" si="41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39"/>
        <v>5346</v>
      </c>
      <c r="M884">
        <f t="shared" si="39"/>
        <v>-630</v>
      </c>
      <c r="N884">
        <f t="shared" si="40"/>
        <v>-285359</v>
      </c>
      <c r="O884" t="str">
        <f t="shared" si="41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39"/>
        <v>5346</v>
      </c>
      <c r="M885">
        <f t="shared" si="39"/>
        <v>-585</v>
      </c>
      <c r="N885">
        <f t="shared" si="40"/>
        <v>-264941</v>
      </c>
      <c r="O885" t="str">
        <f t="shared" si="41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39"/>
        <v>5346</v>
      </c>
      <c r="M886">
        <f t="shared" si="39"/>
        <v>-540</v>
      </c>
      <c r="N886">
        <f t="shared" si="40"/>
        <v>-244248</v>
      </c>
      <c r="O886" t="str">
        <f t="shared" si="41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39"/>
        <v>5346</v>
      </c>
      <c r="M887">
        <f t="shared" si="39"/>
        <v>-495</v>
      </c>
      <c r="N887">
        <f t="shared" si="40"/>
        <v>-223279</v>
      </c>
      <c r="O887" t="str">
        <f t="shared" si="41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39"/>
        <v>5346</v>
      </c>
      <c r="M888">
        <f t="shared" si="39"/>
        <v>-450</v>
      </c>
      <c r="N888">
        <f t="shared" si="40"/>
        <v>-202034</v>
      </c>
      <c r="O888" t="str">
        <f t="shared" si="41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39"/>
        <v>5346</v>
      </c>
      <c r="M889">
        <f t="shared" si="39"/>
        <v>-405</v>
      </c>
      <c r="N889">
        <f t="shared" si="40"/>
        <v>-180514</v>
      </c>
      <c r="O889" t="str">
        <f t="shared" si="41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39"/>
        <v>5346</v>
      </c>
      <c r="M890">
        <f t="shared" si="39"/>
        <v>-360</v>
      </c>
      <c r="N890">
        <f t="shared" si="40"/>
        <v>-158717</v>
      </c>
      <c r="O890" t="str">
        <f t="shared" si="41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39"/>
        <v>5346</v>
      </c>
      <c r="M891">
        <f t="shared" si="39"/>
        <v>-315</v>
      </c>
      <c r="N891">
        <f t="shared" si="40"/>
        <v>-136645</v>
      </c>
      <c r="O891" t="str">
        <f t="shared" si="41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39"/>
        <v>5346</v>
      </c>
      <c r="M892">
        <f t="shared" si="39"/>
        <v>-270</v>
      </c>
      <c r="N892">
        <f t="shared" si="40"/>
        <v>-114298</v>
      </c>
      <c r="O892" t="str">
        <f t="shared" si="41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39"/>
        <v>5346</v>
      </c>
      <c r="M893">
        <f t="shared" si="39"/>
        <v>-225</v>
      </c>
      <c r="N893">
        <f t="shared" si="40"/>
        <v>-91675</v>
      </c>
      <c r="O893" t="str">
        <f t="shared" si="41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39"/>
        <v>5346</v>
      </c>
      <c r="M894">
        <f t="shared" si="39"/>
        <v>-180</v>
      </c>
      <c r="N894">
        <f t="shared" si="40"/>
        <v>-68775</v>
      </c>
      <c r="O894" t="str">
        <f t="shared" si="41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39"/>
        <v>5346</v>
      </c>
      <c r="M895">
        <f t="shared" si="39"/>
        <v>-135</v>
      </c>
      <c r="N895">
        <f t="shared" si="40"/>
        <v>-45601</v>
      </c>
      <c r="O895" t="str">
        <f t="shared" si="41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39"/>
        <v>5346</v>
      </c>
      <c r="M896">
        <f t="shared" si="39"/>
        <v>-90</v>
      </c>
      <c r="N896">
        <f t="shared" si="40"/>
        <v>-22150</v>
      </c>
      <c r="O896" t="str">
        <f t="shared" si="41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39"/>
        <v>5346</v>
      </c>
      <c r="M897">
        <f t="shared" si="39"/>
        <v>-45</v>
      </c>
      <c r="N897">
        <f t="shared" si="40"/>
        <v>0</v>
      </c>
      <c r="O897" t="str">
        <f t="shared" si="41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39"/>
        <v>5346</v>
      </c>
      <c r="M898">
        <f t="shared" si="39"/>
        <v>-9</v>
      </c>
      <c r="N898">
        <f t="shared" si="40"/>
        <v>0</v>
      </c>
      <c r="O898" t="str">
        <f t="shared" si="41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M962" si="42">A899</f>
        <v>5346</v>
      </c>
      <c r="M899">
        <f t="shared" si="42"/>
        <v>9</v>
      </c>
      <c r="N899">
        <f t="shared" ref="N899:N962" si="43">C899*1000</f>
        <v>33018</v>
      </c>
      <c r="O899" t="str">
        <f t="shared" ref="O899:O962" si="44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42"/>
        <v>5346</v>
      </c>
      <c r="M900">
        <f t="shared" si="42"/>
        <v>45</v>
      </c>
      <c r="N900">
        <f t="shared" si="43"/>
        <v>54194</v>
      </c>
      <c r="O900" t="str">
        <f t="shared" si="44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42"/>
        <v>5346</v>
      </c>
      <c r="M901">
        <f t="shared" si="42"/>
        <v>90</v>
      </c>
      <c r="N901">
        <f t="shared" si="43"/>
        <v>80934</v>
      </c>
      <c r="O901" t="str">
        <f t="shared" si="44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42"/>
        <v>5346</v>
      </c>
      <c r="M902">
        <f t="shared" si="42"/>
        <v>135</v>
      </c>
      <c r="N902">
        <f t="shared" si="43"/>
        <v>107973</v>
      </c>
      <c r="O902" t="str">
        <f t="shared" si="44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42"/>
        <v>5346</v>
      </c>
      <c r="M903">
        <f t="shared" si="42"/>
        <v>180</v>
      </c>
      <c r="N903">
        <f t="shared" si="43"/>
        <v>135311</v>
      </c>
      <c r="O903" t="str">
        <f t="shared" si="44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42"/>
        <v>5346</v>
      </c>
      <c r="M904">
        <f t="shared" si="42"/>
        <v>225</v>
      </c>
      <c r="N904">
        <f t="shared" si="43"/>
        <v>162948</v>
      </c>
      <c r="O904" t="str">
        <f t="shared" si="44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42"/>
        <v>5346</v>
      </c>
      <c r="M905">
        <f t="shared" si="42"/>
        <v>270</v>
      </c>
      <c r="N905">
        <f t="shared" si="43"/>
        <v>190884</v>
      </c>
      <c r="O905" t="str">
        <f t="shared" si="44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42"/>
        <v>5346</v>
      </c>
      <c r="M906">
        <f t="shared" si="42"/>
        <v>315</v>
      </c>
      <c r="N906">
        <f t="shared" si="43"/>
        <v>219120</v>
      </c>
      <c r="O906" t="str">
        <f t="shared" si="44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42"/>
        <v>5346</v>
      </c>
      <c r="M907">
        <f t="shared" si="42"/>
        <v>360</v>
      </c>
      <c r="N907">
        <f t="shared" si="43"/>
        <v>247654</v>
      </c>
      <c r="O907" t="str">
        <f t="shared" si="44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42"/>
        <v>5346</v>
      </c>
      <c r="M908">
        <f t="shared" si="42"/>
        <v>405</v>
      </c>
      <c r="N908">
        <f t="shared" si="43"/>
        <v>276488</v>
      </c>
      <c r="O908" t="str">
        <f t="shared" si="44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42"/>
        <v>5346</v>
      </c>
      <c r="M909">
        <f t="shared" si="42"/>
        <v>450</v>
      </c>
      <c r="N909">
        <f t="shared" si="43"/>
        <v>305621</v>
      </c>
      <c r="O909" t="str">
        <f t="shared" si="44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42"/>
        <v>5346</v>
      </c>
      <c r="M910">
        <f t="shared" si="42"/>
        <v>495</v>
      </c>
      <c r="N910">
        <f t="shared" si="43"/>
        <v>335053</v>
      </c>
      <c r="O910" t="str">
        <f t="shared" si="44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42"/>
        <v>5346</v>
      </c>
      <c r="M911">
        <f t="shared" si="42"/>
        <v>540</v>
      </c>
      <c r="N911">
        <f t="shared" si="43"/>
        <v>364785</v>
      </c>
      <c r="O911" t="str">
        <f t="shared" si="44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42"/>
        <v>5346</v>
      </c>
      <c r="M912">
        <f t="shared" si="42"/>
        <v>585</v>
      </c>
      <c r="N912">
        <f t="shared" si="43"/>
        <v>394815</v>
      </c>
      <c r="O912" t="str">
        <f t="shared" si="44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42"/>
        <v>5346</v>
      </c>
      <c r="M913">
        <f t="shared" si="42"/>
        <v>630</v>
      </c>
      <c r="N913">
        <f t="shared" si="43"/>
        <v>425145</v>
      </c>
      <c r="O913" t="str">
        <f t="shared" si="44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42"/>
        <v>5346</v>
      </c>
      <c r="M914">
        <f t="shared" si="42"/>
        <v>675</v>
      </c>
      <c r="N914">
        <f t="shared" si="43"/>
        <v>455774</v>
      </c>
      <c r="O914" t="str">
        <f t="shared" si="44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42"/>
        <v>5346</v>
      </c>
      <c r="M915">
        <f t="shared" si="42"/>
        <v>720</v>
      </c>
      <c r="N915">
        <f t="shared" si="43"/>
        <v>486701</v>
      </c>
      <c r="O915" t="str">
        <f t="shared" si="44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42"/>
        <v>5346</v>
      </c>
      <c r="M916">
        <f t="shared" si="42"/>
        <v>765</v>
      </c>
      <c r="N916">
        <f t="shared" si="43"/>
        <v>517929</v>
      </c>
      <c r="O916" t="str">
        <f t="shared" si="44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42"/>
        <v>5346</v>
      </c>
      <c r="M917">
        <f t="shared" si="42"/>
        <v>810</v>
      </c>
      <c r="N917">
        <f t="shared" si="43"/>
        <v>549455</v>
      </c>
      <c r="O917" t="str">
        <f t="shared" si="44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42"/>
        <v>5346</v>
      </c>
      <c r="M918">
        <f t="shared" si="42"/>
        <v>855</v>
      </c>
      <c r="N918">
        <f t="shared" si="43"/>
        <v>581280</v>
      </c>
      <c r="O918" t="str">
        <f t="shared" si="44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42"/>
        <v>5346</v>
      </c>
      <c r="M919">
        <f t="shared" si="42"/>
        <v>900</v>
      </c>
      <c r="N919">
        <f t="shared" si="43"/>
        <v>613405</v>
      </c>
      <c r="O919" t="str">
        <f t="shared" si="44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42"/>
        <v>5346</v>
      </c>
      <c r="M920">
        <f t="shared" si="42"/>
        <v>945</v>
      </c>
      <c r="N920">
        <f t="shared" si="43"/>
        <v>645829</v>
      </c>
      <c r="O920" t="str">
        <f t="shared" si="44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42"/>
        <v>5346</v>
      </c>
      <c r="M921">
        <f t="shared" si="42"/>
        <v>990</v>
      </c>
      <c r="N921">
        <f t="shared" si="43"/>
        <v>678551</v>
      </c>
      <c r="O921" t="str">
        <f t="shared" si="44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42"/>
        <v>5643</v>
      </c>
      <c r="M922">
        <f t="shared" si="42"/>
        <v>-990</v>
      </c>
      <c r="N922">
        <f t="shared" si="43"/>
        <v>-457140</v>
      </c>
      <c r="O922" t="str">
        <f t="shared" si="44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42"/>
        <v>5643</v>
      </c>
      <c r="M923">
        <f t="shared" si="42"/>
        <v>-945</v>
      </c>
      <c r="N923">
        <f t="shared" si="43"/>
        <v>-438229</v>
      </c>
      <c r="O923" t="str">
        <f t="shared" si="44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42"/>
        <v>5643</v>
      </c>
      <c r="M924">
        <f t="shared" si="42"/>
        <v>-900</v>
      </c>
      <c r="N924">
        <f t="shared" si="43"/>
        <v>-419012</v>
      </c>
      <c r="O924" t="str">
        <f t="shared" si="44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42"/>
        <v>5643</v>
      </c>
      <c r="M925">
        <f t="shared" si="42"/>
        <v>-855</v>
      </c>
      <c r="N925">
        <f t="shared" si="43"/>
        <v>-399489</v>
      </c>
      <c r="O925" t="str">
        <f t="shared" si="44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42"/>
        <v>5643</v>
      </c>
      <c r="M926">
        <f t="shared" si="42"/>
        <v>-810</v>
      </c>
      <c r="N926">
        <f t="shared" si="43"/>
        <v>-379661</v>
      </c>
      <c r="O926" t="str">
        <f t="shared" si="44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42"/>
        <v>5643</v>
      </c>
      <c r="M927">
        <f t="shared" si="42"/>
        <v>-765</v>
      </c>
      <c r="N927">
        <f t="shared" si="43"/>
        <v>-359526</v>
      </c>
      <c r="O927" t="str">
        <f t="shared" si="44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42"/>
        <v>5643</v>
      </c>
      <c r="M928">
        <f t="shared" si="42"/>
        <v>-720</v>
      </c>
      <c r="N928">
        <f t="shared" si="43"/>
        <v>-339087</v>
      </c>
      <c r="O928" t="str">
        <f t="shared" si="44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42"/>
        <v>5643</v>
      </c>
      <c r="M929">
        <f t="shared" si="42"/>
        <v>-675</v>
      </c>
      <c r="N929">
        <f t="shared" si="43"/>
        <v>-318341</v>
      </c>
      <c r="O929" t="str">
        <f t="shared" si="44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42"/>
        <v>5643</v>
      </c>
      <c r="M930">
        <f t="shared" si="42"/>
        <v>-630</v>
      </c>
      <c r="N930">
        <f t="shared" si="43"/>
        <v>-297290</v>
      </c>
      <c r="O930" t="str">
        <f t="shared" si="44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42"/>
        <v>5643</v>
      </c>
      <c r="M931">
        <f t="shared" si="42"/>
        <v>-585</v>
      </c>
      <c r="N931">
        <f t="shared" si="43"/>
        <v>-275933</v>
      </c>
      <c r="O931" t="str">
        <f t="shared" si="44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42"/>
        <v>5643</v>
      </c>
      <c r="M932">
        <f t="shared" si="42"/>
        <v>-540</v>
      </c>
      <c r="N932">
        <f t="shared" si="43"/>
        <v>-254271</v>
      </c>
      <c r="O932" t="str">
        <f t="shared" si="44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42"/>
        <v>5643</v>
      </c>
      <c r="M933">
        <f t="shared" si="42"/>
        <v>-495</v>
      </c>
      <c r="N933">
        <f t="shared" si="43"/>
        <v>-232303</v>
      </c>
      <c r="O933" t="str">
        <f t="shared" si="44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42"/>
        <v>5643</v>
      </c>
      <c r="M934">
        <f t="shared" si="42"/>
        <v>-450</v>
      </c>
      <c r="N934">
        <f t="shared" si="43"/>
        <v>-210029</v>
      </c>
      <c r="O934" t="str">
        <f t="shared" si="44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42"/>
        <v>5643</v>
      </c>
      <c r="M935">
        <f t="shared" si="42"/>
        <v>-405</v>
      </c>
      <c r="N935">
        <f t="shared" si="43"/>
        <v>-187449</v>
      </c>
      <c r="O935" t="str">
        <f t="shared" si="44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42"/>
        <v>5643</v>
      </c>
      <c r="M936">
        <f t="shared" si="42"/>
        <v>-360</v>
      </c>
      <c r="N936">
        <f t="shared" si="43"/>
        <v>-164564</v>
      </c>
      <c r="O936" t="str">
        <f t="shared" si="44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42"/>
        <v>5643</v>
      </c>
      <c r="M937">
        <f t="shared" si="42"/>
        <v>-315</v>
      </c>
      <c r="N937">
        <f t="shared" si="43"/>
        <v>-141373</v>
      </c>
      <c r="O937" t="str">
        <f t="shared" si="44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42"/>
        <v>5643</v>
      </c>
      <c r="M938">
        <f t="shared" si="42"/>
        <v>-270</v>
      </c>
      <c r="N938">
        <f t="shared" si="43"/>
        <v>-117877</v>
      </c>
      <c r="O938" t="str">
        <f t="shared" si="44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42"/>
        <v>5643</v>
      </c>
      <c r="M939">
        <f t="shared" si="42"/>
        <v>-225</v>
      </c>
      <c r="N939">
        <f t="shared" si="43"/>
        <v>-94075</v>
      </c>
      <c r="O939" t="str">
        <f t="shared" si="44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42"/>
        <v>5643</v>
      </c>
      <c r="M940">
        <f t="shared" si="42"/>
        <v>-180</v>
      </c>
      <c r="N940">
        <f t="shared" si="43"/>
        <v>-69967</v>
      </c>
      <c r="O940" t="str">
        <f t="shared" si="44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42"/>
        <v>5643</v>
      </c>
      <c r="M941">
        <f t="shared" si="42"/>
        <v>-135</v>
      </c>
      <c r="N941">
        <f t="shared" si="43"/>
        <v>-45553</v>
      </c>
      <c r="O941" t="str">
        <f t="shared" si="44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42"/>
        <v>5643</v>
      </c>
      <c r="M942">
        <f t="shared" si="42"/>
        <v>-90</v>
      </c>
      <c r="N942">
        <f t="shared" si="43"/>
        <v>-20834</v>
      </c>
      <c r="O942" t="str">
        <f t="shared" si="44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42"/>
        <v>5643</v>
      </c>
      <c r="M943">
        <f t="shared" si="42"/>
        <v>-45</v>
      </c>
      <c r="N943">
        <f t="shared" si="43"/>
        <v>0</v>
      </c>
      <c r="O943" t="str">
        <f t="shared" si="44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42"/>
        <v>5643</v>
      </c>
      <c r="M944">
        <f t="shared" si="42"/>
        <v>-9</v>
      </c>
      <c r="N944">
        <f t="shared" si="43"/>
        <v>0</v>
      </c>
      <c r="O944" t="str">
        <f t="shared" si="44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42"/>
        <v>5643</v>
      </c>
      <c r="M945">
        <f t="shared" si="42"/>
        <v>9</v>
      </c>
      <c r="N945">
        <f t="shared" si="43"/>
        <v>37589</v>
      </c>
      <c r="O945" t="str">
        <f t="shared" si="44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42"/>
        <v>5643</v>
      </c>
      <c r="M946">
        <f t="shared" si="42"/>
        <v>45</v>
      </c>
      <c r="N946">
        <f t="shared" si="43"/>
        <v>59947</v>
      </c>
      <c r="O946" t="str">
        <f t="shared" si="44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42"/>
        <v>5643</v>
      </c>
      <c r="M947">
        <f t="shared" si="42"/>
        <v>90</v>
      </c>
      <c r="N947">
        <f t="shared" si="43"/>
        <v>88193</v>
      </c>
      <c r="O947" t="str">
        <f t="shared" si="44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42"/>
        <v>5643</v>
      </c>
      <c r="M948">
        <f t="shared" si="42"/>
        <v>135</v>
      </c>
      <c r="N948">
        <f t="shared" si="43"/>
        <v>116771</v>
      </c>
      <c r="O948" t="str">
        <f t="shared" si="44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42"/>
        <v>5643</v>
      </c>
      <c r="M949">
        <f t="shared" si="42"/>
        <v>180</v>
      </c>
      <c r="N949">
        <f t="shared" si="43"/>
        <v>145681</v>
      </c>
      <c r="O949" t="str">
        <f t="shared" si="44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42"/>
        <v>5643</v>
      </c>
      <c r="M950">
        <f t="shared" si="42"/>
        <v>225</v>
      </c>
      <c r="N950">
        <f t="shared" si="43"/>
        <v>174922</v>
      </c>
      <c r="O950" t="str">
        <f t="shared" si="44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42"/>
        <v>5643</v>
      </c>
      <c r="M951">
        <f t="shared" si="42"/>
        <v>270</v>
      </c>
      <c r="N951">
        <f t="shared" si="43"/>
        <v>204495</v>
      </c>
      <c r="O951" t="str">
        <f t="shared" si="44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42"/>
        <v>5643</v>
      </c>
      <c r="M952">
        <f t="shared" si="42"/>
        <v>315</v>
      </c>
      <c r="N952">
        <f t="shared" si="43"/>
        <v>234400</v>
      </c>
      <c r="O952" t="str">
        <f t="shared" si="44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42"/>
        <v>5643</v>
      </c>
      <c r="M953">
        <f t="shared" si="42"/>
        <v>360</v>
      </c>
      <c r="N953">
        <f t="shared" si="43"/>
        <v>264637</v>
      </c>
      <c r="O953" t="str">
        <f t="shared" si="44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42"/>
        <v>5643</v>
      </c>
      <c r="M954">
        <f t="shared" si="42"/>
        <v>405</v>
      </c>
      <c r="N954">
        <f t="shared" si="43"/>
        <v>295205</v>
      </c>
      <c r="O954" t="str">
        <f t="shared" si="44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42"/>
        <v>5643</v>
      </c>
      <c r="M955">
        <f t="shared" si="42"/>
        <v>450</v>
      </c>
      <c r="N955">
        <f t="shared" si="43"/>
        <v>326104</v>
      </c>
      <c r="O955" t="str">
        <f t="shared" si="44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42"/>
        <v>5643</v>
      </c>
      <c r="M956">
        <f t="shared" si="42"/>
        <v>495</v>
      </c>
      <c r="N956">
        <f t="shared" si="43"/>
        <v>357336</v>
      </c>
      <c r="O956" t="str">
        <f t="shared" si="44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42"/>
        <v>5643</v>
      </c>
      <c r="M957">
        <f t="shared" si="42"/>
        <v>540</v>
      </c>
      <c r="N957">
        <f t="shared" si="43"/>
        <v>388899</v>
      </c>
      <c r="O957" t="str">
        <f t="shared" si="44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42"/>
        <v>5643</v>
      </c>
      <c r="M958">
        <f t="shared" si="42"/>
        <v>585</v>
      </c>
      <c r="N958">
        <f t="shared" si="43"/>
        <v>420794</v>
      </c>
      <c r="O958" t="str">
        <f t="shared" si="44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42"/>
        <v>5643</v>
      </c>
      <c r="M959">
        <f t="shared" si="42"/>
        <v>630</v>
      </c>
      <c r="N959">
        <f t="shared" si="43"/>
        <v>453020</v>
      </c>
      <c r="O959" t="str">
        <f t="shared" si="44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42"/>
        <v>5643</v>
      </c>
      <c r="M960">
        <f t="shared" si="42"/>
        <v>675</v>
      </c>
      <c r="N960">
        <f t="shared" si="43"/>
        <v>485578</v>
      </c>
      <c r="O960" t="str">
        <f t="shared" si="44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42"/>
        <v>5643</v>
      </c>
      <c r="M961">
        <f t="shared" si="42"/>
        <v>720</v>
      </c>
      <c r="N961">
        <f t="shared" si="43"/>
        <v>518467.99999999994</v>
      </c>
      <c r="O961" t="str">
        <f t="shared" si="44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42"/>
        <v>5643</v>
      </c>
      <c r="M962">
        <f t="shared" si="42"/>
        <v>765</v>
      </c>
      <c r="N962">
        <f t="shared" si="43"/>
        <v>551689</v>
      </c>
      <c r="O962" t="str">
        <f t="shared" si="44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M1013" si="45">A963</f>
        <v>5643</v>
      </c>
      <c r="M963">
        <f t="shared" si="45"/>
        <v>810</v>
      </c>
      <c r="N963">
        <f t="shared" ref="N963:N1013" si="46">C963*1000</f>
        <v>585242</v>
      </c>
      <c r="O963" t="str">
        <f t="shared" ref="O963:O1013" si="47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45"/>
        <v>5643</v>
      </c>
      <c r="M964">
        <f t="shared" si="45"/>
        <v>855</v>
      </c>
      <c r="N964">
        <f t="shared" si="46"/>
        <v>619127</v>
      </c>
      <c r="O964" t="str">
        <f t="shared" si="47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45"/>
        <v>5643</v>
      </c>
      <c r="M965">
        <f t="shared" si="45"/>
        <v>900</v>
      </c>
      <c r="N965">
        <f t="shared" si="46"/>
        <v>653344</v>
      </c>
      <c r="O965" t="str">
        <f t="shared" si="47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45"/>
        <v>5643</v>
      </c>
      <c r="M966">
        <f t="shared" si="45"/>
        <v>945</v>
      </c>
      <c r="N966">
        <f t="shared" si="46"/>
        <v>687892</v>
      </c>
      <c r="O966" t="str">
        <f t="shared" si="47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45"/>
        <v>5643</v>
      </c>
      <c r="M967">
        <f t="shared" si="45"/>
        <v>990</v>
      </c>
      <c r="N967">
        <f t="shared" si="46"/>
        <v>722771</v>
      </c>
      <c r="O967" t="str">
        <f t="shared" si="47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45"/>
        <v>5940</v>
      </c>
      <c r="M968">
        <f t="shared" si="45"/>
        <v>-990</v>
      </c>
      <c r="N968">
        <f t="shared" si="46"/>
        <v>-474721</v>
      </c>
      <c r="O968" t="str">
        <f t="shared" si="47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45"/>
        <v>5940</v>
      </c>
      <c r="M969">
        <f t="shared" si="45"/>
        <v>-945</v>
      </c>
      <c r="N969">
        <f t="shared" si="46"/>
        <v>-455145</v>
      </c>
      <c r="O969" t="str">
        <f t="shared" si="47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45"/>
        <v>5940</v>
      </c>
      <c r="M970">
        <f t="shared" si="45"/>
        <v>-900</v>
      </c>
      <c r="N970">
        <f t="shared" si="46"/>
        <v>-435231</v>
      </c>
      <c r="O970" t="str">
        <f t="shared" si="47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45"/>
        <v>5940</v>
      </c>
      <c r="M971">
        <f t="shared" si="45"/>
        <v>-855</v>
      </c>
      <c r="N971">
        <f t="shared" si="46"/>
        <v>-414980</v>
      </c>
      <c r="O971" t="str">
        <f t="shared" si="47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45"/>
        <v>5940</v>
      </c>
      <c r="M972">
        <f t="shared" si="45"/>
        <v>-810</v>
      </c>
      <c r="N972">
        <f t="shared" si="46"/>
        <v>-394393</v>
      </c>
      <c r="O972" t="str">
        <f t="shared" si="47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45"/>
        <v>5940</v>
      </c>
      <c r="M973">
        <f t="shared" si="45"/>
        <v>-765</v>
      </c>
      <c r="N973">
        <f t="shared" si="46"/>
        <v>-373467</v>
      </c>
      <c r="O973" t="str">
        <f t="shared" si="47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45"/>
        <v>5940</v>
      </c>
      <c r="M974">
        <f t="shared" si="45"/>
        <v>-720</v>
      </c>
      <c r="N974">
        <f t="shared" si="46"/>
        <v>-352205</v>
      </c>
      <c r="O974" t="str">
        <f t="shared" si="47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45"/>
        <v>5940</v>
      </c>
      <c r="M975">
        <f t="shared" si="45"/>
        <v>-675</v>
      </c>
      <c r="N975">
        <f t="shared" si="46"/>
        <v>-330605</v>
      </c>
      <c r="O975" t="str">
        <f t="shared" si="47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45"/>
        <v>5940</v>
      </c>
      <c r="M976">
        <f t="shared" si="45"/>
        <v>-630</v>
      </c>
      <c r="N976">
        <f t="shared" si="46"/>
        <v>-308668</v>
      </c>
      <c r="O976" t="str">
        <f t="shared" si="47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45"/>
        <v>5940</v>
      </c>
      <c r="M977">
        <f t="shared" si="45"/>
        <v>-585</v>
      </c>
      <c r="N977">
        <f t="shared" si="46"/>
        <v>-286394</v>
      </c>
      <c r="O977" t="str">
        <f t="shared" si="47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45"/>
        <v>5940</v>
      </c>
      <c r="M978">
        <f t="shared" si="45"/>
        <v>-540</v>
      </c>
      <c r="N978">
        <f t="shared" si="46"/>
        <v>-263783</v>
      </c>
      <c r="O978" t="str">
        <f t="shared" si="47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45"/>
        <v>5940</v>
      </c>
      <c r="M979">
        <f t="shared" si="45"/>
        <v>-495</v>
      </c>
      <c r="N979">
        <f t="shared" si="46"/>
        <v>-240834</v>
      </c>
      <c r="O979" t="str">
        <f t="shared" si="47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45"/>
        <v>5940</v>
      </c>
      <c r="M980">
        <f t="shared" si="45"/>
        <v>-450</v>
      </c>
      <c r="N980">
        <f t="shared" si="46"/>
        <v>-217548</v>
      </c>
      <c r="O980" t="str">
        <f t="shared" si="47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45"/>
        <v>5940</v>
      </c>
      <c r="M981">
        <f t="shared" si="45"/>
        <v>-405</v>
      </c>
      <c r="N981">
        <f t="shared" si="46"/>
        <v>-193925</v>
      </c>
      <c r="O981" t="str">
        <f t="shared" si="47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45"/>
        <v>5940</v>
      </c>
      <c r="M982">
        <f t="shared" si="45"/>
        <v>-360</v>
      </c>
      <c r="N982">
        <f t="shared" si="46"/>
        <v>-169965</v>
      </c>
      <c r="O982" t="str">
        <f t="shared" si="47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45"/>
        <v>5940</v>
      </c>
      <c r="M983">
        <f t="shared" si="45"/>
        <v>-315</v>
      </c>
      <c r="N983">
        <f t="shared" si="46"/>
        <v>-145667</v>
      </c>
      <c r="O983" t="str">
        <f t="shared" si="47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45"/>
        <v>5940</v>
      </c>
      <c r="M984">
        <f t="shared" si="45"/>
        <v>-270</v>
      </c>
      <c r="N984">
        <f t="shared" si="46"/>
        <v>-121033</v>
      </c>
      <c r="O984" t="str">
        <f t="shared" si="47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45"/>
        <v>5940</v>
      </c>
      <c r="M985">
        <f t="shared" si="45"/>
        <v>-225</v>
      </c>
      <c r="N985">
        <f t="shared" si="46"/>
        <v>-96060</v>
      </c>
      <c r="O985" t="str">
        <f t="shared" si="47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45"/>
        <v>5940</v>
      </c>
      <c r="M986">
        <f t="shared" si="45"/>
        <v>-180</v>
      </c>
      <c r="N986">
        <f t="shared" si="46"/>
        <v>-70751</v>
      </c>
      <c r="O986" t="str">
        <f t="shared" si="47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45"/>
        <v>5940</v>
      </c>
      <c r="M987">
        <f t="shared" si="45"/>
        <v>-135</v>
      </c>
      <c r="N987">
        <f t="shared" si="46"/>
        <v>-45105</v>
      </c>
      <c r="O987" t="str">
        <f t="shared" si="47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45"/>
        <v>5940</v>
      </c>
      <c r="M988">
        <f t="shared" si="45"/>
        <v>-90</v>
      </c>
      <c r="N988">
        <f t="shared" si="46"/>
        <v>-19121</v>
      </c>
      <c r="O988" t="str">
        <f t="shared" si="47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45"/>
        <v>5940</v>
      </c>
      <c r="M989">
        <f t="shared" si="45"/>
        <v>-45</v>
      </c>
      <c r="N989">
        <f t="shared" si="46"/>
        <v>0</v>
      </c>
      <c r="O989" t="str">
        <f t="shared" si="47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45"/>
        <v>5940</v>
      </c>
      <c r="M990">
        <f t="shared" si="45"/>
        <v>-9</v>
      </c>
      <c r="N990">
        <f t="shared" si="46"/>
        <v>0</v>
      </c>
      <c r="O990" t="str">
        <f t="shared" si="47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45"/>
        <v>5940</v>
      </c>
      <c r="M991">
        <f t="shared" si="45"/>
        <v>9</v>
      </c>
      <c r="N991">
        <f t="shared" si="46"/>
        <v>42588</v>
      </c>
      <c r="O991" t="str">
        <f t="shared" si="47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45"/>
        <v>5940</v>
      </c>
      <c r="M992">
        <f t="shared" si="45"/>
        <v>45</v>
      </c>
      <c r="N992">
        <f t="shared" si="46"/>
        <v>66129</v>
      </c>
      <c r="O992" t="str">
        <f t="shared" si="47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45"/>
        <v>5940</v>
      </c>
      <c r="M993">
        <f t="shared" si="45"/>
        <v>90</v>
      </c>
      <c r="N993">
        <f t="shared" si="46"/>
        <v>95884</v>
      </c>
      <c r="O993" t="str">
        <f t="shared" si="47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45"/>
        <v>5940</v>
      </c>
      <c r="M994">
        <f t="shared" si="45"/>
        <v>135</v>
      </c>
      <c r="N994">
        <f t="shared" si="46"/>
        <v>126006</v>
      </c>
      <c r="O994" t="str">
        <f t="shared" si="47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45"/>
        <v>5940</v>
      </c>
      <c r="M995">
        <f t="shared" si="45"/>
        <v>180</v>
      </c>
      <c r="N995">
        <f t="shared" si="46"/>
        <v>156493</v>
      </c>
      <c r="O995" t="str">
        <f t="shared" si="47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45"/>
        <v>5940</v>
      </c>
      <c r="M996">
        <f t="shared" si="45"/>
        <v>225</v>
      </c>
      <c r="N996">
        <f t="shared" si="46"/>
        <v>187347</v>
      </c>
      <c r="O996" t="str">
        <f t="shared" si="47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45"/>
        <v>5940</v>
      </c>
      <c r="M997">
        <f t="shared" si="45"/>
        <v>270</v>
      </c>
      <c r="N997">
        <f t="shared" si="46"/>
        <v>218566</v>
      </c>
      <c r="O997" t="str">
        <f t="shared" si="47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45"/>
        <v>5940</v>
      </c>
      <c r="M998">
        <f t="shared" si="45"/>
        <v>315</v>
      </c>
      <c r="N998">
        <f t="shared" si="46"/>
        <v>250152</v>
      </c>
      <c r="O998" t="str">
        <f t="shared" si="47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45"/>
        <v>5940</v>
      </c>
      <c r="M999">
        <f t="shared" si="45"/>
        <v>360</v>
      </c>
      <c r="N999">
        <f t="shared" si="46"/>
        <v>282103</v>
      </c>
      <c r="O999" t="str">
        <f t="shared" si="47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45"/>
        <v>5940</v>
      </c>
      <c r="M1000">
        <f t="shared" si="45"/>
        <v>405</v>
      </c>
      <c r="N1000">
        <f t="shared" si="46"/>
        <v>314420</v>
      </c>
      <c r="O1000" t="str">
        <f t="shared" si="47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45"/>
        <v>5940</v>
      </c>
      <c r="M1001">
        <f t="shared" si="45"/>
        <v>450</v>
      </c>
      <c r="N1001">
        <f t="shared" si="46"/>
        <v>347103</v>
      </c>
      <c r="O1001" t="str">
        <f t="shared" si="47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45"/>
        <v>5940</v>
      </c>
      <c r="M1002">
        <f t="shared" si="45"/>
        <v>495</v>
      </c>
      <c r="N1002">
        <f t="shared" si="46"/>
        <v>380152</v>
      </c>
      <c r="O1002" t="str">
        <f t="shared" si="47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45"/>
        <v>5940</v>
      </c>
      <c r="M1003">
        <f t="shared" si="45"/>
        <v>540</v>
      </c>
      <c r="N1003">
        <f t="shared" si="46"/>
        <v>413567</v>
      </c>
      <c r="O1003" t="str">
        <f t="shared" si="47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45"/>
        <v>5940</v>
      </c>
      <c r="M1004">
        <f t="shared" si="45"/>
        <v>585</v>
      </c>
      <c r="N1004">
        <f t="shared" si="46"/>
        <v>447348</v>
      </c>
      <c r="O1004" t="str">
        <f t="shared" si="47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45"/>
        <v>5940</v>
      </c>
      <c r="M1005">
        <f t="shared" si="45"/>
        <v>630</v>
      </c>
      <c r="N1005">
        <f t="shared" si="46"/>
        <v>481495</v>
      </c>
      <c r="O1005" t="str">
        <f t="shared" si="47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45"/>
        <v>5940</v>
      </c>
      <c r="M1006">
        <f t="shared" si="45"/>
        <v>675</v>
      </c>
      <c r="N1006">
        <f t="shared" si="46"/>
        <v>516006.99999999994</v>
      </c>
      <c r="O1006" t="str">
        <f t="shared" si="47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45"/>
        <v>5940</v>
      </c>
      <c r="M1007">
        <f t="shared" si="45"/>
        <v>720</v>
      </c>
      <c r="N1007">
        <f t="shared" si="46"/>
        <v>550886</v>
      </c>
      <c r="O1007" t="str">
        <f t="shared" si="47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45"/>
        <v>5940</v>
      </c>
      <c r="M1008">
        <f t="shared" si="45"/>
        <v>765</v>
      </c>
      <c r="N1008">
        <f t="shared" si="46"/>
        <v>586131</v>
      </c>
      <c r="O1008" t="str">
        <f t="shared" si="47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45"/>
        <v>5940</v>
      </c>
      <c r="M1009">
        <f t="shared" si="45"/>
        <v>810</v>
      </c>
      <c r="N1009">
        <f t="shared" si="46"/>
        <v>621741</v>
      </c>
      <c r="O1009" t="str">
        <f t="shared" si="47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45"/>
        <v>5940</v>
      </c>
      <c r="M1010">
        <f t="shared" si="45"/>
        <v>855</v>
      </c>
      <c r="N1010">
        <f t="shared" si="46"/>
        <v>657718</v>
      </c>
      <c r="O1010" t="str">
        <f t="shared" si="47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45"/>
        <v>5940</v>
      </c>
      <c r="M1011">
        <f t="shared" si="45"/>
        <v>900</v>
      </c>
      <c r="N1011">
        <f t="shared" si="46"/>
        <v>694060</v>
      </c>
      <c r="O1011" t="str">
        <f t="shared" si="47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45"/>
        <v>5940</v>
      </c>
      <c r="M1012">
        <f t="shared" si="45"/>
        <v>945</v>
      </c>
      <c r="N1012">
        <f t="shared" si="46"/>
        <v>730769</v>
      </c>
      <c r="O1012" t="str">
        <f t="shared" si="47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45"/>
        <v>5940</v>
      </c>
      <c r="M1013">
        <f t="shared" si="45"/>
        <v>990</v>
      </c>
      <c r="N1013">
        <f t="shared" si="46"/>
        <v>767843</v>
      </c>
      <c r="O1013" t="str">
        <f t="shared" si="47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EE5F-12FF-4D58-800F-D8120A315947}">
  <dimension ref="A1:O1013"/>
  <sheetViews>
    <sheetView workbookViewId="0">
      <selection activeCell="O1" sqref="O1:O1048576"/>
    </sheetView>
  </sheetViews>
  <sheetFormatPr baseColWidth="10" defaultRowHeight="15" x14ac:dyDescent="0.25"/>
  <cols>
    <col min="1" max="1" width="11.42578125" style="2"/>
  </cols>
  <sheetData>
    <row r="1" spans="1:15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</row>
    <row r="2" spans="1:15" x14ac:dyDescent="0.25">
      <c r="A2" s="1">
        <v>0</v>
      </c>
      <c r="B2">
        <v>-990</v>
      </c>
      <c r="C2">
        <v>0.28100000000000003</v>
      </c>
      <c r="L2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15" x14ac:dyDescent="0.25">
      <c r="A3" s="1">
        <v>0</v>
      </c>
      <c r="B3">
        <v>-945</v>
      </c>
      <c r="C3">
        <v>0.26900000000000002</v>
      </c>
      <c r="L3">
        <f t="shared" ref="L3:M66" si="0">A3</f>
        <v>0</v>
      </c>
      <c r="M3">
        <f t="shared" si="0"/>
        <v>-945</v>
      </c>
      <c r="N3">
        <f t="shared" ref="N3:N66" si="1">C3*1000</f>
        <v>269</v>
      </c>
      <c r="O3" t="str">
        <f t="shared" ref="O3:O66" si="2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15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0"/>
        <v>-900</v>
      </c>
      <c r="N4">
        <f t="shared" si="1"/>
        <v>258</v>
      </c>
      <c r="O4" t="str">
        <f t="shared" si="2"/>
        <v>&lt;Entry outShaftSpeed="0.00" torque="-900.00" electricPower="258.00"/&gt;</v>
      </c>
    </row>
    <row r="5" spans="1:15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0"/>
        <v>-855</v>
      </c>
      <c r="N5">
        <f t="shared" si="1"/>
        <v>246</v>
      </c>
      <c r="O5" t="str">
        <f t="shared" si="2"/>
        <v>&lt;Entry outShaftSpeed="0.00" torque="-855.00" electricPower="246.00"/&gt;</v>
      </c>
    </row>
    <row r="6" spans="1:15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0"/>
        <v>-810</v>
      </c>
      <c r="N6">
        <f t="shared" si="1"/>
        <v>235</v>
      </c>
      <c r="O6" t="str">
        <f t="shared" si="2"/>
        <v>&lt;Entry outShaftSpeed="0.00" torque="-810.00" electricPower="235.00"/&gt;</v>
      </c>
    </row>
    <row r="7" spans="1:15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0"/>
        <v>-765</v>
      </c>
      <c r="N7">
        <f t="shared" si="1"/>
        <v>223</v>
      </c>
      <c r="O7" t="str">
        <f t="shared" si="2"/>
        <v>&lt;Entry outShaftSpeed="0.00" torque="-765.00" electricPower="223.00"/&gt;</v>
      </c>
    </row>
    <row r="8" spans="1:15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0"/>
        <v>-720</v>
      </c>
      <c r="N8">
        <f t="shared" si="1"/>
        <v>211</v>
      </c>
      <c r="O8" t="str">
        <f t="shared" si="2"/>
        <v>&lt;Entry outShaftSpeed="0.00" torque="-720.00" electricPower="211.00"/&gt;</v>
      </c>
    </row>
    <row r="9" spans="1:15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0"/>
        <v>-675</v>
      </c>
      <c r="N9">
        <f t="shared" si="1"/>
        <v>198</v>
      </c>
      <c r="O9" t="str">
        <f t="shared" si="2"/>
        <v>&lt;Entry outShaftSpeed="0.00" torque="-675.00" electricPower="198.00"/&gt;</v>
      </c>
    </row>
    <row r="10" spans="1:15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0"/>
        <v>-630</v>
      </c>
      <c r="N10">
        <f t="shared" si="1"/>
        <v>130</v>
      </c>
      <c r="O10" t="str">
        <f t="shared" si="2"/>
        <v>&lt;Entry outShaftSpeed="0.00" torque="-630.00" electricPower="130.00"/&gt;</v>
      </c>
    </row>
    <row r="11" spans="1:15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0"/>
        <v>-585</v>
      </c>
      <c r="N11">
        <f t="shared" si="1"/>
        <v>35</v>
      </c>
      <c r="O11" t="str">
        <f t="shared" si="2"/>
        <v>&lt;Entry outShaftSpeed="0.00" torque="-585.00" electricPower="35.00"/&gt;</v>
      </c>
    </row>
    <row r="12" spans="1:15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0"/>
        <v>-540</v>
      </c>
      <c r="N12">
        <f t="shared" si="1"/>
        <v>-46</v>
      </c>
      <c r="O12" t="str">
        <f t="shared" si="2"/>
        <v>&lt;Entry outShaftSpeed="0.00" torque="-540.00" electricPower="-46.00"/&gt;</v>
      </c>
    </row>
    <row r="13" spans="1:15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0"/>
        <v>-495</v>
      </c>
      <c r="N13">
        <f t="shared" si="1"/>
        <v>-114</v>
      </c>
      <c r="O13" t="str">
        <f t="shared" si="2"/>
        <v>&lt;Entry outShaftSpeed="0.00" torque="-495.00" electricPower="-114.00"/&gt;</v>
      </c>
    </row>
    <row r="14" spans="1:15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0"/>
        <v>-450</v>
      </c>
      <c r="N14">
        <f t="shared" si="1"/>
        <v>-169</v>
      </c>
      <c r="O14" t="str">
        <f t="shared" si="2"/>
        <v>&lt;Entry outShaftSpeed="0.00" torque="-450.00" electricPower="-169.00"/&gt;</v>
      </c>
    </row>
    <row r="15" spans="1:15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0"/>
        <v>-405</v>
      </c>
      <c r="N15">
        <f t="shared" si="1"/>
        <v>-211</v>
      </c>
      <c r="O15" t="str">
        <f t="shared" si="2"/>
        <v>&lt;Entry outShaftSpeed="0.00" torque="-405.00" electricPower="-211.00"/&gt;</v>
      </c>
    </row>
    <row r="16" spans="1:15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0"/>
        <v>-360</v>
      </c>
      <c r="N16">
        <f t="shared" si="1"/>
        <v>-239</v>
      </c>
      <c r="O16" t="str">
        <f t="shared" si="2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0"/>
        <v>-315</v>
      </c>
      <c r="N17">
        <f t="shared" si="1"/>
        <v>-254</v>
      </c>
      <c r="O17" t="str">
        <f t="shared" si="2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0"/>
        <v>-270</v>
      </c>
      <c r="N18">
        <f t="shared" si="1"/>
        <v>-256</v>
      </c>
      <c r="O18" t="str">
        <f t="shared" si="2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0"/>
        <v>-225</v>
      </c>
      <c r="N19">
        <f t="shared" si="1"/>
        <v>-244</v>
      </c>
      <c r="O19" t="str">
        <f t="shared" si="2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0"/>
        <v>-180</v>
      </c>
      <c r="N20">
        <f t="shared" si="1"/>
        <v>-219</v>
      </c>
      <c r="O20" t="str">
        <f t="shared" si="2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0"/>
        <v>-135</v>
      </c>
      <c r="N21">
        <f t="shared" si="1"/>
        <v>-181</v>
      </c>
      <c r="O21" t="str">
        <f t="shared" si="2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0"/>
        <v>-90</v>
      </c>
      <c r="N22">
        <f t="shared" si="1"/>
        <v>-130</v>
      </c>
      <c r="O22" t="str">
        <f t="shared" si="2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0"/>
        <v>-45</v>
      </c>
      <c r="N23">
        <f t="shared" si="1"/>
        <v>-65</v>
      </c>
      <c r="O23" t="str">
        <f t="shared" si="2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0"/>
        <v>-9</v>
      </c>
      <c r="N24">
        <f t="shared" si="1"/>
        <v>-3</v>
      </c>
      <c r="O24" t="str">
        <f t="shared" si="2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0"/>
        <v>9</v>
      </c>
      <c r="N25">
        <f t="shared" si="1"/>
        <v>55</v>
      </c>
      <c r="O25" t="str">
        <f t="shared" si="2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0"/>
        <v>45</v>
      </c>
      <c r="N26">
        <f t="shared" si="1"/>
        <v>221</v>
      </c>
      <c r="O26" t="str">
        <f t="shared" si="2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0"/>
        <v>90</v>
      </c>
      <c r="N27">
        <f t="shared" si="1"/>
        <v>442</v>
      </c>
      <c r="O27" t="str">
        <f t="shared" si="2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0"/>
        <v>135</v>
      </c>
      <c r="N28">
        <f t="shared" si="1"/>
        <v>678</v>
      </c>
      <c r="O28" t="str">
        <f t="shared" si="2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0"/>
        <v>180</v>
      </c>
      <c r="N29">
        <f t="shared" si="1"/>
        <v>928</v>
      </c>
      <c r="O29" t="str">
        <f t="shared" si="2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0"/>
        <v>225</v>
      </c>
      <c r="N30">
        <f t="shared" si="1"/>
        <v>1193</v>
      </c>
      <c r="O30" t="str">
        <f t="shared" si="2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0"/>
        <v>270</v>
      </c>
      <c r="N31">
        <f t="shared" si="1"/>
        <v>1472</v>
      </c>
      <c r="O31" t="str">
        <f t="shared" si="2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0"/>
        <v>315</v>
      </c>
      <c r="N32">
        <f t="shared" si="1"/>
        <v>1765</v>
      </c>
      <c r="O32" t="str">
        <f t="shared" si="2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0"/>
        <v>360</v>
      </c>
      <c r="N33">
        <f t="shared" si="1"/>
        <v>2073</v>
      </c>
      <c r="O33" t="str">
        <f t="shared" si="2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0"/>
        <v>405</v>
      </c>
      <c r="N34">
        <f t="shared" si="1"/>
        <v>2395</v>
      </c>
      <c r="O34" t="str">
        <f t="shared" si="2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0"/>
        <v>450</v>
      </c>
      <c r="N35">
        <f t="shared" si="1"/>
        <v>2732</v>
      </c>
      <c r="O35" t="str">
        <f t="shared" si="2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0"/>
        <v>495</v>
      </c>
      <c r="N36">
        <f t="shared" si="1"/>
        <v>3083</v>
      </c>
      <c r="O36" t="str">
        <f t="shared" si="2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0"/>
        <v>540</v>
      </c>
      <c r="N37">
        <f t="shared" si="1"/>
        <v>3449</v>
      </c>
      <c r="O37" t="str">
        <f t="shared" si="2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0"/>
        <v>585</v>
      </c>
      <c r="N38">
        <f t="shared" si="1"/>
        <v>3829</v>
      </c>
      <c r="O38" t="str">
        <f t="shared" si="2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0"/>
        <v>630</v>
      </c>
      <c r="N39">
        <f t="shared" si="1"/>
        <v>4224</v>
      </c>
      <c r="O39" t="str">
        <f t="shared" si="2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0"/>
        <v>675</v>
      </c>
      <c r="N40">
        <f t="shared" si="1"/>
        <v>4633</v>
      </c>
      <c r="O40" t="str">
        <f t="shared" si="2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0"/>
        <v>720</v>
      </c>
      <c r="N41">
        <f t="shared" si="1"/>
        <v>5056</v>
      </c>
      <c r="O41" t="str">
        <f t="shared" si="2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0"/>
        <v>765</v>
      </c>
      <c r="N42">
        <f t="shared" si="1"/>
        <v>5494</v>
      </c>
      <c r="O42" t="str">
        <f t="shared" si="2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0"/>
        <v>810</v>
      </c>
      <c r="N43">
        <f t="shared" si="1"/>
        <v>5946</v>
      </c>
      <c r="O43" t="str">
        <f t="shared" si="2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0"/>
        <v>855</v>
      </c>
      <c r="N44">
        <f t="shared" si="1"/>
        <v>6413</v>
      </c>
      <c r="O44" t="str">
        <f t="shared" si="2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0"/>
        <v>900</v>
      </c>
      <c r="N45">
        <f t="shared" si="1"/>
        <v>6894</v>
      </c>
      <c r="O45" t="str">
        <f t="shared" si="2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0"/>
        <v>0</v>
      </c>
      <c r="N46">
        <f t="shared" si="1"/>
        <v>6413</v>
      </c>
      <c r="O46" t="str">
        <f t="shared" si="2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0"/>
        <v>0</v>
      </c>
      <c r="N47">
        <f t="shared" si="1"/>
        <v>5946</v>
      </c>
      <c r="O47" t="str">
        <f t="shared" si="2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0"/>
        <v>-990</v>
      </c>
      <c r="N48">
        <f t="shared" si="1"/>
        <v>0</v>
      </c>
      <c r="O48" t="str">
        <f t="shared" si="2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0"/>
        <v>-945</v>
      </c>
      <c r="N49">
        <f t="shared" si="1"/>
        <v>0</v>
      </c>
      <c r="O49" t="str">
        <f t="shared" si="2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0"/>
        <v>-900</v>
      </c>
      <c r="N50">
        <f t="shared" si="1"/>
        <v>0</v>
      </c>
      <c r="O50" t="str">
        <f t="shared" si="2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0"/>
        <v>-855</v>
      </c>
      <c r="N51">
        <f t="shared" si="1"/>
        <v>0</v>
      </c>
      <c r="O51" t="str">
        <f t="shared" si="2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0"/>
        <v>-810</v>
      </c>
      <c r="N52">
        <f t="shared" si="1"/>
        <v>0</v>
      </c>
      <c r="O52" t="str">
        <f t="shared" si="2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0"/>
        <v>-765</v>
      </c>
      <c r="N53">
        <f t="shared" si="1"/>
        <v>0</v>
      </c>
      <c r="O53" t="str">
        <f t="shared" si="2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0"/>
        <v>-720</v>
      </c>
      <c r="N54">
        <f t="shared" si="1"/>
        <v>0</v>
      </c>
      <c r="O54" t="str">
        <f t="shared" si="2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0"/>
        <v>-675</v>
      </c>
      <c r="N55">
        <f t="shared" si="1"/>
        <v>0</v>
      </c>
      <c r="O55" t="str">
        <f t="shared" si="2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0"/>
        <v>-630</v>
      </c>
      <c r="N56">
        <f t="shared" si="1"/>
        <v>-50</v>
      </c>
      <c r="O56" t="str">
        <f t="shared" si="2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0"/>
        <v>-585</v>
      </c>
      <c r="N57">
        <f t="shared" si="1"/>
        <v>-124</v>
      </c>
      <c r="O57" t="str">
        <f t="shared" si="2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0"/>
        <v>-540</v>
      </c>
      <c r="N58">
        <f t="shared" si="1"/>
        <v>-186</v>
      </c>
      <c r="O58" t="str">
        <f t="shared" si="2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0"/>
        <v>-495</v>
      </c>
      <c r="N59">
        <f t="shared" si="1"/>
        <v>-236</v>
      </c>
      <c r="O59" t="str">
        <f t="shared" si="2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0"/>
        <v>-450</v>
      </c>
      <c r="N60">
        <f t="shared" si="1"/>
        <v>-274</v>
      </c>
      <c r="O60" t="str">
        <f t="shared" si="2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0"/>
        <v>-405</v>
      </c>
      <c r="N61">
        <f t="shared" si="1"/>
        <v>-300</v>
      </c>
      <c r="O61" t="str">
        <f t="shared" si="2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0"/>
        <v>-360</v>
      </c>
      <c r="N62">
        <f t="shared" si="1"/>
        <v>-314</v>
      </c>
      <c r="O62" t="str">
        <f t="shared" si="2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0"/>
        <v>-315</v>
      </c>
      <c r="N63">
        <f t="shared" si="1"/>
        <v>-315</v>
      </c>
      <c r="O63" t="str">
        <f t="shared" si="2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0"/>
        <v>-270</v>
      </c>
      <c r="N64">
        <f t="shared" si="1"/>
        <v>-304</v>
      </c>
      <c r="O64" t="str">
        <f t="shared" si="2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0"/>
        <v>-225</v>
      </c>
      <c r="N65">
        <f t="shared" si="1"/>
        <v>-282</v>
      </c>
      <c r="O65" t="str">
        <f t="shared" si="2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0"/>
        <v>-180</v>
      </c>
      <c r="N66">
        <f t="shared" si="1"/>
        <v>-247</v>
      </c>
      <c r="O66" t="str">
        <f t="shared" si="2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M130" si="3">A67</f>
        <v>29.7</v>
      </c>
      <c r="M67">
        <f t="shared" si="3"/>
        <v>-135</v>
      </c>
      <c r="N67">
        <f t="shared" ref="N67:N130" si="4">C67*1000</f>
        <v>-200</v>
      </c>
      <c r="O67" t="str">
        <f t="shared" ref="O67:O130" si="5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3"/>
        <v>29.7</v>
      </c>
      <c r="M68">
        <f t="shared" si="3"/>
        <v>-90</v>
      </c>
      <c r="N68">
        <f t="shared" si="4"/>
        <v>-141</v>
      </c>
      <c r="O68" t="str">
        <f t="shared" si="5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3"/>
        <v>29.7</v>
      </c>
      <c r="M69">
        <f t="shared" si="3"/>
        <v>-45</v>
      </c>
      <c r="N69">
        <f t="shared" si="4"/>
        <v>-70</v>
      </c>
      <c r="O69" t="str">
        <f t="shared" si="5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3"/>
        <v>29.7</v>
      </c>
      <c r="M70">
        <f t="shared" si="3"/>
        <v>-9</v>
      </c>
      <c r="N70">
        <f t="shared" si="4"/>
        <v>-4</v>
      </c>
      <c r="O70" t="str">
        <f t="shared" si="5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3"/>
        <v>29.7</v>
      </c>
      <c r="M71">
        <f t="shared" si="3"/>
        <v>9</v>
      </c>
      <c r="N71">
        <f t="shared" si="4"/>
        <v>54</v>
      </c>
      <c r="O71" t="str">
        <f t="shared" si="5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3"/>
        <v>29.7</v>
      </c>
      <c r="M72">
        <f t="shared" si="3"/>
        <v>45</v>
      </c>
      <c r="N72">
        <f t="shared" si="4"/>
        <v>216</v>
      </c>
      <c r="O72" t="str">
        <f t="shared" si="5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3"/>
        <v>29.7</v>
      </c>
      <c r="M73">
        <f t="shared" si="3"/>
        <v>90</v>
      </c>
      <c r="N73">
        <f t="shared" si="4"/>
        <v>430</v>
      </c>
      <c r="O73" t="str">
        <f t="shared" si="5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3"/>
        <v>29.7</v>
      </c>
      <c r="M74">
        <f t="shared" si="3"/>
        <v>135</v>
      </c>
      <c r="N74">
        <f t="shared" si="4"/>
        <v>658</v>
      </c>
      <c r="O74" t="str">
        <f t="shared" si="5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3"/>
        <v>29.7</v>
      </c>
      <c r="M75">
        <f t="shared" si="3"/>
        <v>180</v>
      </c>
      <c r="N75">
        <f t="shared" si="4"/>
        <v>898</v>
      </c>
      <c r="O75" t="str">
        <f t="shared" si="5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3"/>
        <v>29.7</v>
      </c>
      <c r="M76">
        <f t="shared" si="3"/>
        <v>225</v>
      </c>
      <c r="N76">
        <f t="shared" si="4"/>
        <v>1152</v>
      </c>
      <c r="O76" t="str">
        <f t="shared" si="5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3"/>
        <v>29.7</v>
      </c>
      <c r="M77">
        <f t="shared" si="3"/>
        <v>270</v>
      </c>
      <c r="N77">
        <f t="shared" si="4"/>
        <v>1419</v>
      </c>
      <c r="O77" t="str">
        <f t="shared" si="5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3"/>
        <v>29.7</v>
      </c>
      <c r="M78">
        <f t="shared" si="3"/>
        <v>315</v>
      </c>
      <c r="N78">
        <f t="shared" si="4"/>
        <v>1699</v>
      </c>
      <c r="O78" t="str">
        <f t="shared" si="5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3"/>
        <v>29.7</v>
      </c>
      <c r="M79">
        <f t="shared" si="3"/>
        <v>360</v>
      </c>
      <c r="N79">
        <f t="shared" si="4"/>
        <v>1992</v>
      </c>
      <c r="O79" t="str">
        <f t="shared" si="5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3"/>
        <v>29.7</v>
      </c>
      <c r="M80">
        <f t="shared" si="3"/>
        <v>405</v>
      </c>
      <c r="N80">
        <f t="shared" si="4"/>
        <v>2299</v>
      </c>
      <c r="O80" t="str">
        <f t="shared" si="5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3"/>
        <v>29.7</v>
      </c>
      <c r="M81">
        <f t="shared" si="3"/>
        <v>450</v>
      </c>
      <c r="N81">
        <f t="shared" si="4"/>
        <v>2618</v>
      </c>
      <c r="O81" t="str">
        <f t="shared" si="5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3"/>
        <v>29.7</v>
      </c>
      <c r="M82">
        <f t="shared" si="3"/>
        <v>495</v>
      </c>
      <c r="N82">
        <f t="shared" si="4"/>
        <v>2951</v>
      </c>
      <c r="O82" t="str">
        <f t="shared" si="5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3"/>
        <v>29.7</v>
      </c>
      <c r="M83">
        <f t="shared" si="3"/>
        <v>540</v>
      </c>
      <c r="N83">
        <f t="shared" si="4"/>
        <v>3297</v>
      </c>
      <c r="O83" t="str">
        <f t="shared" si="5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3"/>
        <v>29.7</v>
      </c>
      <c r="M84">
        <f t="shared" si="3"/>
        <v>585</v>
      </c>
      <c r="N84">
        <f t="shared" si="4"/>
        <v>3656</v>
      </c>
      <c r="O84" t="str">
        <f t="shared" si="5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3"/>
        <v>29.7</v>
      </c>
      <c r="M85">
        <f t="shared" si="3"/>
        <v>630</v>
      </c>
      <c r="N85">
        <f t="shared" si="4"/>
        <v>4027.9999999999995</v>
      </c>
      <c r="O85" t="str">
        <f t="shared" si="5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3"/>
        <v>29.7</v>
      </c>
      <c r="M86">
        <f t="shared" si="3"/>
        <v>675</v>
      </c>
      <c r="N86">
        <f t="shared" si="4"/>
        <v>4413</v>
      </c>
      <c r="O86" t="str">
        <f t="shared" si="5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3"/>
        <v>29.7</v>
      </c>
      <c r="M87">
        <f t="shared" si="3"/>
        <v>720</v>
      </c>
      <c r="N87">
        <f t="shared" si="4"/>
        <v>4811</v>
      </c>
      <c r="O87" t="str">
        <f t="shared" si="5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3"/>
        <v>29.7</v>
      </c>
      <c r="M88">
        <f t="shared" si="3"/>
        <v>765</v>
      </c>
      <c r="N88">
        <f t="shared" si="4"/>
        <v>5223</v>
      </c>
      <c r="O88" t="str">
        <f t="shared" si="5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3"/>
        <v>29.7</v>
      </c>
      <c r="M89">
        <f t="shared" si="3"/>
        <v>810</v>
      </c>
      <c r="N89">
        <f t="shared" si="4"/>
        <v>5647</v>
      </c>
      <c r="O89" t="str">
        <f t="shared" si="5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3"/>
        <v>29.7</v>
      </c>
      <c r="M90">
        <f t="shared" si="3"/>
        <v>855</v>
      </c>
      <c r="N90">
        <f t="shared" si="4"/>
        <v>6085</v>
      </c>
      <c r="O90" t="str">
        <f t="shared" si="5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3"/>
        <v>29.7</v>
      </c>
      <c r="M91">
        <f t="shared" si="3"/>
        <v>900</v>
      </c>
      <c r="N91">
        <f t="shared" si="4"/>
        <v>6536</v>
      </c>
      <c r="O91" t="str">
        <f t="shared" si="5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3"/>
        <v>29.7</v>
      </c>
      <c r="M92">
        <f t="shared" si="3"/>
        <v>945</v>
      </c>
      <c r="N92">
        <f t="shared" si="4"/>
        <v>7000</v>
      </c>
      <c r="O92" t="str">
        <f t="shared" si="5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3"/>
        <v>29.7</v>
      </c>
      <c r="M93">
        <f t="shared" si="3"/>
        <v>990</v>
      </c>
      <c r="N93">
        <f t="shared" si="4"/>
        <v>7478</v>
      </c>
      <c r="O93" t="str">
        <f t="shared" si="5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3"/>
        <v>297</v>
      </c>
      <c r="M94">
        <f t="shared" si="3"/>
        <v>-990</v>
      </c>
      <c r="N94">
        <f t="shared" si="4"/>
        <v>-25264</v>
      </c>
      <c r="O94" t="str">
        <f t="shared" si="5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3"/>
        <v>297</v>
      </c>
      <c r="M95">
        <f t="shared" si="3"/>
        <v>-945</v>
      </c>
      <c r="N95">
        <f t="shared" si="4"/>
        <v>-24246</v>
      </c>
      <c r="O95" t="str">
        <f t="shared" si="5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3"/>
        <v>297</v>
      </c>
      <c r="M96">
        <f t="shared" si="3"/>
        <v>-900</v>
      </c>
      <c r="N96">
        <f t="shared" si="4"/>
        <v>-23214</v>
      </c>
      <c r="O96" t="str">
        <f t="shared" si="5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3"/>
        <v>297</v>
      </c>
      <c r="M97">
        <f t="shared" si="3"/>
        <v>-855</v>
      </c>
      <c r="N97">
        <f t="shared" si="4"/>
        <v>-22170</v>
      </c>
      <c r="O97" t="str">
        <f t="shared" si="5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3"/>
        <v>297</v>
      </c>
      <c r="M98">
        <f t="shared" si="3"/>
        <v>-810</v>
      </c>
      <c r="N98">
        <f t="shared" si="4"/>
        <v>-21112</v>
      </c>
      <c r="O98" t="str">
        <f t="shared" si="5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3"/>
        <v>297</v>
      </c>
      <c r="M99">
        <f t="shared" si="3"/>
        <v>-765</v>
      </c>
      <c r="N99">
        <f t="shared" si="4"/>
        <v>-20042</v>
      </c>
      <c r="O99" t="str">
        <f t="shared" si="5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3"/>
        <v>297</v>
      </c>
      <c r="M100">
        <f t="shared" si="3"/>
        <v>-720</v>
      </c>
      <c r="N100">
        <f t="shared" si="4"/>
        <v>-18958</v>
      </c>
      <c r="O100" t="str">
        <f t="shared" si="5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3"/>
        <v>297</v>
      </c>
      <c r="M101">
        <f t="shared" si="3"/>
        <v>-675</v>
      </c>
      <c r="N101">
        <f t="shared" si="4"/>
        <v>-17862</v>
      </c>
      <c r="O101" t="str">
        <f t="shared" si="5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3"/>
        <v>297</v>
      </c>
      <c r="M102">
        <f t="shared" si="3"/>
        <v>-630</v>
      </c>
      <c r="N102">
        <f t="shared" si="4"/>
        <v>-16752</v>
      </c>
      <c r="O102" t="str">
        <f t="shared" si="5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3"/>
        <v>297</v>
      </c>
      <c r="M103">
        <f t="shared" si="3"/>
        <v>-585</v>
      </c>
      <c r="N103">
        <f t="shared" si="4"/>
        <v>-15629</v>
      </c>
      <c r="O103" t="str">
        <f t="shared" si="5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3"/>
        <v>297</v>
      </c>
      <c r="M104">
        <f t="shared" si="3"/>
        <v>-540</v>
      </c>
      <c r="N104">
        <f t="shared" si="4"/>
        <v>-14494</v>
      </c>
      <c r="O104" t="str">
        <f t="shared" si="5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3"/>
        <v>297</v>
      </c>
      <c r="M105">
        <f t="shared" si="3"/>
        <v>-495</v>
      </c>
      <c r="N105">
        <f t="shared" si="4"/>
        <v>-13345</v>
      </c>
      <c r="O105" t="str">
        <f t="shared" si="5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3"/>
        <v>297</v>
      </c>
      <c r="M106">
        <f t="shared" si="3"/>
        <v>-450</v>
      </c>
      <c r="N106">
        <f t="shared" si="4"/>
        <v>-12183</v>
      </c>
      <c r="O106" t="str">
        <f t="shared" si="5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3"/>
        <v>297</v>
      </c>
      <c r="M107">
        <f t="shared" si="3"/>
        <v>-405</v>
      </c>
      <c r="N107">
        <f t="shared" si="4"/>
        <v>-11008</v>
      </c>
      <c r="O107" t="str">
        <f t="shared" si="5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3"/>
        <v>297</v>
      </c>
      <c r="M108">
        <f t="shared" si="3"/>
        <v>-360</v>
      </c>
      <c r="N108">
        <f t="shared" si="4"/>
        <v>-9821</v>
      </c>
      <c r="O108" t="str">
        <f t="shared" si="5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3"/>
        <v>297</v>
      </c>
      <c r="M109">
        <f t="shared" si="3"/>
        <v>-315</v>
      </c>
      <c r="N109">
        <f t="shared" si="4"/>
        <v>-8620</v>
      </c>
      <c r="O109" t="str">
        <f t="shared" si="5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3"/>
        <v>297</v>
      </c>
      <c r="M110">
        <f t="shared" si="3"/>
        <v>-270</v>
      </c>
      <c r="N110">
        <f t="shared" si="4"/>
        <v>-7406</v>
      </c>
      <c r="O110" t="str">
        <f t="shared" si="5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3"/>
        <v>297</v>
      </c>
      <c r="M111">
        <f t="shared" si="3"/>
        <v>-225</v>
      </c>
      <c r="N111">
        <f t="shared" si="4"/>
        <v>-6179</v>
      </c>
      <c r="O111" t="str">
        <f t="shared" si="5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3"/>
        <v>297</v>
      </c>
      <c r="M112">
        <f t="shared" si="3"/>
        <v>-180</v>
      </c>
      <c r="N112">
        <f t="shared" si="4"/>
        <v>-4939</v>
      </c>
      <c r="O112" t="str">
        <f t="shared" si="5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3"/>
        <v>297</v>
      </c>
      <c r="M113">
        <f t="shared" si="3"/>
        <v>-135</v>
      </c>
      <c r="N113">
        <f t="shared" si="4"/>
        <v>-3686</v>
      </c>
      <c r="O113" t="str">
        <f t="shared" si="5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3"/>
        <v>297</v>
      </c>
      <c r="M114">
        <f t="shared" si="3"/>
        <v>-90</v>
      </c>
      <c r="N114">
        <f t="shared" si="4"/>
        <v>-2420</v>
      </c>
      <c r="O114" t="str">
        <f t="shared" si="5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3"/>
        <v>297</v>
      </c>
      <c r="M115">
        <f t="shared" si="3"/>
        <v>-45</v>
      </c>
      <c r="N115">
        <f t="shared" si="4"/>
        <v>-1141</v>
      </c>
      <c r="O115" t="str">
        <f t="shared" si="5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3"/>
        <v>297</v>
      </c>
      <c r="M116">
        <f t="shared" si="3"/>
        <v>-9</v>
      </c>
      <c r="N116">
        <f t="shared" si="4"/>
        <v>-108</v>
      </c>
      <c r="O116" t="str">
        <f t="shared" si="5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3"/>
        <v>297</v>
      </c>
      <c r="M117">
        <f t="shared" si="3"/>
        <v>9</v>
      </c>
      <c r="N117">
        <f t="shared" si="4"/>
        <v>465</v>
      </c>
      <c r="O117" t="str">
        <f t="shared" si="5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3"/>
        <v>297</v>
      </c>
      <c r="M118">
        <f t="shared" si="3"/>
        <v>45</v>
      </c>
      <c r="N118">
        <f t="shared" si="4"/>
        <v>1678</v>
      </c>
      <c r="O118" t="str">
        <f t="shared" si="5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3"/>
        <v>297</v>
      </c>
      <c r="M119">
        <f t="shared" si="3"/>
        <v>90</v>
      </c>
      <c r="N119">
        <f t="shared" si="4"/>
        <v>3206</v>
      </c>
      <c r="O119" t="str">
        <f t="shared" si="5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3"/>
        <v>297</v>
      </c>
      <c r="M120">
        <f t="shared" si="3"/>
        <v>135</v>
      </c>
      <c r="N120">
        <f t="shared" si="4"/>
        <v>4748</v>
      </c>
      <c r="O120" t="str">
        <f t="shared" si="5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3"/>
        <v>297</v>
      </c>
      <c r="M121">
        <f t="shared" si="3"/>
        <v>180</v>
      </c>
      <c r="N121">
        <f t="shared" si="4"/>
        <v>6304</v>
      </c>
      <c r="O121" t="str">
        <f t="shared" si="5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3"/>
        <v>297</v>
      </c>
      <c r="M122">
        <f t="shared" si="3"/>
        <v>225</v>
      </c>
      <c r="N122">
        <f t="shared" si="4"/>
        <v>7874</v>
      </c>
      <c r="O122" t="str">
        <f t="shared" si="5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3"/>
        <v>297</v>
      </c>
      <c r="M123">
        <f t="shared" si="3"/>
        <v>270</v>
      </c>
      <c r="N123">
        <f t="shared" si="4"/>
        <v>9459</v>
      </c>
      <c r="O123" t="str">
        <f t="shared" si="5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3"/>
        <v>297</v>
      </c>
      <c r="M124">
        <f t="shared" si="3"/>
        <v>315</v>
      </c>
      <c r="N124">
        <f t="shared" si="4"/>
        <v>11057</v>
      </c>
      <c r="O124" t="str">
        <f t="shared" si="5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3"/>
        <v>297</v>
      </c>
      <c r="M125">
        <f t="shared" si="3"/>
        <v>360</v>
      </c>
      <c r="N125">
        <f t="shared" si="4"/>
        <v>12670</v>
      </c>
      <c r="O125" t="str">
        <f t="shared" si="5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3"/>
        <v>297</v>
      </c>
      <c r="M126">
        <f t="shared" si="3"/>
        <v>405</v>
      </c>
      <c r="N126">
        <f t="shared" si="4"/>
        <v>14297</v>
      </c>
      <c r="O126" t="str">
        <f t="shared" si="5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3"/>
        <v>297</v>
      </c>
      <c r="M127">
        <f t="shared" si="3"/>
        <v>450</v>
      </c>
      <c r="N127">
        <f t="shared" si="4"/>
        <v>15938</v>
      </c>
      <c r="O127" t="str">
        <f t="shared" si="5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3"/>
        <v>297</v>
      </c>
      <c r="M128">
        <f t="shared" si="3"/>
        <v>495</v>
      </c>
      <c r="N128">
        <f t="shared" si="4"/>
        <v>17594</v>
      </c>
      <c r="O128" t="str">
        <f t="shared" si="5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3"/>
        <v>297</v>
      </c>
      <c r="M129">
        <f t="shared" si="3"/>
        <v>540</v>
      </c>
      <c r="N129">
        <f t="shared" si="4"/>
        <v>19263</v>
      </c>
      <c r="O129" t="str">
        <f t="shared" si="5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3"/>
        <v>297</v>
      </c>
      <c r="M130">
        <f t="shared" si="3"/>
        <v>585</v>
      </c>
      <c r="N130">
        <f t="shared" si="4"/>
        <v>20946</v>
      </c>
      <c r="O130" t="str">
        <f t="shared" si="5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M194" si="6">A131</f>
        <v>297</v>
      </c>
      <c r="M131">
        <f t="shared" si="6"/>
        <v>630</v>
      </c>
      <c r="N131">
        <f t="shared" ref="N131:N194" si="7">C131*1000</f>
        <v>22644</v>
      </c>
      <c r="O131" t="str">
        <f t="shared" ref="O131:O194" si="8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6"/>
        <v>297</v>
      </c>
      <c r="M132">
        <f t="shared" si="6"/>
        <v>675</v>
      </c>
      <c r="N132">
        <f t="shared" si="7"/>
        <v>24356</v>
      </c>
      <c r="O132" t="str">
        <f t="shared" si="8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6"/>
        <v>297</v>
      </c>
      <c r="M133">
        <f t="shared" si="6"/>
        <v>720</v>
      </c>
      <c r="N133">
        <f t="shared" si="7"/>
        <v>26082</v>
      </c>
      <c r="O133" t="str">
        <f t="shared" si="8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6"/>
        <v>297</v>
      </c>
      <c r="M134">
        <f t="shared" si="6"/>
        <v>765</v>
      </c>
      <c r="N134">
        <f t="shared" si="7"/>
        <v>27822</v>
      </c>
      <c r="O134" t="str">
        <f t="shared" si="8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6"/>
        <v>297</v>
      </c>
      <c r="M135">
        <f t="shared" si="6"/>
        <v>810</v>
      </c>
      <c r="N135">
        <f t="shared" si="7"/>
        <v>29576</v>
      </c>
      <c r="O135" t="str">
        <f t="shared" si="8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6"/>
        <v>297</v>
      </c>
      <c r="M136">
        <f t="shared" si="6"/>
        <v>855</v>
      </c>
      <c r="N136">
        <f t="shared" si="7"/>
        <v>31344</v>
      </c>
      <c r="O136" t="str">
        <f t="shared" si="8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6"/>
        <v>297</v>
      </c>
      <c r="M137">
        <f t="shared" si="6"/>
        <v>900</v>
      </c>
      <c r="N137">
        <f t="shared" si="7"/>
        <v>33127</v>
      </c>
      <c r="O137" t="str">
        <f t="shared" si="8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6"/>
        <v>297</v>
      </c>
      <c r="M138">
        <f t="shared" si="6"/>
        <v>945</v>
      </c>
      <c r="N138">
        <f t="shared" si="7"/>
        <v>34924</v>
      </c>
      <c r="O138" t="str">
        <f t="shared" si="8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6"/>
        <v>297</v>
      </c>
      <c r="M139">
        <f t="shared" si="6"/>
        <v>990</v>
      </c>
      <c r="N139">
        <f t="shared" si="7"/>
        <v>36734</v>
      </c>
      <c r="O139" t="str">
        <f t="shared" si="8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6"/>
        <v>594</v>
      </c>
      <c r="M140">
        <f t="shared" si="6"/>
        <v>-990</v>
      </c>
      <c r="N140">
        <f t="shared" si="7"/>
        <v>-54008</v>
      </c>
      <c r="O140" t="str">
        <f t="shared" si="8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6"/>
        <v>594</v>
      </c>
      <c r="M141">
        <f t="shared" si="6"/>
        <v>-945</v>
      </c>
      <c r="N141">
        <f t="shared" si="7"/>
        <v>-51701</v>
      </c>
      <c r="O141" t="str">
        <f t="shared" si="8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6"/>
        <v>594</v>
      </c>
      <c r="M142">
        <f t="shared" si="6"/>
        <v>-900</v>
      </c>
      <c r="N142">
        <f t="shared" si="7"/>
        <v>-49378</v>
      </c>
      <c r="O142" t="str">
        <f t="shared" si="8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6"/>
        <v>594</v>
      </c>
      <c r="M143">
        <f t="shared" si="6"/>
        <v>-855</v>
      </c>
      <c r="N143">
        <f t="shared" si="7"/>
        <v>-47040</v>
      </c>
      <c r="O143" t="str">
        <f t="shared" si="8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6"/>
        <v>594</v>
      </c>
      <c r="M144">
        <f t="shared" si="6"/>
        <v>-810</v>
      </c>
      <c r="N144">
        <f t="shared" si="7"/>
        <v>-44686</v>
      </c>
      <c r="O144" t="str">
        <f t="shared" si="8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6"/>
        <v>594</v>
      </c>
      <c r="M145">
        <f t="shared" si="6"/>
        <v>-765</v>
      </c>
      <c r="N145">
        <f t="shared" si="7"/>
        <v>-42317</v>
      </c>
      <c r="O145" t="str">
        <f t="shared" si="8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6"/>
        <v>594</v>
      </c>
      <c r="M146">
        <f t="shared" si="6"/>
        <v>-720</v>
      </c>
      <c r="N146">
        <f t="shared" si="7"/>
        <v>-39932</v>
      </c>
      <c r="O146" t="str">
        <f t="shared" si="8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6"/>
        <v>594</v>
      </c>
      <c r="M147">
        <f t="shared" si="6"/>
        <v>-675</v>
      </c>
      <c r="N147">
        <f t="shared" si="7"/>
        <v>-37531</v>
      </c>
      <c r="O147" t="str">
        <f t="shared" si="8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6"/>
        <v>594</v>
      </c>
      <c r="M148">
        <f t="shared" si="6"/>
        <v>-630</v>
      </c>
      <c r="N148">
        <f t="shared" si="7"/>
        <v>-35115</v>
      </c>
      <c r="O148" t="str">
        <f t="shared" si="8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6"/>
        <v>594</v>
      </c>
      <c r="M149">
        <f t="shared" si="6"/>
        <v>-585</v>
      </c>
      <c r="N149">
        <f t="shared" si="7"/>
        <v>-32683</v>
      </c>
      <c r="O149" t="str">
        <f t="shared" si="8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6"/>
        <v>594</v>
      </c>
      <c r="M150">
        <f t="shared" si="6"/>
        <v>-540</v>
      </c>
      <c r="N150">
        <f t="shared" si="7"/>
        <v>-30236</v>
      </c>
      <c r="O150" t="str">
        <f t="shared" si="8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6"/>
        <v>594</v>
      </c>
      <c r="M151">
        <f t="shared" si="6"/>
        <v>-495</v>
      </c>
      <c r="N151">
        <f t="shared" si="7"/>
        <v>-27773</v>
      </c>
      <c r="O151" t="str">
        <f t="shared" si="8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6"/>
        <v>594</v>
      </c>
      <c r="M152">
        <f t="shared" si="6"/>
        <v>-450</v>
      </c>
      <c r="N152">
        <f t="shared" si="7"/>
        <v>-25294</v>
      </c>
      <c r="O152" t="str">
        <f t="shared" si="8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6"/>
        <v>594</v>
      </c>
      <c r="M153">
        <f t="shared" si="6"/>
        <v>-405</v>
      </c>
      <c r="N153">
        <f t="shared" si="7"/>
        <v>-22800</v>
      </c>
      <c r="O153" t="str">
        <f t="shared" si="8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6"/>
        <v>594</v>
      </c>
      <c r="M154">
        <f t="shared" si="6"/>
        <v>-360</v>
      </c>
      <c r="N154">
        <f t="shared" si="7"/>
        <v>-20290</v>
      </c>
      <c r="O154" t="str">
        <f t="shared" si="8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6"/>
        <v>594</v>
      </c>
      <c r="M155">
        <f t="shared" si="6"/>
        <v>-315</v>
      </c>
      <c r="N155">
        <f t="shared" si="7"/>
        <v>-17765</v>
      </c>
      <c r="O155" t="str">
        <f t="shared" si="8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6"/>
        <v>594</v>
      </c>
      <c r="M156">
        <f t="shared" si="6"/>
        <v>-270</v>
      </c>
      <c r="N156">
        <f t="shared" si="7"/>
        <v>-15224</v>
      </c>
      <c r="O156" t="str">
        <f t="shared" si="8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6"/>
        <v>594</v>
      </c>
      <c r="M157">
        <f t="shared" si="6"/>
        <v>-225</v>
      </c>
      <c r="N157">
        <f t="shared" si="7"/>
        <v>-12668</v>
      </c>
      <c r="O157" t="str">
        <f t="shared" si="8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6"/>
        <v>594</v>
      </c>
      <c r="M158">
        <f t="shared" si="6"/>
        <v>-180</v>
      </c>
      <c r="N158">
        <f t="shared" si="7"/>
        <v>-10096</v>
      </c>
      <c r="O158" t="str">
        <f t="shared" si="8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6"/>
        <v>594</v>
      </c>
      <c r="M159">
        <f t="shared" si="6"/>
        <v>-135</v>
      </c>
      <c r="N159">
        <f t="shared" si="7"/>
        <v>-7508</v>
      </c>
      <c r="O159" t="str">
        <f t="shared" si="8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6"/>
        <v>594</v>
      </c>
      <c r="M160">
        <f t="shared" si="6"/>
        <v>-90</v>
      </c>
      <c r="N160">
        <f t="shared" si="7"/>
        <v>-4905</v>
      </c>
      <c r="O160" t="str">
        <f t="shared" si="8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6"/>
        <v>594</v>
      </c>
      <c r="M161">
        <f t="shared" si="6"/>
        <v>-45</v>
      </c>
      <c r="N161">
        <f t="shared" si="7"/>
        <v>-2286</v>
      </c>
      <c r="O161" t="str">
        <f t="shared" si="8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6"/>
        <v>594</v>
      </c>
      <c r="M162">
        <f t="shared" si="6"/>
        <v>-9</v>
      </c>
      <c r="N162">
        <f t="shared" si="7"/>
        <v>-180</v>
      </c>
      <c r="O162" t="str">
        <f t="shared" si="8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6"/>
        <v>594</v>
      </c>
      <c r="M163">
        <f t="shared" si="6"/>
        <v>9</v>
      </c>
      <c r="N163">
        <f t="shared" si="7"/>
        <v>971</v>
      </c>
      <c r="O163" t="str">
        <f t="shared" si="8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6"/>
        <v>594</v>
      </c>
      <c r="M164">
        <f t="shared" si="6"/>
        <v>45</v>
      </c>
      <c r="N164">
        <f t="shared" si="7"/>
        <v>3351</v>
      </c>
      <c r="O164" t="str">
        <f t="shared" si="8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6"/>
        <v>594</v>
      </c>
      <c r="M165">
        <f t="shared" si="6"/>
        <v>90</v>
      </c>
      <c r="N165">
        <f t="shared" si="7"/>
        <v>6341</v>
      </c>
      <c r="O165" t="str">
        <f t="shared" si="8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6"/>
        <v>594</v>
      </c>
      <c r="M166">
        <f t="shared" si="6"/>
        <v>135</v>
      </c>
      <c r="N166">
        <f t="shared" si="7"/>
        <v>9348</v>
      </c>
      <c r="O166" t="str">
        <f t="shared" si="8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6"/>
        <v>594</v>
      </c>
      <c r="M167">
        <f t="shared" si="6"/>
        <v>180</v>
      </c>
      <c r="N167">
        <f t="shared" si="7"/>
        <v>12372</v>
      </c>
      <c r="O167" t="str">
        <f t="shared" si="8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6"/>
        <v>594</v>
      </c>
      <c r="M168">
        <f t="shared" si="6"/>
        <v>225</v>
      </c>
      <c r="N168">
        <f t="shared" si="7"/>
        <v>15412</v>
      </c>
      <c r="O168" t="str">
        <f t="shared" si="8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6"/>
        <v>594</v>
      </c>
      <c r="M169">
        <f t="shared" si="6"/>
        <v>270</v>
      </c>
      <c r="N169">
        <f t="shared" si="7"/>
        <v>18470</v>
      </c>
      <c r="O169" t="str">
        <f t="shared" si="8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6"/>
        <v>594</v>
      </c>
      <c r="M170">
        <f t="shared" si="6"/>
        <v>315</v>
      </c>
      <c r="N170">
        <f t="shared" si="7"/>
        <v>21545</v>
      </c>
      <c r="O170" t="str">
        <f t="shared" si="8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6"/>
        <v>594</v>
      </c>
      <c r="M171">
        <f t="shared" si="6"/>
        <v>360</v>
      </c>
      <c r="N171">
        <f t="shared" si="7"/>
        <v>24636</v>
      </c>
      <c r="O171" t="str">
        <f t="shared" si="8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6"/>
        <v>594</v>
      </c>
      <c r="M172">
        <f t="shared" si="6"/>
        <v>405</v>
      </c>
      <c r="N172">
        <f t="shared" si="7"/>
        <v>27744</v>
      </c>
      <c r="O172" t="str">
        <f t="shared" si="8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6"/>
        <v>594</v>
      </c>
      <c r="M173">
        <f t="shared" si="6"/>
        <v>450</v>
      </c>
      <c r="N173">
        <f t="shared" si="7"/>
        <v>30870</v>
      </c>
      <c r="O173" t="str">
        <f t="shared" si="8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6"/>
        <v>594</v>
      </c>
      <c r="M174">
        <f t="shared" si="6"/>
        <v>495</v>
      </c>
      <c r="N174">
        <f t="shared" si="7"/>
        <v>34012</v>
      </c>
      <c r="O174" t="str">
        <f t="shared" si="8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6"/>
        <v>594</v>
      </c>
      <c r="M175">
        <f t="shared" si="6"/>
        <v>540</v>
      </c>
      <c r="N175">
        <f t="shared" si="7"/>
        <v>37171</v>
      </c>
      <c r="O175" t="str">
        <f t="shared" si="8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6"/>
        <v>594</v>
      </c>
      <c r="M176">
        <f t="shared" si="6"/>
        <v>585</v>
      </c>
      <c r="N176">
        <f t="shared" si="7"/>
        <v>40347</v>
      </c>
      <c r="O176" t="str">
        <f t="shared" si="8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6"/>
        <v>594</v>
      </c>
      <c r="M177">
        <f t="shared" si="6"/>
        <v>630</v>
      </c>
      <c r="N177">
        <f t="shared" si="7"/>
        <v>43540</v>
      </c>
      <c r="O177" t="str">
        <f t="shared" si="8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6"/>
        <v>594</v>
      </c>
      <c r="M178">
        <f t="shared" si="6"/>
        <v>675</v>
      </c>
      <c r="N178">
        <f t="shared" si="7"/>
        <v>46750</v>
      </c>
      <c r="O178" t="str">
        <f t="shared" si="8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6"/>
        <v>594</v>
      </c>
      <c r="M179">
        <f t="shared" si="6"/>
        <v>720</v>
      </c>
      <c r="N179">
        <f t="shared" si="7"/>
        <v>49977</v>
      </c>
      <c r="O179" t="str">
        <f t="shared" si="8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6"/>
        <v>594</v>
      </c>
      <c r="M180">
        <f t="shared" si="6"/>
        <v>765</v>
      </c>
      <c r="N180">
        <f t="shared" si="7"/>
        <v>53220</v>
      </c>
      <c r="O180" t="str">
        <f t="shared" si="8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6"/>
        <v>594</v>
      </c>
      <c r="M181">
        <f t="shared" si="6"/>
        <v>810</v>
      </c>
      <c r="N181">
        <f t="shared" si="7"/>
        <v>56481</v>
      </c>
      <c r="O181" t="str">
        <f t="shared" si="8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6"/>
        <v>594</v>
      </c>
      <c r="M182">
        <f t="shared" si="6"/>
        <v>855</v>
      </c>
      <c r="N182">
        <f t="shared" si="7"/>
        <v>59758</v>
      </c>
      <c r="O182" t="str">
        <f t="shared" si="8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6"/>
        <v>594</v>
      </c>
      <c r="M183">
        <f t="shared" si="6"/>
        <v>900</v>
      </c>
      <c r="N183">
        <f t="shared" si="7"/>
        <v>63053</v>
      </c>
      <c r="O183" t="str">
        <f t="shared" si="8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6"/>
        <v>594</v>
      </c>
      <c r="M184">
        <f t="shared" si="6"/>
        <v>945</v>
      </c>
      <c r="N184">
        <f t="shared" si="7"/>
        <v>66364</v>
      </c>
      <c r="O184" t="str">
        <f t="shared" si="8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6"/>
        <v>594</v>
      </c>
      <c r="M185">
        <f t="shared" si="6"/>
        <v>990</v>
      </c>
      <c r="N185">
        <f t="shared" si="7"/>
        <v>69692</v>
      </c>
      <c r="O185" t="str">
        <f t="shared" si="8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6"/>
        <v>891</v>
      </c>
      <c r="M186">
        <f t="shared" si="6"/>
        <v>-990</v>
      </c>
      <c r="N186">
        <f t="shared" si="7"/>
        <v>-82296</v>
      </c>
      <c r="O186" t="str">
        <f t="shared" si="8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6"/>
        <v>891</v>
      </c>
      <c r="M187">
        <f t="shared" si="6"/>
        <v>-945</v>
      </c>
      <c r="N187">
        <f t="shared" si="7"/>
        <v>-78735</v>
      </c>
      <c r="O187" t="str">
        <f t="shared" si="8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6"/>
        <v>891</v>
      </c>
      <c r="M188">
        <f t="shared" si="6"/>
        <v>-900</v>
      </c>
      <c r="N188">
        <f t="shared" si="7"/>
        <v>-75154</v>
      </c>
      <c r="O188" t="str">
        <f t="shared" si="8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6"/>
        <v>891</v>
      </c>
      <c r="M189">
        <f t="shared" si="6"/>
        <v>-855</v>
      </c>
      <c r="N189">
        <f t="shared" si="7"/>
        <v>-71554</v>
      </c>
      <c r="O189" t="str">
        <f t="shared" si="8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6"/>
        <v>891</v>
      </c>
      <c r="M190">
        <f t="shared" si="6"/>
        <v>-810</v>
      </c>
      <c r="N190">
        <f t="shared" si="7"/>
        <v>-67933</v>
      </c>
      <c r="O190" t="str">
        <f t="shared" si="8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6"/>
        <v>891</v>
      </c>
      <c r="M191">
        <f t="shared" si="6"/>
        <v>-765</v>
      </c>
      <c r="N191">
        <f t="shared" si="7"/>
        <v>-64293.000000000007</v>
      </c>
      <c r="O191" t="str">
        <f t="shared" si="8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6"/>
        <v>891</v>
      </c>
      <c r="M192">
        <f t="shared" si="6"/>
        <v>-720</v>
      </c>
      <c r="N192">
        <f t="shared" si="7"/>
        <v>-60633</v>
      </c>
      <c r="O192" t="str">
        <f t="shared" si="8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6"/>
        <v>891</v>
      </c>
      <c r="M193">
        <f t="shared" si="6"/>
        <v>-675</v>
      </c>
      <c r="N193">
        <f t="shared" si="7"/>
        <v>-56954</v>
      </c>
      <c r="O193" t="str">
        <f t="shared" si="8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6"/>
        <v>891</v>
      </c>
      <c r="M194">
        <f t="shared" si="6"/>
        <v>-630</v>
      </c>
      <c r="N194">
        <f t="shared" si="7"/>
        <v>-53254</v>
      </c>
      <c r="O194" t="str">
        <f t="shared" si="8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M258" si="9">A195</f>
        <v>891</v>
      </c>
      <c r="M195">
        <f t="shared" si="9"/>
        <v>-585</v>
      </c>
      <c r="N195">
        <f t="shared" ref="N195:N258" si="10">C195*1000</f>
        <v>-49535</v>
      </c>
      <c r="O195" t="str">
        <f t="shared" ref="O195:O258" si="11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9"/>
        <v>891</v>
      </c>
      <c r="M196">
        <f t="shared" si="9"/>
        <v>-540</v>
      </c>
      <c r="N196">
        <f t="shared" si="10"/>
        <v>-45796</v>
      </c>
      <c r="O196" t="str">
        <f t="shared" si="11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9"/>
        <v>891</v>
      </c>
      <c r="M197">
        <f t="shared" si="9"/>
        <v>-495</v>
      </c>
      <c r="N197">
        <f t="shared" si="10"/>
        <v>-42038</v>
      </c>
      <c r="O197" t="str">
        <f t="shared" si="11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9"/>
        <v>891</v>
      </c>
      <c r="M198">
        <f t="shared" si="9"/>
        <v>-450</v>
      </c>
      <c r="N198">
        <f t="shared" si="10"/>
        <v>-38259</v>
      </c>
      <c r="O198" t="str">
        <f t="shared" si="11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9"/>
        <v>891</v>
      </c>
      <c r="M199">
        <f t="shared" si="9"/>
        <v>-405</v>
      </c>
      <c r="N199">
        <f t="shared" si="10"/>
        <v>-34461</v>
      </c>
      <c r="O199" t="str">
        <f t="shared" si="11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9"/>
        <v>891</v>
      </c>
      <c r="M200">
        <f t="shared" si="9"/>
        <v>-360</v>
      </c>
      <c r="N200">
        <f t="shared" si="10"/>
        <v>-30643</v>
      </c>
      <c r="O200" t="str">
        <f t="shared" si="11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9"/>
        <v>891</v>
      </c>
      <c r="M201">
        <f t="shared" si="9"/>
        <v>-315</v>
      </c>
      <c r="N201">
        <f t="shared" si="10"/>
        <v>-26805</v>
      </c>
      <c r="O201" t="str">
        <f t="shared" si="11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9"/>
        <v>891</v>
      </c>
      <c r="M202">
        <f t="shared" si="9"/>
        <v>-270</v>
      </c>
      <c r="N202">
        <f t="shared" si="10"/>
        <v>-22948</v>
      </c>
      <c r="O202" t="str">
        <f t="shared" si="11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9"/>
        <v>891</v>
      </c>
      <c r="M203">
        <f t="shared" si="9"/>
        <v>-225</v>
      </c>
      <c r="N203">
        <f t="shared" si="10"/>
        <v>-19071</v>
      </c>
      <c r="O203" t="str">
        <f t="shared" si="11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9"/>
        <v>891</v>
      </c>
      <c r="M204">
        <f t="shared" si="9"/>
        <v>-180</v>
      </c>
      <c r="N204">
        <f t="shared" si="10"/>
        <v>-15174</v>
      </c>
      <c r="O204" t="str">
        <f t="shared" si="11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9"/>
        <v>891</v>
      </c>
      <c r="M205">
        <f t="shared" si="9"/>
        <v>-135</v>
      </c>
      <c r="N205">
        <f t="shared" si="10"/>
        <v>-11257</v>
      </c>
      <c r="O205" t="str">
        <f t="shared" si="11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9"/>
        <v>891</v>
      </c>
      <c r="M206">
        <f t="shared" si="9"/>
        <v>-90</v>
      </c>
      <c r="N206">
        <f t="shared" si="10"/>
        <v>-7321</v>
      </c>
      <c r="O206" t="str">
        <f t="shared" si="11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9"/>
        <v>891</v>
      </c>
      <c r="M207">
        <f t="shared" si="9"/>
        <v>-45</v>
      </c>
      <c r="N207">
        <f t="shared" si="10"/>
        <v>-3365</v>
      </c>
      <c r="O207" t="str">
        <f t="shared" si="11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9"/>
        <v>891</v>
      </c>
      <c r="M208">
        <f t="shared" si="9"/>
        <v>-9</v>
      </c>
      <c r="N208">
        <f t="shared" si="10"/>
        <v>-186</v>
      </c>
      <c r="O208" t="str">
        <f t="shared" si="11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9"/>
        <v>891</v>
      </c>
      <c r="M209">
        <f t="shared" si="9"/>
        <v>9</v>
      </c>
      <c r="N209">
        <f t="shared" si="10"/>
        <v>1548</v>
      </c>
      <c r="O209" t="str">
        <f t="shared" si="11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9"/>
        <v>891</v>
      </c>
      <c r="M210">
        <f t="shared" si="9"/>
        <v>45</v>
      </c>
      <c r="N210">
        <f t="shared" si="10"/>
        <v>5096</v>
      </c>
      <c r="O210" t="str">
        <f t="shared" si="11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9"/>
        <v>891</v>
      </c>
      <c r="M211">
        <f t="shared" si="9"/>
        <v>90</v>
      </c>
      <c r="N211">
        <f t="shared" si="10"/>
        <v>9551</v>
      </c>
      <c r="O211" t="str">
        <f t="shared" si="11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9"/>
        <v>891</v>
      </c>
      <c r="M212">
        <f t="shared" si="9"/>
        <v>135</v>
      </c>
      <c r="N212">
        <f t="shared" si="10"/>
        <v>14027</v>
      </c>
      <c r="O212" t="str">
        <f t="shared" si="11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9"/>
        <v>891</v>
      </c>
      <c r="M213">
        <f t="shared" si="9"/>
        <v>180</v>
      </c>
      <c r="N213">
        <f t="shared" si="10"/>
        <v>18525</v>
      </c>
      <c r="O213" t="str">
        <f t="shared" si="11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9"/>
        <v>891</v>
      </c>
      <c r="M214">
        <f t="shared" si="9"/>
        <v>225</v>
      </c>
      <c r="N214">
        <f t="shared" si="10"/>
        <v>23044</v>
      </c>
      <c r="O214" t="str">
        <f t="shared" si="11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9"/>
        <v>891</v>
      </c>
      <c r="M215">
        <f t="shared" si="9"/>
        <v>270</v>
      </c>
      <c r="N215">
        <f t="shared" si="10"/>
        <v>27584</v>
      </c>
      <c r="O215" t="str">
        <f t="shared" si="11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9"/>
        <v>891</v>
      </c>
      <c r="M216">
        <f t="shared" si="9"/>
        <v>315</v>
      </c>
      <c r="N216">
        <f t="shared" si="10"/>
        <v>32146</v>
      </c>
      <c r="O216" t="str">
        <f t="shared" si="11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9"/>
        <v>891</v>
      </c>
      <c r="M217">
        <f t="shared" si="9"/>
        <v>360</v>
      </c>
      <c r="N217">
        <f t="shared" si="10"/>
        <v>36729</v>
      </c>
      <c r="O217" t="str">
        <f t="shared" si="11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9"/>
        <v>891</v>
      </c>
      <c r="M218">
        <f t="shared" si="9"/>
        <v>405</v>
      </c>
      <c r="N218">
        <f t="shared" si="10"/>
        <v>41334</v>
      </c>
      <c r="O218" t="str">
        <f t="shared" si="11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9"/>
        <v>891</v>
      </c>
      <c r="M219">
        <f t="shared" si="9"/>
        <v>450</v>
      </c>
      <c r="N219">
        <f t="shared" si="10"/>
        <v>45960</v>
      </c>
      <c r="O219" t="str">
        <f t="shared" si="11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9"/>
        <v>891</v>
      </c>
      <c r="M220">
        <f t="shared" si="9"/>
        <v>495</v>
      </c>
      <c r="N220">
        <f t="shared" si="10"/>
        <v>50607</v>
      </c>
      <c r="O220" t="str">
        <f t="shared" si="11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9"/>
        <v>891</v>
      </c>
      <c r="M221">
        <f t="shared" si="9"/>
        <v>540</v>
      </c>
      <c r="N221">
        <f t="shared" si="10"/>
        <v>55276</v>
      </c>
      <c r="O221" t="str">
        <f t="shared" si="11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9"/>
        <v>891</v>
      </c>
      <c r="M222">
        <f t="shared" si="9"/>
        <v>585</v>
      </c>
      <c r="N222">
        <f t="shared" si="10"/>
        <v>59967</v>
      </c>
      <c r="O222" t="str">
        <f t="shared" si="11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9"/>
        <v>891</v>
      </c>
      <c r="M223">
        <f t="shared" si="9"/>
        <v>630</v>
      </c>
      <c r="N223">
        <f t="shared" si="10"/>
        <v>64679</v>
      </c>
      <c r="O223" t="str">
        <f t="shared" si="11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9"/>
        <v>891</v>
      </c>
      <c r="M224">
        <f t="shared" si="9"/>
        <v>675</v>
      </c>
      <c r="N224">
        <f t="shared" si="10"/>
        <v>69412</v>
      </c>
      <c r="O224" t="str">
        <f t="shared" si="11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9"/>
        <v>891</v>
      </c>
      <c r="M225">
        <f t="shared" si="9"/>
        <v>720</v>
      </c>
      <c r="N225">
        <f t="shared" si="10"/>
        <v>74167</v>
      </c>
      <c r="O225" t="str">
        <f t="shared" si="11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9"/>
        <v>891</v>
      </c>
      <c r="M226">
        <f t="shared" si="9"/>
        <v>765</v>
      </c>
      <c r="N226">
        <f t="shared" si="10"/>
        <v>78943</v>
      </c>
      <c r="O226" t="str">
        <f t="shared" si="11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9"/>
        <v>891</v>
      </c>
      <c r="M227">
        <f t="shared" si="9"/>
        <v>810</v>
      </c>
      <c r="N227">
        <f t="shared" si="10"/>
        <v>83740</v>
      </c>
      <c r="O227" t="str">
        <f t="shared" si="11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9"/>
        <v>891</v>
      </c>
      <c r="M228">
        <f t="shared" si="9"/>
        <v>855</v>
      </c>
      <c r="N228">
        <f t="shared" si="10"/>
        <v>88559</v>
      </c>
      <c r="O228" t="str">
        <f t="shared" si="11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9"/>
        <v>891</v>
      </c>
      <c r="M229">
        <f t="shared" si="9"/>
        <v>900</v>
      </c>
      <c r="N229">
        <f t="shared" si="10"/>
        <v>93400</v>
      </c>
      <c r="O229" t="str">
        <f t="shared" si="11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9"/>
        <v>891</v>
      </c>
      <c r="M230">
        <f t="shared" si="9"/>
        <v>945</v>
      </c>
      <c r="N230">
        <f t="shared" si="10"/>
        <v>98262</v>
      </c>
      <c r="O230" t="str">
        <f t="shared" si="11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9"/>
        <v>891</v>
      </c>
      <c r="M231">
        <f t="shared" si="9"/>
        <v>990</v>
      </c>
      <c r="N231">
        <f t="shared" si="10"/>
        <v>103145</v>
      </c>
      <c r="O231" t="str">
        <f t="shared" si="11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9"/>
        <v>1188</v>
      </c>
      <c r="M232">
        <f t="shared" si="9"/>
        <v>-990</v>
      </c>
      <c r="N232">
        <f t="shared" si="10"/>
        <v>-110110</v>
      </c>
      <c r="O232" t="str">
        <f t="shared" si="11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9"/>
        <v>1188</v>
      </c>
      <c r="M233">
        <f t="shared" si="9"/>
        <v>-945</v>
      </c>
      <c r="N233">
        <f t="shared" si="10"/>
        <v>-105329</v>
      </c>
      <c r="O233" t="str">
        <f t="shared" si="11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9"/>
        <v>1188</v>
      </c>
      <c r="M234">
        <f t="shared" si="9"/>
        <v>-900</v>
      </c>
      <c r="N234">
        <f t="shared" si="10"/>
        <v>-100523</v>
      </c>
      <c r="O234" t="str">
        <f t="shared" si="11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9"/>
        <v>1188</v>
      </c>
      <c r="M235">
        <f t="shared" si="9"/>
        <v>-855</v>
      </c>
      <c r="N235">
        <f t="shared" si="10"/>
        <v>-95691</v>
      </c>
      <c r="O235" t="str">
        <f t="shared" si="11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9"/>
        <v>1188</v>
      </c>
      <c r="M236">
        <f t="shared" si="9"/>
        <v>-810</v>
      </c>
      <c r="N236">
        <f t="shared" si="10"/>
        <v>-90834</v>
      </c>
      <c r="O236" t="str">
        <f t="shared" si="11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9"/>
        <v>1188</v>
      </c>
      <c r="M237">
        <f t="shared" si="9"/>
        <v>-765</v>
      </c>
      <c r="N237">
        <f t="shared" si="10"/>
        <v>-85952</v>
      </c>
      <c r="O237" t="str">
        <f t="shared" si="11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9"/>
        <v>1188</v>
      </c>
      <c r="M238">
        <f t="shared" si="9"/>
        <v>-720</v>
      </c>
      <c r="N238">
        <f t="shared" si="10"/>
        <v>-81044</v>
      </c>
      <c r="O238" t="str">
        <f t="shared" si="11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9"/>
        <v>1188</v>
      </c>
      <c r="M239">
        <f t="shared" si="9"/>
        <v>-675</v>
      </c>
      <c r="N239">
        <f t="shared" si="10"/>
        <v>-76110</v>
      </c>
      <c r="O239" t="str">
        <f t="shared" si="11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9"/>
        <v>1188</v>
      </c>
      <c r="M240">
        <f t="shared" si="9"/>
        <v>-630</v>
      </c>
      <c r="N240">
        <f t="shared" si="10"/>
        <v>-71151</v>
      </c>
      <c r="O240" t="str">
        <f t="shared" si="11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9"/>
        <v>1188</v>
      </c>
      <c r="M241">
        <f t="shared" si="9"/>
        <v>-585</v>
      </c>
      <c r="N241">
        <f t="shared" si="10"/>
        <v>-66166</v>
      </c>
      <c r="O241" t="str">
        <f t="shared" si="11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9"/>
        <v>1188</v>
      </c>
      <c r="M242">
        <f t="shared" si="9"/>
        <v>-540</v>
      </c>
      <c r="N242">
        <f t="shared" si="10"/>
        <v>-61156</v>
      </c>
      <c r="O242" t="str">
        <f t="shared" si="11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9"/>
        <v>1188</v>
      </c>
      <c r="M243">
        <f t="shared" si="9"/>
        <v>-495</v>
      </c>
      <c r="N243">
        <f t="shared" si="10"/>
        <v>-56120</v>
      </c>
      <c r="O243" t="str">
        <f t="shared" si="11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9"/>
        <v>1188</v>
      </c>
      <c r="M244">
        <f t="shared" si="9"/>
        <v>-450</v>
      </c>
      <c r="N244">
        <f t="shared" si="10"/>
        <v>-51059</v>
      </c>
      <c r="O244" t="str">
        <f t="shared" si="11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9"/>
        <v>1188</v>
      </c>
      <c r="M245">
        <f t="shared" si="9"/>
        <v>-405</v>
      </c>
      <c r="N245">
        <f t="shared" si="10"/>
        <v>-45972</v>
      </c>
      <c r="O245" t="str">
        <f t="shared" si="11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9"/>
        <v>1188</v>
      </c>
      <c r="M246">
        <f t="shared" si="9"/>
        <v>-360</v>
      </c>
      <c r="N246">
        <f t="shared" si="10"/>
        <v>-40859</v>
      </c>
      <c r="O246" t="str">
        <f t="shared" si="11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9"/>
        <v>1188</v>
      </c>
      <c r="M247">
        <f t="shared" si="9"/>
        <v>-315</v>
      </c>
      <c r="N247">
        <f t="shared" si="10"/>
        <v>-35721</v>
      </c>
      <c r="O247" t="str">
        <f t="shared" si="11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9"/>
        <v>1188</v>
      </c>
      <c r="M248">
        <f t="shared" si="9"/>
        <v>-270</v>
      </c>
      <c r="N248">
        <f t="shared" si="10"/>
        <v>-30558</v>
      </c>
      <c r="O248" t="str">
        <f t="shared" si="11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9"/>
        <v>1188</v>
      </c>
      <c r="M249">
        <f t="shared" si="9"/>
        <v>-225</v>
      </c>
      <c r="N249">
        <f t="shared" si="10"/>
        <v>-25369</v>
      </c>
      <c r="O249" t="str">
        <f t="shared" si="11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9"/>
        <v>1188</v>
      </c>
      <c r="M250">
        <f t="shared" si="9"/>
        <v>-180</v>
      </c>
      <c r="N250">
        <f t="shared" si="10"/>
        <v>-20154</v>
      </c>
      <c r="O250" t="str">
        <f t="shared" si="11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9"/>
        <v>1188</v>
      </c>
      <c r="M251">
        <f t="shared" si="9"/>
        <v>-135</v>
      </c>
      <c r="N251">
        <f t="shared" si="10"/>
        <v>-14914</v>
      </c>
      <c r="O251" t="str">
        <f t="shared" si="11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9"/>
        <v>1188</v>
      </c>
      <c r="M252">
        <f t="shared" si="9"/>
        <v>-90</v>
      </c>
      <c r="N252">
        <f t="shared" si="10"/>
        <v>-9649</v>
      </c>
      <c r="O252" t="str">
        <f t="shared" si="11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9"/>
        <v>1188</v>
      </c>
      <c r="M253">
        <f t="shared" si="9"/>
        <v>-45</v>
      </c>
      <c r="N253">
        <f t="shared" si="10"/>
        <v>-4358</v>
      </c>
      <c r="O253" t="str">
        <f t="shared" si="11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9"/>
        <v>1188</v>
      </c>
      <c r="M254">
        <f t="shared" si="9"/>
        <v>-9</v>
      </c>
      <c r="N254">
        <f t="shared" si="10"/>
        <v>-107</v>
      </c>
      <c r="O254" t="str">
        <f t="shared" si="11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9"/>
        <v>1188</v>
      </c>
      <c r="M255">
        <f t="shared" si="9"/>
        <v>9</v>
      </c>
      <c r="N255">
        <f t="shared" si="10"/>
        <v>2217</v>
      </c>
      <c r="O255" t="str">
        <f t="shared" si="11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9"/>
        <v>1188</v>
      </c>
      <c r="M256">
        <f t="shared" si="9"/>
        <v>45</v>
      </c>
      <c r="N256">
        <f t="shared" si="10"/>
        <v>6935</v>
      </c>
      <c r="O256" t="str">
        <f t="shared" si="11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9"/>
        <v>1188</v>
      </c>
      <c r="M257">
        <f t="shared" si="9"/>
        <v>90</v>
      </c>
      <c r="N257">
        <f t="shared" si="10"/>
        <v>12857</v>
      </c>
      <c r="O257" t="str">
        <f t="shared" si="11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9"/>
        <v>1188</v>
      </c>
      <c r="M258">
        <f t="shared" si="9"/>
        <v>135</v>
      </c>
      <c r="N258">
        <f t="shared" si="10"/>
        <v>18806</v>
      </c>
      <c r="O258" t="str">
        <f t="shared" si="11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M322" si="12">A259</f>
        <v>1188</v>
      </c>
      <c r="M259">
        <f t="shared" si="12"/>
        <v>180</v>
      </c>
      <c r="N259">
        <f t="shared" ref="N259:N322" si="13">C259*1000</f>
        <v>24784</v>
      </c>
      <c r="O259" t="str">
        <f t="shared" ref="O259:O322" si="14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2"/>
        <v>1188</v>
      </c>
      <c r="M260">
        <f t="shared" si="12"/>
        <v>225</v>
      </c>
      <c r="N260">
        <f t="shared" si="13"/>
        <v>30789</v>
      </c>
      <c r="O260" t="str">
        <f t="shared" si="14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2"/>
        <v>1188</v>
      </c>
      <c r="M261">
        <f t="shared" si="12"/>
        <v>270</v>
      </c>
      <c r="N261">
        <f t="shared" si="13"/>
        <v>36821</v>
      </c>
      <c r="O261" t="str">
        <f t="shared" si="14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2"/>
        <v>1188</v>
      </c>
      <c r="M262">
        <f t="shared" si="12"/>
        <v>315</v>
      </c>
      <c r="N262">
        <f t="shared" si="13"/>
        <v>42882</v>
      </c>
      <c r="O262" t="str">
        <f t="shared" si="14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2"/>
        <v>1188</v>
      </c>
      <c r="M263">
        <f t="shared" si="12"/>
        <v>360</v>
      </c>
      <c r="N263">
        <f t="shared" si="13"/>
        <v>48970</v>
      </c>
      <c r="O263" t="str">
        <f t="shared" si="14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2"/>
        <v>1188</v>
      </c>
      <c r="M264">
        <f t="shared" si="12"/>
        <v>405</v>
      </c>
      <c r="N264">
        <f t="shared" si="13"/>
        <v>55086</v>
      </c>
      <c r="O264" t="str">
        <f t="shared" si="14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2"/>
        <v>1188</v>
      </c>
      <c r="M265">
        <f t="shared" si="12"/>
        <v>450</v>
      </c>
      <c r="N265">
        <f t="shared" si="13"/>
        <v>61230</v>
      </c>
      <c r="O265" t="str">
        <f t="shared" si="14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2"/>
        <v>1188</v>
      </c>
      <c r="M266">
        <f t="shared" si="12"/>
        <v>495</v>
      </c>
      <c r="N266">
        <f t="shared" si="13"/>
        <v>67401</v>
      </c>
      <c r="O266" t="str">
        <f t="shared" si="14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2"/>
        <v>1188</v>
      </c>
      <c r="M267">
        <f t="shared" si="12"/>
        <v>540</v>
      </c>
      <c r="N267">
        <f t="shared" si="13"/>
        <v>73600</v>
      </c>
      <c r="O267" t="str">
        <f t="shared" si="14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2"/>
        <v>1188</v>
      </c>
      <c r="M268">
        <f t="shared" si="12"/>
        <v>585</v>
      </c>
      <c r="N268">
        <f t="shared" si="13"/>
        <v>79826</v>
      </c>
      <c r="O268" t="str">
        <f t="shared" si="14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2"/>
        <v>1188</v>
      </c>
      <c r="M269">
        <f t="shared" si="12"/>
        <v>630</v>
      </c>
      <c r="N269">
        <f t="shared" si="13"/>
        <v>86081</v>
      </c>
      <c r="O269" t="str">
        <f t="shared" si="14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2"/>
        <v>1188</v>
      </c>
      <c r="M270">
        <f t="shared" si="12"/>
        <v>675</v>
      </c>
      <c r="N270">
        <f t="shared" si="13"/>
        <v>92363</v>
      </c>
      <c r="O270" t="str">
        <f t="shared" si="14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2"/>
        <v>1188</v>
      </c>
      <c r="M271">
        <f t="shared" si="12"/>
        <v>720</v>
      </c>
      <c r="N271">
        <f t="shared" si="13"/>
        <v>98673</v>
      </c>
      <c r="O271" t="str">
        <f t="shared" si="14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2"/>
        <v>1188</v>
      </c>
      <c r="M272">
        <f t="shared" si="12"/>
        <v>765</v>
      </c>
      <c r="N272">
        <f t="shared" si="13"/>
        <v>105010</v>
      </c>
      <c r="O272" t="str">
        <f t="shared" si="14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2"/>
        <v>1188</v>
      </c>
      <c r="M273">
        <f t="shared" si="12"/>
        <v>810</v>
      </c>
      <c r="N273">
        <f t="shared" si="13"/>
        <v>111375</v>
      </c>
      <c r="O273" t="str">
        <f t="shared" si="14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2"/>
        <v>1188</v>
      </c>
      <c r="M274">
        <f t="shared" si="12"/>
        <v>855</v>
      </c>
      <c r="N274">
        <f t="shared" si="13"/>
        <v>117768</v>
      </c>
      <c r="O274" t="str">
        <f t="shared" si="14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2"/>
        <v>1188</v>
      </c>
      <c r="M275">
        <f t="shared" si="12"/>
        <v>900</v>
      </c>
      <c r="N275">
        <f t="shared" si="13"/>
        <v>124189</v>
      </c>
      <c r="O275" t="str">
        <f t="shared" si="14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2"/>
        <v>1188</v>
      </c>
      <c r="M276">
        <f t="shared" si="12"/>
        <v>945</v>
      </c>
      <c r="N276">
        <f t="shared" si="13"/>
        <v>130637</v>
      </c>
      <c r="O276" t="str">
        <f t="shared" si="14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2"/>
        <v>1188</v>
      </c>
      <c r="M277">
        <f t="shared" si="12"/>
        <v>990</v>
      </c>
      <c r="N277">
        <f t="shared" si="13"/>
        <v>137113</v>
      </c>
      <c r="O277" t="str">
        <f t="shared" si="14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2"/>
        <v>1485</v>
      </c>
      <c r="M278">
        <f t="shared" si="12"/>
        <v>-990</v>
      </c>
      <c r="N278">
        <f t="shared" si="13"/>
        <v>-137428</v>
      </c>
      <c r="O278" t="str">
        <f t="shared" si="14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2"/>
        <v>1485</v>
      </c>
      <c r="M279">
        <f t="shared" si="12"/>
        <v>-945</v>
      </c>
      <c r="N279">
        <f t="shared" si="13"/>
        <v>-131463</v>
      </c>
      <c r="O279" t="str">
        <f t="shared" si="14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2"/>
        <v>1485</v>
      </c>
      <c r="M280">
        <f t="shared" si="12"/>
        <v>-900</v>
      </c>
      <c r="N280">
        <f t="shared" si="13"/>
        <v>-125465</v>
      </c>
      <c r="O280" t="str">
        <f t="shared" si="14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2"/>
        <v>1485</v>
      </c>
      <c r="M281">
        <f t="shared" si="12"/>
        <v>-855</v>
      </c>
      <c r="N281">
        <f t="shared" si="13"/>
        <v>-119434</v>
      </c>
      <c r="O281" t="str">
        <f t="shared" si="14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2"/>
        <v>1485</v>
      </c>
      <c r="M282">
        <f t="shared" si="12"/>
        <v>-810</v>
      </c>
      <c r="N282">
        <f t="shared" si="13"/>
        <v>-113370</v>
      </c>
      <c r="O282" t="str">
        <f t="shared" si="14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2"/>
        <v>1485</v>
      </c>
      <c r="M283">
        <f t="shared" si="12"/>
        <v>-765</v>
      </c>
      <c r="N283">
        <f t="shared" si="13"/>
        <v>-107273</v>
      </c>
      <c r="O283" t="str">
        <f t="shared" si="14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2"/>
        <v>1485</v>
      </c>
      <c r="M284">
        <f t="shared" si="12"/>
        <v>-720</v>
      </c>
      <c r="N284">
        <f t="shared" si="13"/>
        <v>-101143</v>
      </c>
      <c r="O284" t="str">
        <f t="shared" si="14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2"/>
        <v>1485</v>
      </c>
      <c r="M285">
        <f t="shared" si="12"/>
        <v>-675</v>
      </c>
      <c r="N285">
        <f t="shared" si="13"/>
        <v>-94981</v>
      </c>
      <c r="O285" t="str">
        <f t="shared" si="14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2"/>
        <v>1485</v>
      </c>
      <c r="M286">
        <f t="shared" si="12"/>
        <v>-630</v>
      </c>
      <c r="N286">
        <f t="shared" si="13"/>
        <v>-88785</v>
      </c>
      <c r="O286" t="str">
        <f t="shared" si="14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2"/>
        <v>1485</v>
      </c>
      <c r="M287">
        <f t="shared" si="12"/>
        <v>-585</v>
      </c>
      <c r="N287">
        <f t="shared" si="13"/>
        <v>-82556</v>
      </c>
      <c r="O287" t="str">
        <f t="shared" si="14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2"/>
        <v>1485</v>
      </c>
      <c r="M288">
        <f t="shared" si="12"/>
        <v>-540</v>
      </c>
      <c r="N288">
        <f t="shared" si="13"/>
        <v>-76295</v>
      </c>
      <c r="O288" t="str">
        <f t="shared" si="14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2"/>
        <v>1485</v>
      </c>
      <c r="M289">
        <f t="shared" si="12"/>
        <v>-495</v>
      </c>
      <c r="N289">
        <f t="shared" si="13"/>
        <v>-70000</v>
      </c>
      <c r="O289" t="str">
        <f t="shared" si="14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2"/>
        <v>1485</v>
      </c>
      <c r="M290">
        <f t="shared" si="12"/>
        <v>-450</v>
      </c>
      <c r="N290">
        <f t="shared" si="13"/>
        <v>-63673</v>
      </c>
      <c r="O290" t="str">
        <f t="shared" si="14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2"/>
        <v>1485</v>
      </c>
      <c r="M291">
        <f t="shared" si="12"/>
        <v>-405</v>
      </c>
      <c r="N291">
        <f t="shared" si="13"/>
        <v>-57313</v>
      </c>
      <c r="O291" t="str">
        <f t="shared" si="14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2"/>
        <v>1485</v>
      </c>
      <c r="M292">
        <f t="shared" si="12"/>
        <v>-360</v>
      </c>
      <c r="N292">
        <f t="shared" si="13"/>
        <v>-50920</v>
      </c>
      <c r="O292" t="str">
        <f t="shared" si="14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2"/>
        <v>1485</v>
      </c>
      <c r="M293">
        <f t="shared" si="12"/>
        <v>-315</v>
      </c>
      <c r="N293">
        <f t="shared" si="13"/>
        <v>-44494</v>
      </c>
      <c r="O293" t="str">
        <f t="shared" si="14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2"/>
        <v>1485</v>
      </c>
      <c r="M294">
        <f t="shared" si="12"/>
        <v>-270</v>
      </c>
      <c r="N294">
        <f t="shared" si="13"/>
        <v>-38035</v>
      </c>
      <c r="O294" t="str">
        <f t="shared" si="14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2"/>
        <v>1485</v>
      </c>
      <c r="M295">
        <f t="shared" si="12"/>
        <v>-225</v>
      </c>
      <c r="N295">
        <f t="shared" si="13"/>
        <v>-31543</v>
      </c>
      <c r="O295" t="str">
        <f t="shared" si="14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2"/>
        <v>1485</v>
      </c>
      <c r="M296">
        <f t="shared" si="12"/>
        <v>-180</v>
      </c>
      <c r="N296">
        <f t="shared" si="13"/>
        <v>-25018</v>
      </c>
      <c r="O296" t="str">
        <f t="shared" si="14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2"/>
        <v>1485</v>
      </c>
      <c r="M297">
        <f t="shared" si="12"/>
        <v>-135</v>
      </c>
      <c r="N297">
        <f t="shared" si="13"/>
        <v>-18460</v>
      </c>
      <c r="O297" t="str">
        <f t="shared" si="14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2"/>
        <v>1485</v>
      </c>
      <c r="M298">
        <f t="shared" si="12"/>
        <v>-90</v>
      </c>
      <c r="N298">
        <f t="shared" si="13"/>
        <v>-11869</v>
      </c>
      <c r="O298" t="str">
        <f t="shared" si="14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2"/>
        <v>1485</v>
      </c>
      <c r="M299">
        <f t="shared" si="12"/>
        <v>-45</v>
      </c>
      <c r="N299">
        <f t="shared" si="13"/>
        <v>-5246</v>
      </c>
      <c r="O299" t="str">
        <f t="shared" si="14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2"/>
        <v>1485</v>
      </c>
      <c r="M300">
        <f t="shared" si="12"/>
        <v>-9</v>
      </c>
      <c r="N300">
        <f t="shared" si="13"/>
        <v>0</v>
      </c>
      <c r="O300" t="str">
        <f t="shared" si="14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2"/>
        <v>1485</v>
      </c>
      <c r="M301">
        <f t="shared" si="12"/>
        <v>9</v>
      </c>
      <c r="N301">
        <f t="shared" si="13"/>
        <v>2999</v>
      </c>
      <c r="O301" t="str">
        <f t="shared" si="14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2"/>
        <v>1485</v>
      </c>
      <c r="M302">
        <f t="shared" si="12"/>
        <v>45</v>
      </c>
      <c r="N302">
        <f t="shared" si="13"/>
        <v>8887</v>
      </c>
      <c r="O302" t="str">
        <f t="shared" si="14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2"/>
        <v>1485</v>
      </c>
      <c r="M303">
        <f t="shared" si="12"/>
        <v>90</v>
      </c>
      <c r="N303">
        <f t="shared" si="13"/>
        <v>16279</v>
      </c>
      <c r="O303" t="str">
        <f t="shared" si="14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2"/>
        <v>1485</v>
      </c>
      <c r="M304">
        <f t="shared" si="12"/>
        <v>135</v>
      </c>
      <c r="N304">
        <f t="shared" si="13"/>
        <v>23706</v>
      </c>
      <c r="O304" t="str">
        <f t="shared" si="14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2"/>
        <v>1485</v>
      </c>
      <c r="M305">
        <f t="shared" si="12"/>
        <v>180</v>
      </c>
      <c r="N305">
        <f t="shared" si="13"/>
        <v>31170</v>
      </c>
      <c r="O305" t="str">
        <f t="shared" si="14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2"/>
        <v>1485</v>
      </c>
      <c r="M306">
        <f t="shared" si="12"/>
        <v>225</v>
      </c>
      <c r="N306">
        <f t="shared" si="13"/>
        <v>38669</v>
      </c>
      <c r="O306" t="str">
        <f t="shared" si="14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2"/>
        <v>1485</v>
      </c>
      <c r="M307">
        <f t="shared" si="12"/>
        <v>270</v>
      </c>
      <c r="N307">
        <f t="shared" si="13"/>
        <v>46204</v>
      </c>
      <c r="O307" t="str">
        <f t="shared" si="14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2"/>
        <v>1485</v>
      </c>
      <c r="M308">
        <f t="shared" si="12"/>
        <v>315</v>
      </c>
      <c r="N308">
        <f t="shared" si="13"/>
        <v>53774</v>
      </c>
      <c r="O308" t="str">
        <f t="shared" si="14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2"/>
        <v>1485</v>
      </c>
      <c r="M309">
        <f t="shared" si="12"/>
        <v>360</v>
      </c>
      <c r="N309">
        <f t="shared" si="13"/>
        <v>61380</v>
      </c>
      <c r="O309" t="str">
        <f t="shared" si="14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2"/>
        <v>1485</v>
      </c>
      <c r="M310">
        <f t="shared" si="12"/>
        <v>405</v>
      </c>
      <c r="N310">
        <f t="shared" si="13"/>
        <v>69022</v>
      </c>
      <c r="O310" t="str">
        <f t="shared" si="14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2"/>
        <v>1485</v>
      </c>
      <c r="M311">
        <f t="shared" si="12"/>
        <v>450</v>
      </c>
      <c r="N311">
        <f t="shared" si="13"/>
        <v>76700</v>
      </c>
      <c r="O311" t="str">
        <f t="shared" si="14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2"/>
        <v>1485</v>
      </c>
      <c r="M312">
        <f t="shared" si="12"/>
        <v>495</v>
      </c>
      <c r="N312">
        <f t="shared" si="13"/>
        <v>84413</v>
      </c>
      <c r="O312" t="str">
        <f t="shared" si="14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2"/>
        <v>1485</v>
      </c>
      <c r="M313">
        <f t="shared" si="12"/>
        <v>540</v>
      </c>
      <c r="N313">
        <f t="shared" si="13"/>
        <v>92162</v>
      </c>
      <c r="O313" t="str">
        <f t="shared" si="14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2"/>
        <v>1485</v>
      </c>
      <c r="M314">
        <f t="shared" si="12"/>
        <v>585</v>
      </c>
      <c r="N314">
        <f t="shared" si="13"/>
        <v>99947</v>
      </c>
      <c r="O314" t="str">
        <f t="shared" si="14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2"/>
        <v>1485</v>
      </c>
      <c r="M315">
        <f t="shared" si="12"/>
        <v>630</v>
      </c>
      <c r="N315">
        <f t="shared" si="13"/>
        <v>107768</v>
      </c>
      <c r="O315" t="str">
        <f t="shared" si="14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2"/>
        <v>1485</v>
      </c>
      <c r="M316">
        <f t="shared" si="12"/>
        <v>675</v>
      </c>
      <c r="N316">
        <f t="shared" si="13"/>
        <v>115624</v>
      </c>
      <c r="O316" t="str">
        <f t="shared" si="14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2"/>
        <v>1485</v>
      </c>
      <c r="M317">
        <f t="shared" si="12"/>
        <v>720</v>
      </c>
      <c r="N317">
        <f t="shared" si="13"/>
        <v>123516</v>
      </c>
      <c r="O317" t="str">
        <f t="shared" si="14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2"/>
        <v>1485</v>
      </c>
      <c r="M318">
        <f t="shared" si="12"/>
        <v>765</v>
      </c>
      <c r="N318">
        <f t="shared" si="13"/>
        <v>131443</v>
      </c>
      <c r="O318" t="str">
        <f t="shared" si="14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2"/>
        <v>1485</v>
      </c>
      <c r="M319">
        <f t="shared" si="12"/>
        <v>810</v>
      </c>
      <c r="N319">
        <f t="shared" si="13"/>
        <v>139407</v>
      </c>
      <c r="O319" t="str">
        <f t="shared" si="14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2"/>
        <v>1485</v>
      </c>
      <c r="M320">
        <f t="shared" si="12"/>
        <v>855</v>
      </c>
      <c r="N320">
        <f t="shared" si="13"/>
        <v>147406</v>
      </c>
      <c r="O320" t="str">
        <f t="shared" si="14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2"/>
        <v>1485</v>
      </c>
      <c r="M321">
        <f t="shared" si="12"/>
        <v>900</v>
      </c>
      <c r="N321">
        <f t="shared" si="13"/>
        <v>155441</v>
      </c>
      <c r="O321" t="str">
        <f t="shared" si="14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2"/>
        <v>1485</v>
      </c>
      <c r="M322">
        <f t="shared" si="12"/>
        <v>945</v>
      </c>
      <c r="N322">
        <f t="shared" si="13"/>
        <v>163511</v>
      </c>
      <c r="O322" t="str">
        <f t="shared" si="14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M386" si="15">A323</f>
        <v>1485</v>
      </c>
      <c r="M323">
        <f t="shared" si="15"/>
        <v>990</v>
      </c>
      <c r="N323">
        <f t="shared" ref="N323:N386" si="16">C323*1000</f>
        <v>171618</v>
      </c>
      <c r="O323" t="str">
        <f t="shared" ref="O323:O386" si="17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15"/>
        <v>1782</v>
      </c>
      <c r="M324">
        <f t="shared" si="15"/>
        <v>-990</v>
      </c>
      <c r="N324">
        <f t="shared" si="16"/>
        <v>-164233</v>
      </c>
      <c r="O324" t="str">
        <f t="shared" si="17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15"/>
        <v>1782</v>
      </c>
      <c r="M325">
        <f t="shared" si="15"/>
        <v>-945</v>
      </c>
      <c r="N325">
        <f t="shared" si="16"/>
        <v>-157118</v>
      </c>
      <c r="O325" t="str">
        <f t="shared" si="17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15"/>
        <v>1782</v>
      </c>
      <c r="M326">
        <f t="shared" si="15"/>
        <v>-900</v>
      </c>
      <c r="N326">
        <f t="shared" si="16"/>
        <v>-149961</v>
      </c>
      <c r="O326" t="str">
        <f t="shared" si="17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15"/>
        <v>1782</v>
      </c>
      <c r="M327">
        <f t="shared" si="15"/>
        <v>-855</v>
      </c>
      <c r="N327">
        <f t="shared" si="16"/>
        <v>-142762</v>
      </c>
      <c r="O327" t="str">
        <f t="shared" si="17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15"/>
        <v>1782</v>
      </c>
      <c r="M328">
        <f t="shared" si="15"/>
        <v>-810</v>
      </c>
      <c r="N328">
        <f t="shared" si="16"/>
        <v>-135521</v>
      </c>
      <c r="O328" t="str">
        <f t="shared" si="17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15"/>
        <v>1782</v>
      </c>
      <c r="M329">
        <f t="shared" si="15"/>
        <v>-765</v>
      </c>
      <c r="N329">
        <f t="shared" si="16"/>
        <v>-128238</v>
      </c>
      <c r="O329" t="str">
        <f t="shared" si="17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15"/>
        <v>1782</v>
      </c>
      <c r="M330">
        <f t="shared" si="15"/>
        <v>-720</v>
      </c>
      <c r="N330">
        <f t="shared" si="16"/>
        <v>-120913</v>
      </c>
      <c r="O330" t="str">
        <f t="shared" si="17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15"/>
        <v>1782</v>
      </c>
      <c r="M331">
        <f t="shared" si="15"/>
        <v>-675</v>
      </c>
      <c r="N331">
        <f t="shared" si="16"/>
        <v>-113546</v>
      </c>
      <c r="O331" t="str">
        <f t="shared" si="17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15"/>
        <v>1782</v>
      </c>
      <c r="M332">
        <f t="shared" si="15"/>
        <v>-630</v>
      </c>
      <c r="N332">
        <f t="shared" si="16"/>
        <v>-106137</v>
      </c>
      <c r="O332" t="str">
        <f t="shared" si="17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15"/>
        <v>1782</v>
      </c>
      <c r="M333">
        <f t="shared" si="15"/>
        <v>-585</v>
      </c>
      <c r="N333">
        <f t="shared" si="16"/>
        <v>-98687</v>
      </c>
      <c r="O333" t="str">
        <f t="shared" si="17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15"/>
        <v>1782</v>
      </c>
      <c r="M334">
        <f t="shared" si="15"/>
        <v>-540</v>
      </c>
      <c r="N334">
        <f t="shared" si="16"/>
        <v>-91194</v>
      </c>
      <c r="O334" t="str">
        <f t="shared" si="17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15"/>
        <v>1782</v>
      </c>
      <c r="M335">
        <f t="shared" si="15"/>
        <v>-495</v>
      </c>
      <c r="N335">
        <f t="shared" si="16"/>
        <v>-83660</v>
      </c>
      <c r="O335" t="str">
        <f t="shared" si="17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15"/>
        <v>1782</v>
      </c>
      <c r="M336">
        <f t="shared" si="15"/>
        <v>-450</v>
      </c>
      <c r="N336">
        <f t="shared" si="16"/>
        <v>-76083</v>
      </c>
      <c r="O336" t="str">
        <f t="shared" si="17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15"/>
        <v>1782</v>
      </c>
      <c r="M337">
        <f t="shared" si="15"/>
        <v>-405</v>
      </c>
      <c r="N337">
        <f t="shared" si="16"/>
        <v>-68465</v>
      </c>
      <c r="O337" t="str">
        <f t="shared" si="17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15"/>
        <v>1782</v>
      </c>
      <c r="M338">
        <f t="shared" si="15"/>
        <v>-360</v>
      </c>
      <c r="N338">
        <f t="shared" si="16"/>
        <v>-60805</v>
      </c>
      <c r="O338" t="str">
        <f t="shared" si="17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15"/>
        <v>1782</v>
      </c>
      <c r="M339">
        <f t="shared" si="15"/>
        <v>-315</v>
      </c>
      <c r="N339">
        <f t="shared" si="16"/>
        <v>-53103</v>
      </c>
      <c r="O339" t="str">
        <f t="shared" si="17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15"/>
        <v>1782</v>
      </c>
      <c r="M340">
        <f t="shared" si="15"/>
        <v>-270</v>
      </c>
      <c r="N340">
        <f t="shared" si="16"/>
        <v>-45358</v>
      </c>
      <c r="O340" t="str">
        <f t="shared" si="17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15"/>
        <v>1782</v>
      </c>
      <c r="M341">
        <f t="shared" si="15"/>
        <v>-225</v>
      </c>
      <c r="N341">
        <f t="shared" si="16"/>
        <v>-37572</v>
      </c>
      <c r="O341" t="str">
        <f t="shared" si="17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15"/>
        <v>1782</v>
      </c>
      <c r="M342">
        <f t="shared" si="15"/>
        <v>-180</v>
      </c>
      <c r="N342">
        <f t="shared" si="16"/>
        <v>-29745</v>
      </c>
      <c r="O342" t="str">
        <f t="shared" si="17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15"/>
        <v>1782</v>
      </c>
      <c r="M343">
        <f t="shared" si="15"/>
        <v>-135</v>
      </c>
      <c r="N343">
        <f t="shared" si="16"/>
        <v>-21875</v>
      </c>
      <c r="O343" t="str">
        <f t="shared" si="17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15"/>
        <v>1782</v>
      </c>
      <c r="M344">
        <f t="shared" si="15"/>
        <v>-90</v>
      </c>
      <c r="N344">
        <f t="shared" si="16"/>
        <v>-13963</v>
      </c>
      <c r="O344" t="str">
        <f t="shared" si="17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15"/>
        <v>1782</v>
      </c>
      <c r="M345">
        <f t="shared" si="15"/>
        <v>-45</v>
      </c>
      <c r="N345">
        <f t="shared" si="16"/>
        <v>-6009</v>
      </c>
      <c r="O345" t="str">
        <f t="shared" si="17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15"/>
        <v>1782</v>
      </c>
      <c r="M346">
        <f t="shared" si="15"/>
        <v>-9</v>
      </c>
      <c r="N346">
        <f t="shared" si="16"/>
        <v>0</v>
      </c>
      <c r="O346" t="str">
        <f t="shared" si="17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15"/>
        <v>1782</v>
      </c>
      <c r="M347">
        <f t="shared" si="15"/>
        <v>9</v>
      </c>
      <c r="N347">
        <f t="shared" si="16"/>
        <v>3916</v>
      </c>
      <c r="O347" t="str">
        <f t="shared" si="17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15"/>
        <v>1782</v>
      </c>
      <c r="M348">
        <f t="shared" si="15"/>
        <v>45</v>
      </c>
      <c r="N348">
        <f t="shared" si="16"/>
        <v>10974</v>
      </c>
      <c r="O348" t="str">
        <f t="shared" si="17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15"/>
        <v>1782</v>
      </c>
      <c r="M349">
        <f t="shared" si="15"/>
        <v>90</v>
      </c>
      <c r="N349">
        <f t="shared" si="16"/>
        <v>19839</v>
      </c>
      <c r="O349" t="str">
        <f t="shared" si="17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15"/>
        <v>1782</v>
      </c>
      <c r="M350">
        <f t="shared" si="15"/>
        <v>135</v>
      </c>
      <c r="N350">
        <f t="shared" si="16"/>
        <v>28749</v>
      </c>
      <c r="O350" t="str">
        <f t="shared" si="17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15"/>
        <v>1782</v>
      </c>
      <c r="M351">
        <f t="shared" si="15"/>
        <v>180</v>
      </c>
      <c r="N351">
        <f t="shared" si="16"/>
        <v>37704</v>
      </c>
      <c r="O351" t="str">
        <f t="shared" si="17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15"/>
        <v>1782</v>
      </c>
      <c r="M352">
        <f t="shared" si="15"/>
        <v>225</v>
      </c>
      <c r="N352">
        <f t="shared" si="16"/>
        <v>46705</v>
      </c>
      <c r="O352" t="str">
        <f t="shared" si="17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15"/>
        <v>1782</v>
      </c>
      <c r="M353">
        <f t="shared" si="15"/>
        <v>270</v>
      </c>
      <c r="N353">
        <f t="shared" si="16"/>
        <v>55751</v>
      </c>
      <c r="O353" t="str">
        <f t="shared" si="17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15"/>
        <v>1782</v>
      </c>
      <c r="M354">
        <f t="shared" si="15"/>
        <v>315</v>
      </c>
      <c r="N354">
        <f t="shared" si="16"/>
        <v>64843</v>
      </c>
      <c r="O354" t="str">
        <f t="shared" si="17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15"/>
        <v>1782</v>
      </c>
      <c r="M355">
        <f t="shared" si="15"/>
        <v>360</v>
      </c>
      <c r="N355">
        <f t="shared" si="16"/>
        <v>73981</v>
      </c>
      <c r="O355" t="str">
        <f t="shared" si="17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15"/>
        <v>1782</v>
      </c>
      <c r="M356">
        <f t="shared" si="15"/>
        <v>405</v>
      </c>
      <c r="N356">
        <f t="shared" si="16"/>
        <v>83163</v>
      </c>
      <c r="O356" t="str">
        <f t="shared" si="17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15"/>
        <v>1782</v>
      </c>
      <c r="M357">
        <f t="shared" si="15"/>
        <v>450</v>
      </c>
      <c r="N357">
        <f t="shared" si="16"/>
        <v>92392</v>
      </c>
      <c r="O357" t="str">
        <f t="shared" si="17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15"/>
        <v>1782</v>
      </c>
      <c r="M358">
        <f t="shared" si="15"/>
        <v>495</v>
      </c>
      <c r="N358">
        <f t="shared" si="16"/>
        <v>101666</v>
      </c>
      <c r="O358" t="str">
        <f t="shared" si="17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15"/>
        <v>1782</v>
      </c>
      <c r="M359">
        <f t="shared" si="15"/>
        <v>540</v>
      </c>
      <c r="N359">
        <f t="shared" si="16"/>
        <v>110985</v>
      </c>
      <c r="O359" t="str">
        <f t="shared" si="17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15"/>
        <v>1782</v>
      </c>
      <c r="M360">
        <f t="shared" si="15"/>
        <v>585</v>
      </c>
      <c r="N360">
        <f t="shared" si="16"/>
        <v>120350</v>
      </c>
      <c r="O360" t="str">
        <f t="shared" si="17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15"/>
        <v>1782</v>
      </c>
      <c r="M361">
        <f t="shared" si="15"/>
        <v>630</v>
      </c>
      <c r="N361">
        <f t="shared" si="16"/>
        <v>129759.99999999999</v>
      </c>
      <c r="O361" t="str">
        <f t="shared" si="17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15"/>
        <v>1782</v>
      </c>
      <c r="M362">
        <f t="shared" si="15"/>
        <v>675</v>
      </c>
      <c r="N362">
        <f t="shared" si="16"/>
        <v>139216</v>
      </c>
      <c r="O362" t="str">
        <f t="shared" si="17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15"/>
        <v>1782</v>
      </c>
      <c r="M363">
        <f t="shared" si="15"/>
        <v>720</v>
      </c>
      <c r="N363">
        <f t="shared" si="16"/>
        <v>148717</v>
      </c>
      <c r="O363" t="str">
        <f t="shared" si="17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15"/>
        <v>1782</v>
      </c>
      <c r="M364">
        <f t="shared" si="15"/>
        <v>765</v>
      </c>
      <c r="N364">
        <f t="shared" si="16"/>
        <v>158264</v>
      </c>
      <c r="O364" t="str">
        <f t="shared" si="17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15"/>
        <v>1782</v>
      </c>
      <c r="M365">
        <f t="shared" si="15"/>
        <v>810</v>
      </c>
      <c r="N365">
        <f t="shared" si="16"/>
        <v>167856</v>
      </c>
      <c r="O365" t="str">
        <f t="shared" si="17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15"/>
        <v>1782</v>
      </c>
      <c r="M366">
        <f t="shared" si="15"/>
        <v>855</v>
      </c>
      <c r="N366">
        <f t="shared" si="16"/>
        <v>177494</v>
      </c>
      <c r="O366" t="str">
        <f t="shared" si="17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15"/>
        <v>1782</v>
      </c>
      <c r="M367">
        <f t="shared" si="15"/>
        <v>900</v>
      </c>
      <c r="N367">
        <f t="shared" si="16"/>
        <v>187177</v>
      </c>
      <c r="O367" t="str">
        <f t="shared" si="17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15"/>
        <v>1782</v>
      </c>
      <c r="M368">
        <f t="shared" si="15"/>
        <v>945</v>
      </c>
      <c r="N368">
        <f t="shared" si="16"/>
        <v>196906</v>
      </c>
      <c r="O368" t="str">
        <f t="shared" si="17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15"/>
        <v>1782</v>
      </c>
      <c r="M369">
        <f t="shared" si="15"/>
        <v>990</v>
      </c>
      <c r="N369">
        <f t="shared" si="16"/>
        <v>206680</v>
      </c>
      <c r="O369" t="str">
        <f t="shared" si="17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15"/>
        <v>2079</v>
      </c>
      <c r="M370">
        <f t="shared" si="15"/>
        <v>-990</v>
      </c>
      <c r="N370">
        <f t="shared" si="16"/>
        <v>-190505</v>
      </c>
      <c r="O370" t="str">
        <f t="shared" si="17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15"/>
        <v>2079</v>
      </c>
      <c r="M371">
        <f t="shared" si="15"/>
        <v>-945</v>
      </c>
      <c r="N371">
        <f t="shared" si="16"/>
        <v>-182275</v>
      </c>
      <c r="O371" t="str">
        <f t="shared" si="17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15"/>
        <v>2079</v>
      </c>
      <c r="M372">
        <f t="shared" si="15"/>
        <v>-900</v>
      </c>
      <c r="N372">
        <f t="shared" si="16"/>
        <v>-173991</v>
      </c>
      <c r="O372" t="str">
        <f t="shared" si="17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15"/>
        <v>2079</v>
      </c>
      <c r="M373">
        <f t="shared" si="15"/>
        <v>-855</v>
      </c>
      <c r="N373">
        <f t="shared" si="16"/>
        <v>-165656</v>
      </c>
      <c r="O373" t="str">
        <f t="shared" si="17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15"/>
        <v>2079</v>
      </c>
      <c r="M374">
        <f t="shared" si="15"/>
        <v>-810</v>
      </c>
      <c r="N374">
        <f t="shared" si="16"/>
        <v>-157267</v>
      </c>
      <c r="O374" t="str">
        <f t="shared" si="17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15"/>
        <v>2079</v>
      </c>
      <c r="M375">
        <f t="shared" si="15"/>
        <v>-765</v>
      </c>
      <c r="N375">
        <f t="shared" si="16"/>
        <v>-148827</v>
      </c>
      <c r="O375" t="str">
        <f t="shared" si="17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15"/>
        <v>2079</v>
      </c>
      <c r="M376">
        <f t="shared" si="15"/>
        <v>-720</v>
      </c>
      <c r="N376">
        <f t="shared" si="16"/>
        <v>-140333</v>
      </c>
      <c r="O376" t="str">
        <f t="shared" si="17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15"/>
        <v>2079</v>
      </c>
      <c r="M377">
        <f t="shared" si="15"/>
        <v>-675</v>
      </c>
      <c r="N377">
        <f t="shared" si="16"/>
        <v>-131787</v>
      </c>
      <c r="O377" t="str">
        <f t="shared" si="17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15"/>
        <v>2079</v>
      </c>
      <c r="M378">
        <f t="shared" si="15"/>
        <v>-630</v>
      </c>
      <c r="N378">
        <f t="shared" si="16"/>
        <v>-123189</v>
      </c>
      <c r="O378" t="str">
        <f t="shared" si="17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15"/>
        <v>2079</v>
      </c>
      <c r="M379">
        <f t="shared" si="15"/>
        <v>-585</v>
      </c>
      <c r="N379">
        <f t="shared" si="16"/>
        <v>-114538</v>
      </c>
      <c r="O379" t="str">
        <f t="shared" si="17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15"/>
        <v>2079</v>
      </c>
      <c r="M380">
        <f t="shared" si="15"/>
        <v>-540</v>
      </c>
      <c r="N380">
        <f t="shared" si="16"/>
        <v>-105835</v>
      </c>
      <c r="O380" t="str">
        <f t="shared" si="17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15"/>
        <v>2079</v>
      </c>
      <c r="M381">
        <f t="shared" si="15"/>
        <v>-495</v>
      </c>
      <c r="N381">
        <f t="shared" si="16"/>
        <v>-97079</v>
      </c>
      <c r="O381" t="str">
        <f t="shared" si="17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15"/>
        <v>2079</v>
      </c>
      <c r="M382">
        <f t="shared" si="15"/>
        <v>-450</v>
      </c>
      <c r="N382">
        <f t="shared" si="16"/>
        <v>-88270</v>
      </c>
      <c r="O382" t="str">
        <f t="shared" si="17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15"/>
        <v>2079</v>
      </c>
      <c r="M383">
        <f t="shared" si="15"/>
        <v>-405</v>
      </c>
      <c r="N383">
        <f t="shared" si="16"/>
        <v>-79409</v>
      </c>
      <c r="O383" t="str">
        <f t="shared" si="17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15"/>
        <v>2079</v>
      </c>
      <c r="M384">
        <f t="shared" si="15"/>
        <v>-360</v>
      </c>
      <c r="N384">
        <f t="shared" si="16"/>
        <v>-70495</v>
      </c>
      <c r="O384" t="str">
        <f t="shared" si="17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15"/>
        <v>2079</v>
      </c>
      <c r="M385">
        <f t="shared" si="15"/>
        <v>-315</v>
      </c>
      <c r="N385">
        <f t="shared" si="16"/>
        <v>-61529</v>
      </c>
      <c r="O385" t="str">
        <f t="shared" si="17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15"/>
        <v>2079</v>
      </c>
      <c r="M386">
        <f t="shared" si="15"/>
        <v>-270</v>
      </c>
      <c r="N386">
        <f t="shared" si="16"/>
        <v>-52510</v>
      </c>
      <c r="O386" t="str">
        <f t="shared" si="17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M450" si="18">A387</f>
        <v>2079</v>
      </c>
      <c r="M387">
        <f t="shared" si="18"/>
        <v>-225</v>
      </c>
      <c r="N387">
        <f t="shared" ref="N387:N450" si="19">C387*1000</f>
        <v>-43439</v>
      </c>
      <c r="O387" t="str">
        <f t="shared" ref="O387:O450" si="20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18"/>
        <v>2079</v>
      </c>
      <c r="M388">
        <f t="shared" si="18"/>
        <v>-180</v>
      </c>
      <c r="N388">
        <f t="shared" si="19"/>
        <v>-34315</v>
      </c>
      <c r="O388" t="str">
        <f t="shared" si="20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18"/>
        <v>2079</v>
      </c>
      <c r="M389">
        <f t="shared" si="18"/>
        <v>-135</v>
      </c>
      <c r="N389">
        <f t="shared" si="19"/>
        <v>-25139</v>
      </c>
      <c r="O389" t="str">
        <f t="shared" si="20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18"/>
        <v>2079</v>
      </c>
      <c r="M390">
        <f t="shared" si="18"/>
        <v>-90</v>
      </c>
      <c r="N390">
        <f t="shared" si="19"/>
        <v>-15910</v>
      </c>
      <c r="O390" t="str">
        <f t="shared" si="20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18"/>
        <v>2079</v>
      </c>
      <c r="M391">
        <f t="shared" si="18"/>
        <v>-45</v>
      </c>
      <c r="N391">
        <f t="shared" si="19"/>
        <v>-6629</v>
      </c>
      <c r="O391" t="str">
        <f t="shared" si="20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18"/>
        <v>2079</v>
      </c>
      <c r="M392">
        <f t="shared" si="18"/>
        <v>-9</v>
      </c>
      <c r="N392">
        <f t="shared" si="19"/>
        <v>0</v>
      </c>
      <c r="O392" t="str">
        <f t="shared" si="20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18"/>
        <v>2079</v>
      </c>
      <c r="M393">
        <f t="shared" si="18"/>
        <v>9</v>
      </c>
      <c r="N393">
        <f t="shared" si="19"/>
        <v>4987</v>
      </c>
      <c r="O393" t="str">
        <f t="shared" si="20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18"/>
        <v>2079</v>
      </c>
      <c r="M394">
        <f t="shared" si="18"/>
        <v>45</v>
      </c>
      <c r="N394">
        <f t="shared" si="19"/>
        <v>13218</v>
      </c>
      <c r="O394" t="str">
        <f t="shared" si="20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18"/>
        <v>2079</v>
      </c>
      <c r="M395">
        <f t="shared" si="18"/>
        <v>90</v>
      </c>
      <c r="N395">
        <f t="shared" si="19"/>
        <v>23557</v>
      </c>
      <c r="O395" t="str">
        <f t="shared" si="20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18"/>
        <v>2079</v>
      </c>
      <c r="M396">
        <f t="shared" si="18"/>
        <v>135</v>
      </c>
      <c r="N396">
        <f t="shared" si="19"/>
        <v>33954</v>
      </c>
      <c r="O396" t="str">
        <f t="shared" si="20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18"/>
        <v>2079</v>
      </c>
      <c r="M397">
        <f t="shared" si="18"/>
        <v>180</v>
      </c>
      <c r="N397">
        <f t="shared" si="19"/>
        <v>44407</v>
      </c>
      <c r="O397" t="str">
        <f t="shared" si="20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18"/>
        <v>2079</v>
      </c>
      <c r="M398">
        <f t="shared" si="18"/>
        <v>225</v>
      </c>
      <c r="N398">
        <f t="shared" si="19"/>
        <v>54918</v>
      </c>
      <c r="O398" t="str">
        <f t="shared" si="20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18"/>
        <v>2079</v>
      </c>
      <c r="M399">
        <f t="shared" si="18"/>
        <v>270</v>
      </c>
      <c r="N399">
        <f t="shared" si="19"/>
        <v>65486.000000000007</v>
      </c>
      <c r="O399" t="str">
        <f t="shared" si="20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18"/>
        <v>2079</v>
      </c>
      <c r="M400">
        <f t="shared" si="18"/>
        <v>315</v>
      </c>
      <c r="N400">
        <f t="shared" si="19"/>
        <v>76110</v>
      </c>
      <c r="O400" t="str">
        <f t="shared" si="20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18"/>
        <v>2079</v>
      </c>
      <c r="M401">
        <f t="shared" si="18"/>
        <v>360</v>
      </c>
      <c r="N401">
        <f t="shared" si="19"/>
        <v>86792</v>
      </c>
      <c r="O401" t="str">
        <f t="shared" si="20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18"/>
        <v>2079</v>
      </c>
      <c r="M402">
        <f t="shared" si="18"/>
        <v>405</v>
      </c>
      <c r="N402">
        <f t="shared" si="19"/>
        <v>97531</v>
      </c>
      <c r="O402" t="str">
        <f t="shared" si="20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18"/>
        <v>2079</v>
      </c>
      <c r="M403">
        <f t="shared" si="18"/>
        <v>450</v>
      </c>
      <c r="N403">
        <f t="shared" si="19"/>
        <v>108326</v>
      </c>
      <c r="O403" t="str">
        <f t="shared" si="20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18"/>
        <v>2079</v>
      </c>
      <c r="M404">
        <f t="shared" si="18"/>
        <v>495</v>
      </c>
      <c r="N404">
        <f t="shared" si="19"/>
        <v>119179</v>
      </c>
      <c r="O404" t="str">
        <f t="shared" si="20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18"/>
        <v>2079</v>
      </c>
      <c r="M405">
        <f t="shared" si="18"/>
        <v>540</v>
      </c>
      <c r="N405">
        <f t="shared" si="19"/>
        <v>130089</v>
      </c>
      <c r="O405" t="str">
        <f t="shared" si="20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18"/>
        <v>2079</v>
      </c>
      <c r="M406">
        <f t="shared" si="18"/>
        <v>585</v>
      </c>
      <c r="N406">
        <f t="shared" si="19"/>
        <v>141055</v>
      </c>
      <c r="O406" t="str">
        <f t="shared" si="20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18"/>
        <v>2079</v>
      </c>
      <c r="M407">
        <f t="shared" si="18"/>
        <v>630</v>
      </c>
      <c r="N407">
        <f t="shared" si="19"/>
        <v>152079</v>
      </c>
      <c r="O407" t="str">
        <f t="shared" si="20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18"/>
        <v>2079</v>
      </c>
      <c r="M408">
        <f t="shared" si="18"/>
        <v>675</v>
      </c>
      <c r="N408">
        <f t="shared" si="19"/>
        <v>163160</v>
      </c>
      <c r="O408" t="str">
        <f t="shared" si="20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18"/>
        <v>2079</v>
      </c>
      <c r="M409">
        <f t="shared" si="18"/>
        <v>720</v>
      </c>
      <c r="N409">
        <f t="shared" si="19"/>
        <v>174297</v>
      </c>
      <c r="O409" t="str">
        <f t="shared" si="20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18"/>
        <v>2079</v>
      </c>
      <c r="M410">
        <f t="shared" si="18"/>
        <v>765</v>
      </c>
      <c r="N410">
        <f t="shared" si="19"/>
        <v>185492</v>
      </c>
      <c r="O410" t="str">
        <f t="shared" si="20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18"/>
        <v>2079</v>
      </c>
      <c r="M411">
        <f t="shared" si="18"/>
        <v>810</v>
      </c>
      <c r="N411">
        <f t="shared" si="19"/>
        <v>196744</v>
      </c>
      <c r="O411" t="str">
        <f t="shared" si="20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18"/>
        <v>2079</v>
      </c>
      <c r="M412">
        <f t="shared" si="18"/>
        <v>855</v>
      </c>
      <c r="N412">
        <f t="shared" si="19"/>
        <v>208052</v>
      </c>
      <c r="O412" t="str">
        <f t="shared" si="20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18"/>
        <v>2079</v>
      </c>
      <c r="M413">
        <f t="shared" si="18"/>
        <v>900</v>
      </c>
      <c r="N413">
        <f t="shared" si="19"/>
        <v>219418</v>
      </c>
      <c r="O413" t="str">
        <f t="shared" si="20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18"/>
        <v>2079</v>
      </c>
      <c r="M414">
        <f t="shared" si="18"/>
        <v>945</v>
      </c>
      <c r="N414">
        <f t="shared" si="19"/>
        <v>230841</v>
      </c>
      <c r="O414" t="str">
        <f t="shared" si="20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18"/>
        <v>2079</v>
      </c>
      <c r="M415">
        <f t="shared" si="18"/>
        <v>990</v>
      </c>
      <c r="N415">
        <f t="shared" si="19"/>
        <v>242320</v>
      </c>
      <c r="O415" t="str">
        <f t="shared" si="20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18"/>
        <v>2376</v>
      </c>
      <c r="M416">
        <f t="shared" si="18"/>
        <v>-990</v>
      </c>
      <c r="N416">
        <f t="shared" si="19"/>
        <v>-216225</v>
      </c>
      <c r="O416" t="str">
        <f t="shared" si="20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18"/>
        <v>2376</v>
      </c>
      <c r="M417">
        <f t="shared" si="18"/>
        <v>-945</v>
      </c>
      <c r="N417">
        <f t="shared" si="19"/>
        <v>-206913</v>
      </c>
      <c r="O417" t="str">
        <f t="shared" si="20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18"/>
        <v>2376</v>
      </c>
      <c r="M418">
        <f t="shared" si="18"/>
        <v>-900</v>
      </c>
      <c r="N418">
        <f t="shared" si="19"/>
        <v>-197537</v>
      </c>
      <c r="O418" t="str">
        <f t="shared" si="20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18"/>
        <v>2376</v>
      </c>
      <c r="M419">
        <f t="shared" si="18"/>
        <v>-855</v>
      </c>
      <c r="N419">
        <f t="shared" si="19"/>
        <v>-188096</v>
      </c>
      <c r="O419" t="str">
        <f t="shared" si="20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18"/>
        <v>2376</v>
      </c>
      <c r="M420">
        <f t="shared" si="18"/>
        <v>-810</v>
      </c>
      <c r="N420">
        <f t="shared" si="19"/>
        <v>-178591</v>
      </c>
      <c r="O420" t="str">
        <f t="shared" si="20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18"/>
        <v>2376</v>
      </c>
      <c r="M421">
        <f t="shared" si="18"/>
        <v>-765</v>
      </c>
      <c r="N421">
        <f t="shared" si="19"/>
        <v>-169020</v>
      </c>
      <c r="O421" t="str">
        <f t="shared" si="20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18"/>
        <v>2376</v>
      </c>
      <c r="M422">
        <f t="shared" si="18"/>
        <v>-720</v>
      </c>
      <c r="N422">
        <f t="shared" si="19"/>
        <v>-159385</v>
      </c>
      <c r="O422" t="str">
        <f t="shared" si="20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18"/>
        <v>2376</v>
      </c>
      <c r="M423">
        <f t="shared" si="18"/>
        <v>-675</v>
      </c>
      <c r="N423">
        <f t="shared" si="19"/>
        <v>-149685</v>
      </c>
      <c r="O423" t="str">
        <f t="shared" si="20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18"/>
        <v>2376</v>
      </c>
      <c r="M424">
        <f t="shared" si="18"/>
        <v>-630</v>
      </c>
      <c r="N424">
        <f t="shared" si="19"/>
        <v>-139920</v>
      </c>
      <c r="O424" t="str">
        <f t="shared" si="20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18"/>
        <v>2376</v>
      </c>
      <c r="M425">
        <f t="shared" si="18"/>
        <v>-585</v>
      </c>
      <c r="N425">
        <f t="shared" si="19"/>
        <v>-130091.00000000001</v>
      </c>
      <c r="O425" t="str">
        <f t="shared" si="20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18"/>
        <v>2376</v>
      </c>
      <c r="M426">
        <f t="shared" si="18"/>
        <v>-540</v>
      </c>
      <c r="N426">
        <f t="shared" si="19"/>
        <v>-120197</v>
      </c>
      <c r="O426" t="str">
        <f t="shared" si="20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18"/>
        <v>2376</v>
      </c>
      <c r="M427">
        <f t="shared" si="18"/>
        <v>-495</v>
      </c>
      <c r="N427">
        <f t="shared" si="19"/>
        <v>-110238</v>
      </c>
      <c r="O427" t="str">
        <f t="shared" si="20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18"/>
        <v>2376</v>
      </c>
      <c r="M428">
        <f t="shared" si="18"/>
        <v>-450</v>
      </c>
      <c r="N428">
        <f t="shared" si="19"/>
        <v>-100214</v>
      </c>
      <c r="O428" t="str">
        <f t="shared" si="20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18"/>
        <v>2376</v>
      </c>
      <c r="M429">
        <f t="shared" si="18"/>
        <v>-405</v>
      </c>
      <c r="N429">
        <f t="shared" si="19"/>
        <v>-90125</v>
      </c>
      <c r="O429" t="str">
        <f t="shared" si="20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18"/>
        <v>2376</v>
      </c>
      <c r="M430">
        <f t="shared" si="18"/>
        <v>-360</v>
      </c>
      <c r="N430">
        <f t="shared" si="19"/>
        <v>-79972</v>
      </c>
      <c r="O430" t="str">
        <f t="shared" si="20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18"/>
        <v>2376</v>
      </c>
      <c r="M431">
        <f t="shared" si="18"/>
        <v>-315</v>
      </c>
      <c r="N431">
        <f t="shared" si="19"/>
        <v>-69754</v>
      </c>
      <c r="O431" t="str">
        <f t="shared" si="20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18"/>
        <v>2376</v>
      </c>
      <c r="M432">
        <f t="shared" si="18"/>
        <v>-270</v>
      </c>
      <c r="N432">
        <f t="shared" si="19"/>
        <v>-59471</v>
      </c>
      <c r="O432" t="str">
        <f t="shared" si="20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18"/>
        <v>2376</v>
      </c>
      <c r="M433">
        <f t="shared" si="18"/>
        <v>-225</v>
      </c>
      <c r="N433">
        <f t="shared" si="19"/>
        <v>-49123</v>
      </c>
      <c r="O433" t="str">
        <f t="shared" si="20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18"/>
        <v>2376</v>
      </c>
      <c r="M434">
        <f t="shared" si="18"/>
        <v>-180</v>
      </c>
      <c r="N434">
        <f t="shared" si="19"/>
        <v>-38711</v>
      </c>
      <c r="O434" t="str">
        <f t="shared" si="20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18"/>
        <v>2376</v>
      </c>
      <c r="M435">
        <f t="shared" si="18"/>
        <v>-135</v>
      </c>
      <c r="N435">
        <f t="shared" si="19"/>
        <v>-28234</v>
      </c>
      <c r="O435" t="str">
        <f t="shared" si="20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18"/>
        <v>2376</v>
      </c>
      <c r="M436">
        <f t="shared" si="18"/>
        <v>-90</v>
      </c>
      <c r="N436">
        <f t="shared" si="19"/>
        <v>-17692</v>
      </c>
      <c r="O436" t="str">
        <f t="shared" si="20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18"/>
        <v>2376</v>
      </c>
      <c r="M437">
        <f t="shared" si="18"/>
        <v>-45</v>
      </c>
      <c r="N437">
        <f t="shared" si="19"/>
        <v>-7086</v>
      </c>
      <c r="O437" t="str">
        <f t="shared" si="20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18"/>
        <v>2376</v>
      </c>
      <c r="M438">
        <f t="shared" si="18"/>
        <v>-9</v>
      </c>
      <c r="N438">
        <f t="shared" si="19"/>
        <v>0</v>
      </c>
      <c r="O438" t="str">
        <f t="shared" si="20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18"/>
        <v>2376</v>
      </c>
      <c r="M439">
        <f t="shared" si="18"/>
        <v>9</v>
      </c>
      <c r="N439">
        <f t="shared" si="19"/>
        <v>6235</v>
      </c>
      <c r="O439" t="str">
        <f t="shared" si="20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18"/>
        <v>2376</v>
      </c>
      <c r="M440">
        <f t="shared" si="18"/>
        <v>45</v>
      </c>
      <c r="N440">
        <f t="shared" si="19"/>
        <v>15638</v>
      </c>
      <c r="O440" t="str">
        <f t="shared" si="20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18"/>
        <v>2376</v>
      </c>
      <c r="M441">
        <f t="shared" si="18"/>
        <v>90</v>
      </c>
      <c r="N441">
        <f t="shared" si="19"/>
        <v>27455</v>
      </c>
      <c r="O441" t="str">
        <f t="shared" si="20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18"/>
        <v>2376</v>
      </c>
      <c r="M442">
        <f t="shared" si="18"/>
        <v>135</v>
      </c>
      <c r="N442">
        <f t="shared" si="19"/>
        <v>39343</v>
      </c>
      <c r="O442" t="str">
        <f t="shared" si="20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18"/>
        <v>2376</v>
      </c>
      <c r="M443">
        <f t="shared" si="18"/>
        <v>180</v>
      </c>
      <c r="N443">
        <f t="shared" si="19"/>
        <v>51301</v>
      </c>
      <c r="O443" t="str">
        <f t="shared" si="20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18"/>
        <v>2376</v>
      </c>
      <c r="M444">
        <f t="shared" si="18"/>
        <v>225</v>
      </c>
      <c r="N444">
        <f t="shared" si="19"/>
        <v>63329</v>
      </c>
      <c r="O444" t="str">
        <f t="shared" si="20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18"/>
        <v>2376</v>
      </c>
      <c r="M445">
        <f t="shared" si="18"/>
        <v>270</v>
      </c>
      <c r="N445">
        <f t="shared" si="19"/>
        <v>75428</v>
      </c>
      <c r="O445" t="str">
        <f t="shared" si="20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18"/>
        <v>2376</v>
      </c>
      <c r="M446">
        <f t="shared" si="18"/>
        <v>315</v>
      </c>
      <c r="N446">
        <f t="shared" si="19"/>
        <v>87596</v>
      </c>
      <c r="O446" t="str">
        <f t="shared" si="20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18"/>
        <v>2376</v>
      </c>
      <c r="M447">
        <f t="shared" si="18"/>
        <v>360</v>
      </c>
      <c r="N447">
        <f t="shared" si="19"/>
        <v>99836</v>
      </c>
      <c r="O447" t="str">
        <f t="shared" si="20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18"/>
        <v>2376</v>
      </c>
      <c r="M448">
        <f t="shared" si="18"/>
        <v>405</v>
      </c>
      <c r="N448">
        <f t="shared" si="19"/>
        <v>112145</v>
      </c>
      <c r="O448" t="str">
        <f t="shared" si="20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18"/>
        <v>2376</v>
      </c>
      <c r="M449">
        <f t="shared" si="18"/>
        <v>450</v>
      </c>
      <c r="N449">
        <f t="shared" si="19"/>
        <v>124524</v>
      </c>
      <c r="O449" t="str">
        <f t="shared" si="20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18"/>
        <v>2376</v>
      </c>
      <c r="M450">
        <f t="shared" si="18"/>
        <v>495</v>
      </c>
      <c r="N450">
        <f t="shared" si="19"/>
        <v>136974</v>
      </c>
      <c r="O450" t="str">
        <f t="shared" si="20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M514" si="21">A451</f>
        <v>2376</v>
      </c>
      <c r="M451">
        <f t="shared" si="21"/>
        <v>540</v>
      </c>
      <c r="N451">
        <f t="shared" ref="N451:N514" si="22">C451*1000</f>
        <v>149494</v>
      </c>
      <c r="O451" t="str">
        <f t="shared" ref="O451:O514" si="23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1"/>
        <v>2376</v>
      </c>
      <c r="M452">
        <f t="shared" si="21"/>
        <v>585</v>
      </c>
      <c r="N452">
        <f t="shared" si="22"/>
        <v>162085</v>
      </c>
      <c r="O452" t="str">
        <f t="shared" si="23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1"/>
        <v>2376</v>
      </c>
      <c r="M453">
        <f t="shared" si="21"/>
        <v>630</v>
      </c>
      <c r="N453">
        <f t="shared" si="22"/>
        <v>174745</v>
      </c>
      <c r="O453" t="str">
        <f t="shared" si="23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1"/>
        <v>2376</v>
      </c>
      <c r="M454">
        <f t="shared" si="21"/>
        <v>675</v>
      </c>
      <c r="N454">
        <f t="shared" si="22"/>
        <v>187476</v>
      </c>
      <c r="O454" t="str">
        <f t="shared" si="23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1"/>
        <v>2376</v>
      </c>
      <c r="M455">
        <f t="shared" si="21"/>
        <v>720</v>
      </c>
      <c r="N455">
        <f t="shared" si="22"/>
        <v>200277</v>
      </c>
      <c r="O455" t="str">
        <f t="shared" si="23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1"/>
        <v>2376</v>
      </c>
      <c r="M456">
        <f t="shared" si="21"/>
        <v>765</v>
      </c>
      <c r="N456">
        <f t="shared" si="22"/>
        <v>213149</v>
      </c>
      <c r="O456" t="str">
        <f t="shared" si="23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1"/>
        <v>2376</v>
      </c>
      <c r="M457">
        <f t="shared" si="21"/>
        <v>810</v>
      </c>
      <c r="N457">
        <f t="shared" si="22"/>
        <v>226091</v>
      </c>
      <c r="O457" t="str">
        <f t="shared" si="23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1"/>
        <v>2376</v>
      </c>
      <c r="M458">
        <f t="shared" si="21"/>
        <v>855</v>
      </c>
      <c r="N458">
        <f t="shared" si="22"/>
        <v>239103</v>
      </c>
      <c r="O458" t="str">
        <f t="shared" si="23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1"/>
        <v>2376</v>
      </c>
      <c r="M459">
        <f t="shared" si="21"/>
        <v>900</v>
      </c>
      <c r="N459">
        <f t="shared" si="22"/>
        <v>252185</v>
      </c>
      <c r="O459" t="str">
        <f t="shared" si="23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1"/>
        <v>2376</v>
      </c>
      <c r="M460">
        <f t="shared" si="21"/>
        <v>945</v>
      </c>
      <c r="N460">
        <f t="shared" si="22"/>
        <v>265338</v>
      </c>
      <c r="O460" t="str">
        <f t="shared" si="23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1"/>
        <v>2376</v>
      </c>
      <c r="M461">
        <f t="shared" si="21"/>
        <v>990</v>
      </c>
      <c r="N461">
        <f t="shared" si="22"/>
        <v>278560</v>
      </c>
      <c r="O461" t="str">
        <f t="shared" si="23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1"/>
        <v>2673</v>
      </c>
      <c r="M462">
        <f t="shared" si="21"/>
        <v>-990</v>
      </c>
      <c r="N462">
        <f t="shared" si="22"/>
        <v>-241372</v>
      </c>
      <c r="O462" t="str">
        <f t="shared" si="23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1"/>
        <v>2673</v>
      </c>
      <c r="M463">
        <f t="shared" si="21"/>
        <v>-945</v>
      </c>
      <c r="N463">
        <f t="shared" si="22"/>
        <v>-231015</v>
      </c>
      <c r="O463" t="str">
        <f t="shared" si="23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1"/>
        <v>2673</v>
      </c>
      <c r="M464">
        <f t="shared" si="21"/>
        <v>-900</v>
      </c>
      <c r="N464">
        <f t="shared" si="22"/>
        <v>-220579</v>
      </c>
      <c r="O464" t="str">
        <f t="shared" si="23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1"/>
        <v>2673</v>
      </c>
      <c r="M465">
        <f t="shared" si="21"/>
        <v>-855</v>
      </c>
      <c r="N465">
        <f t="shared" si="22"/>
        <v>-210064</v>
      </c>
      <c r="O465" t="str">
        <f t="shared" si="23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1"/>
        <v>2673</v>
      </c>
      <c r="M466">
        <f t="shared" si="21"/>
        <v>-810</v>
      </c>
      <c r="N466">
        <f t="shared" si="22"/>
        <v>-199471</v>
      </c>
      <c r="O466" t="str">
        <f t="shared" si="23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1"/>
        <v>2673</v>
      </c>
      <c r="M467">
        <f t="shared" si="21"/>
        <v>-765</v>
      </c>
      <c r="N467">
        <f t="shared" si="22"/>
        <v>-188799</v>
      </c>
      <c r="O467" t="str">
        <f t="shared" si="23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1"/>
        <v>2673</v>
      </c>
      <c r="M468">
        <f t="shared" si="21"/>
        <v>-720</v>
      </c>
      <c r="N468">
        <f t="shared" si="22"/>
        <v>-178049</v>
      </c>
      <c r="O468" t="str">
        <f t="shared" si="23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1"/>
        <v>2673</v>
      </c>
      <c r="M469">
        <f t="shared" si="21"/>
        <v>-675</v>
      </c>
      <c r="N469">
        <f t="shared" si="22"/>
        <v>-167220</v>
      </c>
      <c r="O469" t="str">
        <f t="shared" si="23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1"/>
        <v>2673</v>
      </c>
      <c r="M470">
        <f t="shared" si="21"/>
        <v>-630</v>
      </c>
      <c r="N470">
        <f t="shared" si="22"/>
        <v>-156312</v>
      </c>
      <c r="O470" t="str">
        <f t="shared" si="23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1"/>
        <v>2673</v>
      </c>
      <c r="M471">
        <f t="shared" si="21"/>
        <v>-585</v>
      </c>
      <c r="N471">
        <f t="shared" si="22"/>
        <v>-145326</v>
      </c>
      <c r="O471" t="str">
        <f t="shared" si="23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1"/>
        <v>2673</v>
      </c>
      <c r="M472">
        <f t="shared" si="21"/>
        <v>-540</v>
      </c>
      <c r="N472">
        <f t="shared" si="22"/>
        <v>-134261</v>
      </c>
      <c r="O472" t="str">
        <f t="shared" si="23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1"/>
        <v>2673</v>
      </c>
      <c r="M473">
        <f t="shared" si="21"/>
        <v>-495</v>
      </c>
      <c r="N473">
        <f t="shared" si="22"/>
        <v>-123117</v>
      </c>
      <c r="O473" t="str">
        <f t="shared" si="23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1"/>
        <v>2673</v>
      </c>
      <c r="M474">
        <f t="shared" si="21"/>
        <v>-450</v>
      </c>
      <c r="N474">
        <f t="shared" si="22"/>
        <v>-111895</v>
      </c>
      <c r="O474" t="str">
        <f t="shared" si="23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1"/>
        <v>2673</v>
      </c>
      <c r="M475">
        <f t="shared" si="21"/>
        <v>-405</v>
      </c>
      <c r="N475">
        <f t="shared" si="22"/>
        <v>-100595</v>
      </c>
      <c r="O475" t="str">
        <f t="shared" si="23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1"/>
        <v>2673</v>
      </c>
      <c r="M476">
        <f t="shared" si="21"/>
        <v>-360</v>
      </c>
      <c r="N476">
        <f t="shared" si="22"/>
        <v>-89215</v>
      </c>
      <c r="O476" t="str">
        <f t="shared" si="23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1"/>
        <v>2673</v>
      </c>
      <c r="M477">
        <f t="shared" si="21"/>
        <v>-315</v>
      </c>
      <c r="N477">
        <f t="shared" si="22"/>
        <v>-77757</v>
      </c>
      <c r="O477" t="str">
        <f t="shared" si="23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1"/>
        <v>2673</v>
      </c>
      <c r="M478">
        <f t="shared" si="21"/>
        <v>-270</v>
      </c>
      <c r="N478">
        <f t="shared" si="22"/>
        <v>-66221</v>
      </c>
      <c r="O478" t="str">
        <f t="shared" si="23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1"/>
        <v>2673</v>
      </c>
      <c r="M479">
        <f t="shared" si="21"/>
        <v>-225</v>
      </c>
      <c r="N479">
        <f t="shared" si="22"/>
        <v>-54606</v>
      </c>
      <c r="O479" t="str">
        <f t="shared" si="23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1"/>
        <v>2673</v>
      </c>
      <c r="M480">
        <f t="shared" si="21"/>
        <v>-180</v>
      </c>
      <c r="N480">
        <f t="shared" si="22"/>
        <v>-42912</v>
      </c>
      <c r="O480" t="str">
        <f t="shared" si="23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1"/>
        <v>2673</v>
      </c>
      <c r="M481">
        <f t="shared" si="21"/>
        <v>-135</v>
      </c>
      <c r="N481">
        <f t="shared" si="22"/>
        <v>-31140</v>
      </c>
      <c r="O481" t="str">
        <f t="shared" si="23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1"/>
        <v>2673</v>
      </c>
      <c r="M482">
        <f t="shared" si="21"/>
        <v>-90</v>
      </c>
      <c r="N482">
        <f t="shared" si="22"/>
        <v>-19289</v>
      </c>
      <c r="O482" t="str">
        <f t="shared" si="23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1"/>
        <v>2673</v>
      </c>
      <c r="M483">
        <f t="shared" si="21"/>
        <v>-45</v>
      </c>
      <c r="N483">
        <f t="shared" si="22"/>
        <v>-7360</v>
      </c>
      <c r="O483" t="str">
        <f t="shared" si="23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1"/>
        <v>2673</v>
      </c>
      <c r="M484">
        <f t="shared" si="21"/>
        <v>-9</v>
      </c>
      <c r="N484">
        <f t="shared" si="22"/>
        <v>0</v>
      </c>
      <c r="O484" t="str">
        <f t="shared" si="23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1"/>
        <v>2673</v>
      </c>
      <c r="M485">
        <f t="shared" si="21"/>
        <v>9</v>
      </c>
      <c r="N485">
        <f t="shared" si="22"/>
        <v>7679</v>
      </c>
      <c r="O485" t="str">
        <f t="shared" si="23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1"/>
        <v>2673</v>
      </c>
      <c r="M486">
        <f t="shared" si="21"/>
        <v>45</v>
      </c>
      <c r="N486">
        <f t="shared" si="22"/>
        <v>18256</v>
      </c>
      <c r="O486" t="str">
        <f t="shared" si="23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1"/>
        <v>2673</v>
      </c>
      <c r="M487">
        <f t="shared" si="21"/>
        <v>90</v>
      </c>
      <c r="N487">
        <f t="shared" si="22"/>
        <v>31554</v>
      </c>
      <c r="O487" t="str">
        <f t="shared" si="23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1"/>
        <v>2673</v>
      </c>
      <c r="M488">
        <f t="shared" si="21"/>
        <v>135</v>
      </c>
      <c r="N488">
        <f t="shared" si="22"/>
        <v>44937</v>
      </c>
      <c r="O488" t="str">
        <f t="shared" si="23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1"/>
        <v>2673</v>
      </c>
      <c r="M489">
        <f t="shared" si="21"/>
        <v>180</v>
      </c>
      <c r="N489">
        <f t="shared" si="22"/>
        <v>58406</v>
      </c>
      <c r="O489" t="str">
        <f t="shared" si="23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1"/>
        <v>2673</v>
      </c>
      <c r="M490">
        <f t="shared" si="21"/>
        <v>225</v>
      </c>
      <c r="N490">
        <f t="shared" si="22"/>
        <v>71959</v>
      </c>
      <c r="O490" t="str">
        <f t="shared" si="23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1"/>
        <v>2673</v>
      </c>
      <c r="M491">
        <f t="shared" si="21"/>
        <v>270</v>
      </c>
      <c r="N491">
        <f t="shared" si="22"/>
        <v>85598</v>
      </c>
      <c r="O491" t="str">
        <f t="shared" si="23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1"/>
        <v>2673</v>
      </c>
      <c r="M492">
        <f t="shared" si="21"/>
        <v>315</v>
      </c>
      <c r="N492">
        <f t="shared" si="22"/>
        <v>99323</v>
      </c>
      <c r="O492" t="str">
        <f t="shared" si="23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1"/>
        <v>2673</v>
      </c>
      <c r="M493">
        <f t="shared" si="21"/>
        <v>360</v>
      </c>
      <c r="N493">
        <f t="shared" si="22"/>
        <v>113132</v>
      </c>
      <c r="O493" t="str">
        <f t="shared" si="23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1"/>
        <v>2673</v>
      </c>
      <c r="M494">
        <f t="shared" si="21"/>
        <v>405</v>
      </c>
      <c r="N494">
        <f t="shared" si="22"/>
        <v>127027</v>
      </c>
      <c r="O494" t="str">
        <f t="shared" si="23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1"/>
        <v>2673</v>
      </c>
      <c r="M495">
        <f t="shared" si="21"/>
        <v>450</v>
      </c>
      <c r="N495">
        <f t="shared" si="22"/>
        <v>141007</v>
      </c>
      <c r="O495" t="str">
        <f t="shared" si="23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1"/>
        <v>2673</v>
      </c>
      <c r="M496">
        <f t="shared" si="21"/>
        <v>495</v>
      </c>
      <c r="N496">
        <f t="shared" si="22"/>
        <v>155072</v>
      </c>
      <c r="O496" t="str">
        <f t="shared" si="23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1"/>
        <v>2673</v>
      </c>
      <c r="M497">
        <f t="shared" si="21"/>
        <v>540</v>
      </c>
      <c r="N497">
        <f t="shared" si="22"/>
        <v>169223</v>
      </c>
      <c r="O497" t="str">
        <f t="shared" si="23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1"/>
        <v>2673</v>
      </c>
      <c r="M498">
        <f t="shared" si="21"/>
        <v>585</v>
      </c>
      <c r="N498">
        <f t="shared" si="22"/>
        <v>183459</v>
      </c>
      <c r="O498" t="str">
        <f t="shared" si="23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1"/>
        <v>2673</v>
      </c>
      <c r="M499">
        <f t="shared" si="21"/>
        <v>630</v>
      </c>
      <c r="N499">
        <f t="shared" si="22"/>
        <v>197780</v>
      </c>
      <c r="O499" t="str">
        <f t="shared" si="23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1"/>
        <v>2673</v>
      </c>
      <c r="M500">
        <f t="shared" si="21"/>
        <v>675</v>
      </c>
      <c r="N500">
        <f t="shared" si="22"/>
        <v>212187</v>
      </c>
      <c r="O500" t="str">
        <f t="shared" si="23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1"/>
        <v>2673</v>
      </c>
      <c r="M501">
        <f t="shared" si="21"/>
        <v>720</v>
      </c>
      <c r="N501">
        <f t="shared" si="22"/>
        <v>226679</v>
      </c>
      <c r="O501" t="str">
        <f t="shared" si="23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1"/>
        <v>2673</v>
      </c>
      <c r="M502">
        <f t="shared" si="21"/>
        <v>765</v>
      </c>
      <c r="N502">
        <f t="shared" si="22"/>
        <v>241256</v>
      </c>
      <c r="O502" t="str">
        <f t="shared" si="23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1"/>
        <v>2673</v>
      </c>
      <c r="M503">
        <f t="shared" si="21"/>
        <v>810</v>
      </c>
      <c r="N503">
        <f t="shared" si="22"/>
        <v>255918</v>
      </c>
      <c r="O503" t="str">
        <f t="shared" si="23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1"/>
        <v>2673</v>
      </c>
      <c r="M504">
        <f t="shared" si="21"/>
        <v>855</v>
      </c>
      <c r="N504">
        <f t="shared" si="22"/>
        <v>270666</v>
      </c>
      <c r="O504" t="str">
        <f t="shared" si="23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1"/>
        <v>2673</v>
      </c>
      <c r="M505">
        <f t="shared" si="21"/>
        <v>900</v>
      </c>
      <c r="N505">
        <f t="shared" si="22"/>
        <v>285499</v>
      </c>
      <c r="O505" t="str">
        <f t="shared" si="23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1"/>
        <v>2673</v>
      </c>
      <c r="M506">
        <f t="shared" si="21"/>
        <v>945</v>
      </c>
      <c r="N506">
        <f t="shared" si="22"/>
        <v>300417</v>
      </c>
      <c r="O506" t="str">
        <f t="shared" si="23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1"/>
        <v>2673</v>
      </c>
      <c r="M507">
        <f t="shared" si="21"/>
        <v>990</v>
      </c>
      <c r="N507">
        <f t="shared" si="22"/>
        <v>315421</v>
      </c>
      <c r="O507" t="str">
        <f t="shared" si="23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1"/>
        <v>2970</v>
      </c>
      <c r="M508">
        <f t="shared" si="21"/>
        <v>-990</v>
      </c>
      <c r="N508">
        <f t="shared" si="22"/>
        <v>-265929</v>
      </c>
      <c r="O508" t="str">
        <f t="shared" si="23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1"/>
        <v>2970</v>
      </c>
      <c r="M509">
        <f t="shared" si="21"/>
        <v>-945</v>
      </c>
      <c r="N509">
        <f t="shared" si="22"/>
        <v>-254560</v>
      </c>
      <c r="O509" t="str">
        <f t="shared" si="23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1"/>
        <v>2970</v>
      </c>
      <c r="M510">
        <f t="shared" si="21"/>
        <v>-900</v>
      </c>
      <c r="N510">
        <f t="shared" si="22"/>
        <v>-243097</v>
      </c>
      <c r="O510" t="str">
        <f t="shared" si="23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1"/>
        <v>2970</v>
      </c>
      <c r="M511">
        <f t="shared" si="21"/>
        <v>-855</v>
      </c>
      <c r="N511">
        <f t="shared" si="22"/>
        <v>-231540</v>
      </c>
      <c r="O511" t="str">
        <f t="shared" si="23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1"/>
        <v>2970</v>
      </c>
      <c r="M512">
        <f t="shared" si="21"/>
        <v>-810</v>
      </c>
      <c r="N512">
        <f t="shared" si="22"/>
        <v>-219889</v>
      </c>
      <c r="O512" t="str">
        <f t="shared" si="23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1"/>
        <v>2970</v>
      </c>
      <c r="M513">
        <f t="shared" si="21"/>
        <v>-765</v>
      </c>
      <c r="N513">
        <f t="shared" si="22"/>
        <v>-208144</v>
      </c>
      <c r="O513" t="str">
        <f t="shared" si="23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1"/>
        <v>2970</v>
      </c>
      <c r="M514">
        <f t="shared" si="21"/>
        <v>-720</v>
      </c>
      <c r="N514">
        <f t="shared" si="22"/>
        <v>-196305</v>
      </c>
      <c r="O514" t="str">
        <f t="shared" si="23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M578" si="24">A515</f>
        <v>2970</v>
      </c>
      <c r="M515">
        <f t="shared" si="24"/>
        <v>-675</v>
      </c>
      <c r="N515">
        <f t="shared" ref="N515:N578" si="25">C515*1000</f>
        <v>-184372</v>
      </c>
      <c r="O515" t="str">
        <f t="shared" ref="O515:O578" si="26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24"/>
        <v>2970</v>
      </c>
      <c r="M516">
        <f t="shared" si="24"/>
        <v>-630</v>
      </c>
      <c r="N516">
        <f t="shared" si="25"/>
        <v>-172344</v>
      </c>
      <c r="O516" t="str">
        <f t="shared" si="26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24"/>
        <v>2970</v>
      </c>
      <c r="M517">
        <f t="shared" si="24"/>
        <v>-585</v>
      </c>
      <c r="N517">
        <f t="shared" si="25"/>
        <v>-160223</v>
      </c>
      <c r="O517" t="str">
        <f t="shared" si="26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24"/>
        <v>2970</v>
      </c>
      <c r="M518">
        <f t="shared" si="24"/>
        <v>-540</v>
      </c>
      <c r="N518">
        <f t="shared" si="25"/>
        <v>-148008</v>
      </c>
      <c r="O518" t="str">
        <f t="shared" si="26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24"/>
        <v>2970</v>
      </c>
      <c r="M519">
        <f t="shared" si="24"/>
        <v>-495</v>
      </c>
      <c r="N519">
        <f t="shared" si="25"/>
        <v>-135699</v>
      </c>
      <c r="O519" t="str">
        <f t="shared" si="26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24"/>
        <v>2970</v>
      </c>
      <c r="M520">
        <f t="shared" si="24"/>
        <v>-450</v>
      </c>
      <c r="N520">
        <f t="shared" si="25"/>
        <v>-123295</v>
      </c>
      <c r="O520" t="str">
        <f t="shared" si="26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24"/>
        <v>2970</v>
      </c>
      <c r="M521">
        <f t="shared" si="24"/>
        <v>-405</v>
      </c>
      <c r="N521">
        <f t="shared" si="25"/>
        <v>-110798</v>
      </c>
      <c r="O521" t="str">
        <f t="shared" si="26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24"/>
        <v>2970</v>
      </c>
      <c r="M522">
        <f t="shared" si="24"/>
        <v>-360</v>
      </c>
      <c r="N522">
        <f t="shared" si="25"/>
        <v>-98206</v>
      </c>
      <c r="O522" t="str">
        <f t="shared" si="26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24"/>
        <v>2970</v>
      </c>
      <c r="M523">
        <f t="shared" si="24"/>
        <v>-315</v>
      </c>
      <c r="N523">
        <f t="shared" si="25"/>
        <v>-85521</v>
      </c>
      <c r="O523" t="str">
        <f t="shared" si="26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24"/>
        <v>2970</v>
      </c>
      <c r="M524">
        <f t="shared" si="24"/>
        <v>-270</v>
      </c>
      <c r="N524">
        <f t="shared" si="25"/>
        <v>-72741</v>
      </c>
      <c r="O524" t="str">
        <f t="shared" si="26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24"/>
        <v>2970</v>
      </c>
      <c r="M525">
        <f t="shared" si="24"/>
        <v>-225</v>
      </c>
      <c r="N525">
        <f t="shared" si="25"/>
        <v>-59867</v>
      </c>
      <c r="O525" t="str">
        <f t="shared" si="26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24"/>
        <v>2970</v>
      </c>
      <c r="M526">
        <f t="shared" si="24"/>
        <v>-180</v>
      </c>
      <c r="N526">
        <f t="shared" si="25"/>
        <v>-46900</v>
      </c>
      <c r="O526" t="str">
        <f t="shared" si="26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24"/>
        <v>2970</v>
      </c>
      <c r="M527">
        <f t="shared" si="24"/>
        <v>-135</v>
      </c>
      <c r="N527">
        <f t="shared" si="25"/>
        <v>-33838</v>
      </c>
      <c r="O527" t="str">
        <f t="shared" si="26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24"/>
        <v>2970</v>
      </c>
      <c r="M528">
        <f t="shared" si="24"/>
        <v>-90</v>
      </c>
      <c r="N528">
        <f t="shared" si="25"/>
        <v>-20682</v>
      </c>
      <c r="O528" t="str">
        <f t="shared" si="26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24"/>
        <v>2970</v>
      </c>
      <c r="M529">
        <f t="shared" si="24"/>
        <v>-45</v>
      </c>
      <c r="N529">
        <f t="shared" si="25"/>
        <v>-7432</v>
      </c>
      <c r="O529" t="str">
        <f t="shared" si="26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24"/>
        <v>2970</v>
      </c>
      <c r="M530">
        <f t="shared" si="24"/>
        <v>-9</v>
      </c>
      <c r="N530">
        <f t="shared" si="25"/>
        <v>0</v>
      </c>
      <c r="O530" t="str">
        <f t="shared" si="26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24"/>
        <v>2970</v>
      </c>
      <c r="M531">
        <f t="shared" si="24"/>
        <v>9</v>
      </c>
      <c r="N531">
        <f t="shared" si="25"/>
        <v>9342</v>
      </c>
      <c r="O531" t="str">
        <f t="shared" si="26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24"/>
        <v>2970</v>
      </c>
      <c r="M532">
        <f t="shared" si="24"/>
        <v>45</v>
      </c>
      <c r="N532">
        <f t="shared" si="25"/>
        <v>21094</v>
      </c>
      <c r="O532" t="str">
        <f t="shared" si="26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24"/>
        <v>2970</v>
      </c>
      <c r="M533">
        <f t="shared" si="24"/>
        <v>90</v>
      </c>
      <c r="N533">
        <f t="shared" si="25"/>
        <v>35874</v>
      </c>
      <c r="O533" t="str">
        <f t="shared" si="26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24"/>
        <v>2970</v>
      </c>
      <c r="M534">
        <f t="shared" si="24"/>
        <v>135</v>
      </c>
      <c r="N534">
        <f t="shared" si="25"/>
        <v>50757</v>
      </c>
      <c r="O534" t="str">
        <f t="shared" si="26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24"/>
        <v>2970</v>
      </c>
      <c r="M535">
        <f t="shared" si="24"/>
        <v>180</v>
      </c>
      <c r="N535">
        <f t="shared" si="25"/>
        <v>65742</v>
      </c>
      <c r="O535" t="str">
        <f t="shared" si="26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24"/>
        <v>2970</v>
      </c>
      <c r="M536">
        <f t="shared" si="24"/>
        <v>225</v>
      </c>
      <c r="N536">
        <f t="shared" si="25"/>
        <v>80829</v>
      </c>
      <c r="O536" t="str">
        <f t="shared" si="26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24"/>
        <v>2970</v>
      </c>
      <c r="M537">
        <f t="shared" si="24"/>
        <v>270</v>
      </c>
      <c r="N537">
        <f t="shared" si="25"/>
        <v>96018</v>
      </c>
      <c r="O537" t="str">
        <f t="shared" si="26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24"/>
        <v>2970</v>
      </c>
      <c r="M538">
        <f t="shared" si="24"/>
        <v>315</v>
      </c>
      <c r="N538">
        <f t="shared" si="25"/>
        <v>111310</v>
      </c>
      <c r="O538" t="str">
        <f t="shared" si="26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24"/>
        <v>2970</v>
      </c>
      <c r="M539">
        <f t="shared" si="24"/>
        <v>360</v>
      </c>
      <c r="N539">
        <f t="shared" si="25"/>
        <v>126703</v>
      </c>
      <c r="O539" t="str">
        <f t="shared" si="26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24"/>
        <v>2970</v>
      </c>
      <c r="M540">
        <f t="shared" si="24"/>
        <v>405</v>
      </c>
      <c r="N540">
        <f t="shared" si="25"/>
        <v>142198</v>
      </c>
      <c r="O540" t="str">
        <f t="shared" si="26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24"/>
        <v>2970</v>
      </c>
      <c r="M541">
        <f t="shared" si="24"/>
        <v>450</v>
      </c>
      <c r="N541">
        <f t="shared" si="25"/>
        <v>157795</v>
      </c>
      <c r="O541" t="str">
        <f t="shared" si="26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24"/>
        <v>2970</v>
      </c>
      <c r="M542">
        <f t="shared" si="24"/>
        <v>495</v>
      </c>
      <c r="N542">
        <f t="shared" si="25"/>
        <v>173495</v>
      </c>
      <c r="O542" t="str">
        <f t="shared" si="26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24"/>
        <v>2970</v>
      </c>
      <c r="M543">
        <f t="shared" si="24"/>
        <v>540</v>
      </c>
      <c r="N543">
        <f t="shared" si="25"/>
        <v>189296</v>
      </c>
      <c r="O543" t="str">
        <f t="shared" si="26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24"/>
        <v>2970</v>
      </c>
      <c r="M544">
        <f t="shared" si="24"/>
        <v>585</v>
      </c>
      <c r="N544">
        <f t="shared" si="25"/>
        <v>205199</v>
      </c>
      <c r="O544" t="str">
        <f t="shared" si="26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24"/>
        <v>2970</v>
      </c>
      <c r="M545">
        <f t="shared" si="24"/>
        <v>630</v>
      </c>
      <c r="N545">
        <f t="shared" si="25"/>
        <v>221205</v>
      </c>
      <c r="O545" t="str">
        <f t="shared" si="26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24"/>
        <v>2970</v>
      </c>
      <c r="M546">
        <f t="shared" si="24"/>
        <v>675</v>
      </c>
      <c r="N546">
        <f t="shared" si="25"/>
        <v>237313</v>
      </c>
      <c r="O546" t="str">
        <f t="shared" si="26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24"/>
        <v>2970</v>
      </c>
      <c r="M547">
        <f t="shared" si="24"/>
        <v>720</v>
      </c>
      <c r="N547">
        <f t="shared" si="25"/>
        <v>253522</v>
      </c>
      <c r="O547" t="str">
        <f t="shared" si="26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24"/>
        <v>2970</v>
      </c>
      <c r="M548">
        <f t="shared" si="24"/>
        <v>765</v>
      </c>
      <c r="N548">
        <f t="shared" si="25"/>
        <v>269834</v>
      </c>
      <c r="O548" t="str">
        <f t="shared" si="26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24"/>
        <v>2970</v>
      </c>
      <c r="M549">
        <f t="shared" si="24"/>
        <v>810</v>
      </c>
      <c r="N549">
        <f t="shared" si="25"/>
        <v>286248</v>
      </c>
      <c r="O549" t="str">
        <f t="shared" si="26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24"/>
        <v>2970</v>
      </c>
      <c r="M550">
        <f t="shared" si="24"/>
        <v>855</v>
      </c>
      <c r="N550">
        <f t="shared" si="25"/>
        <v>302763</v>
      </c>
      <c r="O550" t="str">
        <f t="shared" si="26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24"/>
        <v>2970</v>
      </c>
      <c r="M551">
        <f t="shared" si="24"/>
        <v>900</v>
      </c>
      <c r="N551">
        <f t="shared" si="25"/>
        <v>319381</v>
      </c>
      <c r="O551" t="str">
        <f t="shared" si="26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24"/>
        <v>2970</v>
      </c>
      <c r="M552">
        <f t="shared" si="24"/>
        <v>945</v>
      </c>
      <c r="N552">
        <f t="shared" si="25"/>
        <v>336101</v>
      </c>
      <c r="O552" t="str">
        <f t="shared" si="26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24"/>
        <v>2970</v>
      </c>
      <c r="M553">
        <f t="shared" si="24"/>
        <v>990</v>
      </c>
      <c r="N553">
        <f t="shared" si="25"/>
        <v>352923</v>
      </c>
      <c r="O553" t="str">
        <f t="shared" si="26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24"/>
        <v>3267</v>
      </c>
      <c r="M554">
        <f t="shared" si="24"/>
        <v>-990</v>
      </c>
      <c r="N554">
        <f t="shared" si="25"/>
        <v>-289874</v>
      </c>
      <c r="O554" t="str">
        <f t="shared" si="26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24"/>
        <v>3267</v>
      </c>
      <c r="M555">
        <f t="shared" si="24"/>
        <v>-945</v>
      </c>
      <c r="N555">
        <f t="shared" si="25"/>
        <v>-277529</v>
      </c>
      <c r="O555" t="str">
        <f t="shared" si="26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24"/>
        <v>3267</v>
      </c>
      <c r="M556">
        <f t="shared" si="24"/>
        <v>-900</v>
      </c>
      <c r="N556">
        <f t="shared" si="25"/>
        <v>-265072</v>
      </c>
      <c r="O556" t="str">
        <f t="shared" si="26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24"/>
        <v>3267</v>
      </c>
      <c r="M557">
        <f t="shared" si="24"/>
        <v>-855</v>
      </c>
      <c r="N557">
        <f t="shared" si="25"/>
        <v>-252504</v>
      </c>
      <c r="O557" t="str">
        <f t="shared" si="26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24"/>
        <v>3267</v>
      </c>
      <c r="M558">
        <f t="shared" si="24"/>
        <v>-810</v>
      </c>
      <c r="N558">
        <f t="shared" si="25"/>
        <v>-239825</v>
      </c>
      <c r="O558" t="str">
        <f t="shared" si="26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24"/>
        <v>3267</v>
      </c>
      <c r="M559">
        <f t="shared" si="24"/>
        <v>-765</v>
      </c>
      <c r="N559">
        <f t="shared" si="25"/>
        <v>-227035</v>
      </c>
      <c r="O559" t="str">
        <f t="shared" si="26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24"/>
        <v>3267</v>
      </c>
      <c r="M560">
        <f t="shared" si="24"/>
        <v>-720</v>
      </c>
      <c r="N560">
        <f t="shared" si="25"/>
        <v>-214134</v>
      </c>
      <c r="O560" t="str">
        <f t="shared" si="26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24"/>
        <v>3267</v>
      </c>
      <c r="M561">
        <f t="shared" si="24"/>
        <v>-675</v>
      </c>
      <c r="N561">
        <f t="shared" si="25"/>
        <v>-201122</v>
      </c>
      <c r="O561" t="str">
        <f t="shared" si="26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24"/>
        <v>3267</v>
      </c>
      <c r="M562">
        <f t="shared" si="24"/>
        <v>-630</v>
      </c>
      <c r="N562">
        <f t="shared" si="25"/>
        <v>-187999</v>
      </c>
      <c r="O562" t="str">
        <f t="shared" si="26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24"/>
        <v>3267</v>
      </c>
      <c r="M563">
        <f t="shared" si="24"/>
        <v>-585</v>
      </c>
      <c r="N563">
        <f t="shared" si="25"/>
        <v>-174764</v>
      </c>
      <c r="O563" t="str">
        <f t="shared" si="26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24"/>
        <v>3267</v>
      </c>
      <c r="M564">
        <f t="shared" si="24"/>
        <v>-540</v>
      </c>
      <c r="N564">
        <f t="shared" si="25"/>
        <v>-161419</v>
      </c>
      <c r="O564" t="str">
        <f t="shared" si="26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24"/>
        <v>3267</v>
      </c>
      <c r="M565">
        <f t="shared" si="24"/>
        <v>-495</v>
      </c>
      <c r="N565">
        <f t="shared" si="25"/>
        <v>-147962</v>
      </c>
      <c r="O565" t="str">
        <f t="shared" si="26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24"/>
        <v>3267</v>
      </c>
      <c r="M566">
        <f t="shared" si="24"/>
        <v>-450</v>
      </c>
      <c r="N566">
        <f t="shared" si="25"/>
        <v>-134394</v>
      </c>
      <c r="O566" t="str">
        <f t="shared" si="26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24"/>
        <v>3267</v>
      </c>
      <c r="M567">
        <f t="shared" si="24"/>
        <v>-405</v>
      </c>
      <c r="N567">
        <f t="shared" si="25"/>
        <v>-120715</v>
      </c>
      <c r="O567" t="str">
        <f t="shared" si="26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24"/>
        <v>3267</v>
      </c>
      <c r="M568">
        <f t="shared" si="24"/>
        <v>-360</v>
      </c>
      <c r="N568">
        <f t="shared" si="25"/>
        <v>-106925</v>
      </c>
      <c r="O568" t="str">
        <f t="shared" si="26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24"/>
        <v>3267</v>
      </c>
      <c r="M569">
        <f t="shared" si="24"/>
        <v>-315</v>
      </c>
      <c r="N569">
        <f t="shared" si="25"/>
        <v>-93024</v>
      </c>
      <c r="O569" t="str">
        <f t="shared" si="26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24"/>
        <v>3267</v>
      </c>
      <c r="M570">
        <f t="shared" si="24"/>
        <v>-270</v>
      </c>
      <c r="N570">
        <f t="shared" si="25"/>
        <v>-79012</v>
      </c>
      <c r="O570" t="str">
        <f t="shared" si="26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24"/>
        <v>3267</v>
      </c>
      <c r="M571">
        <f t="shared" si="24"/>
        <v>-225</v>
      </c>
      <c r="N571">
        <f t="shared" si="25"/>
        <v>-64888.000000000007</v>
      </c>
      <c r="O571" t="str">
        <f t="shared" si="26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24"/>
        <v>3267</v>
      </c>
      <c r="M572">
        <f t="shared" si="24"/>
        <v>-180</v>
      </c>
      <c r="N572">
        <f t="shared" si="25"/>
        <v>-50654</v>
      </c>
      <c r="O572" t="str">
        <f t="shared" si="26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24"/>
        <v>3267</v>
      </c>
      <c r="M573">
        <f t="shared" si="24"/>
        <v>-135</v>
      </c>
      <c r="N573">
        <f t="shared" si="25"/>
        <v>-36308</v>
      </c>
      <c r="O573" t="str">
        <f t="shared" si="26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24"/>
        <v>3267</v>
      </c>
      <c r="M574">
        <f t="shared" si="24"/>
        <v>-90</v>
      </c>
      <c r="N574">
        <f t="shared" si="25"/>
        <v>-21851</v>
      </c>
      <c r="O574" t="str">
        <f t="shared" si="26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24"/>
        <v>3267</v>
      </c>
      <c r="M575">
        <f t="shared" si="24"/>
        <v>-45</v>
      </c>
      <c r="N575">
        <f t="shared" si="25"/>
        <v>-7283</v>
      </c>
      <c r="O575" t="str">
        <f t="shared" si="26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24"/>
        <v>3267</v>
      </c>
      <c r="M576">
        <f t="shared" si="24"/>
        <v>-9</v>
      </c>
      <c r="N576">
        <f t="shared" si="25"/>
        <v>0</v>
      </c>
      <c r="O576" t="str">
        <f t="shared" si="26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24"/>
        <v>3267</v>
      </c>
      <c r="M577">
        <f t="shared" si="24"/>
        <v>9</v>
      </c>
      <c r="N577">
        <f t="shared" si="25"/>
        <v>11244</v>
      </c>
      <c r="O577" t="str">
        <f t="shared" si="26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24"/>
        <v>3267</v>
      </c>
      <c r="M578">
        <f t="shared" si="24"/>
        <v>45</v>
      </c>
      <c r="N578">
        <f t="shared" si="25"/>
        <v>24171</v>
      </c>
      <c r="O578" t="str">
        <f t="shared" si="26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M642" si="27">A579</f>
        <v>3267</v>
      </c>
      <c r="M579">
        <f t="shared" si="27"/>
        <v>90</v>
      </c>
      <c r="N579">
        <f t="shared" ref="N579:N642" si="28">C579*1000</f>
        <v>40437</v>
      </c>
      <c r="O579" t="str">
        <f t="shared" ref="O579:O642" si="2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27"/>
        <v>3267</v>
      </c>
      <c r="M580">
        <f t="shared" si="27"/>
        <v>135</v>
      </c>
      <c r="N580">
        <f t="shared" si="28"/>
        <v>56824</v>
      </c>
      <c r="O580" t="str">
        <f t="shared" si="2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27"/>
        <v>3267</v>
      </c>
      <c r="M581">
        <f t="shared" si="27"/>
        <v>180</v>
      </c>
      <c r="N581">
        <f t="shared" si="28"/>
        <v>73332</v>
      </c>
      <c r="O581" t="str">
        <f t="shared" si="2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27"/>
        <v>3267</v>
      </c>
      <c r="M582">
        <f t="shared" si="27"/>
        <v>225</v>
      </c>
      <c r="N582">
        <f t="shared" si="28"/>
        <v>89960</v>
      </c>
      <c r="O582" t="str">
        <f t="shared" si="2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27"/>
        <v>3267</v>
      </c>
      <c r="M583">
        <f t="shared" si="27"/>
        <v>270</v>
      </c>
      <c r="N583">
        <f t="shared" si="28"/>
        <v>106709</v>
      </c>
      <c r="O583" t="str">
        <f t="shared" si="2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27"/>
        <v>3267</v>
      </c>
      <c r="M584">
        <f t="shared" si="27"/>
        <v>315</v>
      </c>
      <c r="N584">
        <f t="shared" si="28"/>
        <v>123579</v>
      </c>
      <c r="O584" t="str">
        <f t="shared" si="2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27"/>
        <v>3267</v>
      </c>
      <c r="M585">
        <f t="shared" si="27"/>
        <v>360</v>
      </c>
      <c r="N585">
        <f t="shared" si="28"/>
        <v>140569</v>
      </c>
      <c r="O585" t="str">
        <f t="shared" si="2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27"/>
        <v>3267</v>
      </c>
      <c r="M586">
        <f t="shared" si="27"/>
        <v>405</v>
      </c>
      <c r="N586">
        <f t="shared" si="28"/>
        <v>157679</v>
      </c>
      <c r="O586" t="str">
        <f t="shared" si="2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27"/>
        <v>3267</v>
      </c>
      <c r="M587">
        <f t="shared" si="27"/>
        <v>450</v>
      </c>
      <c r="N587">
        <f t="shared" si="28"/>
        <v>174910</v>
      </c>
      <c r="O587" t="str">
        <f t="shared" si="2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27"/>
        <v>3267</v>
      </c>
      <c r="M588">
        <f t="shared" si="27"/>
        <v>495</v>
      </c>
      <c r="N588">
        <f t="shared" si="28"/>
        <v>192262</v>
      </c>
      <c r="O588" t="str">
        <f t="shared" si="2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27"/>
        <v>3267</v>
      </c>
      <c r="M589">
        <f t="shared" si="27"/>
        <v>540</v>
      </c>
      <c r="N589">
        <f t="shared" si="28"/>
        <v>209734</v>
      </c>
      <c r="O589" t="str">
        <f t="shared" si="2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27"/>
        <v>3267</v>
      </c>
      <c r="M590">
        <f t="shared" si="27"/>
        <v>585</v>
      </c>
      <c r="N590">
        <f t="shared" si="28"/>
        <v>227327</v>
      </c>
      <c r="O590" t="str">
        <f t="shared" si="2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27"/>
        <v>3267</v>
      </c>
      <c r="M591">
        <f t="shared" si="27"/>
        <v>630</v>
      </c>
      <c r="N591">
        <f t="shared" si="28"/>
        <v>245040</v>
      </c>
      <c r="O591" t="str">
        <f t="shared" si="2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27"/>
        <v>3267</v>
      </c>
      <c r="M592">
        <f t="shared" si="27"/>
        <v>675</v>
      </c>
      <c r="N592">
        <f t="shared" si="28"/>
        <v>262874</v>
      </c>
      <c r="O592" t="str">
        <f t="shared" si="2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27"/>
        <v>3267</v>
      </c>
      <c r="M593">
        <f t="shared" si="27"/>
        <v>720</v>
      </c>
      <c r="N593">
        <f t="shared" si="28"/>
        <v>280829</v>
      </c>
      <c r="O593" t="str">
        <f t="shared" si="2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27"/>
        <v>3267</v>
      </c>
      <c r="M594">
        <f t="shared" si="27"/>
        <v>765</v>
      </c>
      <c r="N594">
        <f t="shared" si="28"/>
        <v>298904</v>
      </c>
      <c r="O594" t="str">
        <f t="shared" si="2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27"/>
        <v>3267</v>
      </c>
      <c r="M595">
        <f t="shared" si="27"/>
        <v>810</v>
      </c>
      <c r="N595">
        <f t="shared" si="28"/>
        <v>317099</v>
      </c>
      <c r="O595" t="str">
        <f t="shared" si="2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27"/>
        <v>3267</v>
      </c>
      <c r="M596">
        <f t="shared" si="27"/>
        <v>855</v>
      </c>
      <c r="N596">
        <f t="shared" si="28"/>
        <v>335415</v>
      </c>
      <c r="O596" t="str">
        <f t="shared" si="2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27"/>
        <v>3267</v>
      </c>
      <c r="M597">
        <f t="shared" si="27"/>
        <v>900</v>
      </c>
      <c r="N597">
        <f t="shared" si="28"/>
        <v>353852</v>
      </c>
      <c r="O597" t="str">
        <f t="shared" si="2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27"/>
        <v>3267</v>
      </c>
      <c r="M598">
        <f t="shared" si="27"/>
        <v>945</v>
      </c>
      <c r="N598">
        <f t="shared" si="28"/>
        <v>372410</v>
      </c>
      <c r="O598" t="str">
        <f t="shared" si="2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27"/>
        <v>3267</v>
      </c>
      <c r="M599">
        <f t="shared" si="27"/>
        <v>990</v>
      </c>
      <c r="N599">
        <f t="shared" si="28"/>
        <v>391087</v>
      </c>
      <c r="O599" t="str">
        <f t="shared" si="2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27"/>
        <v>3564</v>
      </c>
      <c r="M600">
        <f t="shared" si="27"/>
        <v>-990</v>
      </c>
      <c r="N600">
        <f t="shared" si="28"/>
        <v>-313190</v>
      </c>
      <c r="O600" t="str">
        <f t="shared" si="2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27"/>
        <v>3564</v>
      </c>
      <c r="M601">
        <f t="shared" si="27"/>
        <v>-945</v>
      </c>
      <c r="N601">
        <f t="shared" si="28"/>
        <v>-299903</v>
      </c>
      <c r="O601" t="str">
        <f t="shared" si="2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27"/>
        <v>3564</v>
      </c>
      <c r="M602">
        <f t="shared" si="27"/>
        <v>-900</v>
      </c>
      <c r="N602">
        <f t="shared" si="28"/>
        <v>-286485</v>
      </c>
      <c r="O602" t="str">
        <f t="shared" si="2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27"/>
        <v>3564</v>
      </c>
      <c r="M603">
        <f t="shared" si="27"/>
        <v>-855</v>
      </c>
      <c r="N603">
        <f t="shared" si="28"/>
        <v>-272938</v>
      </c>
      <c r="O603" t="str">
        <f t="shared" si="2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27"/>
        <v>3564</v>
      </c>
      <c r="M604">
        <f t="shared" si="27"/>
        <v>-810</v>
      </c>
      <c r="N604">
        <f t="shared" si="28"/>
        <v>-259261.00000000003</v>
      </c>
      <c r="O604" t="str">
        <f t="shared" si="2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27"/>
        <v>3564</v>
      </c>
      <c r="M605">
        <f t="shared" si="27"/>
        <v>-765</v>
      </c>
      <c r="N605">
        <f t="shared" si="28"/>
        <v>-245454</v>
      </c>
      <c r="O605" t="str">
        <f t="shared" si="2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27"/>
        <v>3564</v>
      </c>
      <c r="M606">
        <f t="shared" si="27"/>
        <v>-720</v>
      </c>
      <c r="N606">
        <f t="shared" si="28"/>
        <v>-231518</v>
      </c>
      <c r="O606" t="str">
        <f t="shared" si="2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27"/>
        <v>3564</v>
      </c>
      <c r="M607">
        <f t="shared" si="27"/>
        <v>-675</v>
      </c>
      <c r="N607">
        <f t="shared" si="28"/>
        <v>-217451</v>
      </c>
      <c r="O607" t="str">
        <f t="shared" si="2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27"/>
        <v>3564</v>
      </c>
      <c r="M608">
        <f t="shared" si="27"/>
        <v>-630</v>
      </c>
      <c r="N608">
        <f t="shared" si="28"/>
        <v>-203255</v>
      </c>
      <c r="O608" t="str">
        <f t="shared" si="2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27"/>
        <v>3564</v>
      </c>
      <c r="M609">
        <f t="shared" si="27"/>
        <v>-585</v>
      </c>
      <c r="N609">
        <f t="shared" si="28"/>
        <v>-188929</v>
      </c>
      <c r="O609" t="str">
        <f t="shared" si="2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27"/>
        <v>3564</v>
      </c>
      <c r="M610">
        <f t="shared" si="27"/>
        <v>-540</v>
      </c>
      <c r="N610">
        <f t="shared" si="28"/>
        <v>-174474</v>
      </c>
      <c r="O610" t="str">
        <f t="shared" si="2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27"/>
        <v>3564</v>
      </c>
      <c r="M611">
        <f t="shared" si="27"/>
        <v>-495</v>
      </c>
      <c r="N611">
        <f t="shared" si="28"/>
        <v>-159888</v>
      </c>
      <c r="O611" t="str">
        <f t="shared" si="2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27"/>
        <v>3564</v>
      </c>
      <c r="M612">
        <f t="shared" si="27"/>
        <v>-450</v>
      </c>
      <c r="N612">
        <f t="shared" si="28"/>
        <v>-145173</v>
      </c>
      <c r="O612" t="str">
        <f t="shared" si="2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27"/>
        <v>3564</v>
      </c>
      <c r="M613">
        <f t="shared" si="27"/>
        <v>-405</v>
      </c>
      <c r="N613">
        <f t="shared" si="28"/>
        <v>-130328</v>
      </c>
      <c r="O613" t="str">
        <f t="shared" si="2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27"/>
        <v>3564</v>
      </c>
      <c r="M614">
        <f t="shared" si="27"/>
        <v>-360</v>
      </c>
      <c r="N614">
        <f t="shared" si="28"/>
        <v>-115353</v>
      </c>
      <c r="O614" t="str">
        <f t="shared" si="2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27"/>
        <v>3564</v>
      </c>
      <c r="M615">
        <f t="shared" si="27"/>
        <v>-315</v>
      </c>
      <c r="N615">
        <f t="shared" si="28"/>
        <v>-100248</v>
      </c>
      <c r="O615" t="str">
        <f t="shared" si="2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27"/>
        <v>3564</v>
      </c>
      <c r="M616">
        <f t="shared" si="27"/>
        <v>-270</v>
      </c>
      <c r="N616">
        <f t="shared" si="28"/>
        <v>-85013</v>
      </c>
      <c r="O616" t="str">
        <f t="shared" si="2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27"/>
        <v>3564</v>
      </c>
      <c r="M617">
        <f t="shared" si="27"/>
        <v>-225</v>
      </c>
      <c r="N617">
        <f t="shared" si="28"/>
        <v>-69649</v>
      </c>
      <c r="O617" t="str">
        <f t="shared" si="2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27"/>
        <v>3564</v>
      </c>
      <c r="M618">
        <f t="shared" si="27"/>
        <v>-180</v>
      </c>
      <c r="N618">
        <f t="shared" si="28"/>
        <v>-54155</v>
      </c>
      <c r="O618" t="str">
        <f t="shared" si="2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27"/>
        <v>3564</v>
      </c>
      <c r="M619">
        <f t="shared" si="27"/>
        <v>-135</v>
      </c>
      <c r="N619">
        <f t="shared" si="28"/>
        <v>-38531</v>
      </c>
      <c r="O619" t="str">
        <f t="shared" si="2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27"/>
        <v>3564</v>
      </c>
      <c r="M620">
        <f t="shared" si="27"/>
        <v>-90</v>
      </c>
      <c r="N620">
        <f t="shared" si="28"/>
        <v>-22777</v>
      </c>
      <c r="O620" t="str">
        <f t="shared" si="2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27"/>
        <v>3564</v>
      </c>
      <c r="M621">
        <f t="shared" si="27"/>
        <v>-45</v>
      </c>
      <c r="N621">
        <f t="shared" si="28"/>
        <v>-6894</v>
      </c>
      <c r="O621" t="str">
        <f t="shared" si="2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27"/>
        <v>3564</v>
      </c>
      <c r="M622">
        <f t="shared" si="27"/>
        <v>-9</v>
      </c>
      <c r="N622">
        <f t="shared" si="28"/>
        <v>0</v>
      </c>
      <c r="O622" t="str">
        <f t="shared" si="2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27"/>
        <v>3564</v>
      </c>
      <c r="M623">
        <f t="shared" si="27"/>
        <v>9</v>
      </c>
      <c r="N623">
        <f t="shared" si="28"/>
        <v>13407</v>
      </c>
      <c r="O623" t="str">
        <f t="shared" si="2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27"/>
        <v>3564</v>
      </c>
      <c r="M624">
        <f t="shared" si="27"/>
        <v>45</v>
      </c>
      <c r="N624">
        <f t="shared" si="28"/>
        <v>27509</v>
      </c>
      <c r="O624" t="str">
        <f t="shared" si="2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27"/>
        <v>3564</v>
      </c>
      <c r="M625">
        <f t="shared" si="27"/>
        <v>90</v>
      </c>
      <c r="N625">
        <f t="shared" si="28"/>
        <v>45264</v>
      </c>
      <c r="O625" t="str">
        <f t="shared" si="2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27"/>
        <v>3564</v>
      </c>
      <c r="M626">
        <f t="shared" si="27"/>
        <v>135</v>
      </c>
      <c r="N626">
        <f t="shared" si="28"/>
        <v>63160</v>
      </c>
      <c r="O626" t="str">
        <f t="shared" si="2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27"/>
        <v>3564</v>
      </c>
      <c r="M627">
        <f t="shared" si="27"/>
        <v>180</v>
      </c>
      <c r="N627">
        <f t="shared" si="28"/>
        <v>81196</v>
      </c>
      <c r="O627" t="str">
        <f t="shared" si="2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27"/>
        <v>3564</v>
      </c>
      <c r="M628">
        <f t="shared" si="27"/>
        <v>225</v>
      </c>
      <c r="N628">
        <f t="shared" si="28"/>
        <v>99373</v>
      </c>
      <c r="O628" t="str">
        <f t="shared" si="2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27"/>
        <v>3564</v>
      </c>
      <c r="M629">
        <f t="shared" si="27"/>
        <v>270</v>
      </c>
      <c r="N629">
        <f t="shared" si="28"/>
        <v>117692</v>
      </c>
      <c r="O629" t="str">
        <f t="shared" si="2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27"/>
        <v>3564</v>
      </c>
      <c r="M630">
        <f t="shared" si="27"/>
        <v>315</v>
      </c>
      <c r="N630">
        <f t="shared" si="28"/>
        <v>136151</v>
      </c>
      <c r="O630" t="str">
        <f t="shared" si="2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27"/>
        <v>3564</v>
      </c>
      <c r="M631">
        <f t="shared" si="27"/>
        <v>360</v>
      </c>
      <c r="N631">
        <f t="shared" si="28"/>
        <v>154750</v>
      </c>
      <c r="O631" t="str">
        <f t="shared" si="2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27"/>
        <v>3564</v>
      </c>
      <c r="M632">
        <f t="shared" si="27"/>
        <v>405</v>
      </c>
      <c r="N632">
        <f t="shared" si="28"/>
        <v>173491</v>
      </c>
      <c r="O632" t="str">
        <f t="shared" si="2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27"/>
        <v>3564</v>
      </c>
      <c r="M633">
        <f t="shared" si="27"/>
        <v>450</v>
      </c>
      <c r="N633">
        <f t="shared" si="28"/>
        <v>192372</v>
      </c>
      <c r="O633" t="str">
        <f t="shared" si="2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27"/>
        <v>3564</v>
      </c>
      <c r="M634">
        <f t="shared" si="27"/>
        <v>495</v>
      </c>
      <c r="N634">
        <f t="shared" si="28"/>
        <v>211395</v>
      </c>
      <c r="O634" t="str">
        <f t="shared" si="2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27"/>
        <v>3564</v>
      </c>
      <c r="M635">
        <f t="shared" si="27"/>
        <v>540</v>
      </c>
      <c r="N635">
        <f t="shared" si="28"/>
        <v>230558</v>
      </c>
      <c r="O635" t="str">
        <f t="shared" si="2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27"/>
        <v>3564</v>
      </c>
      <c r="M636">
        <f t="shared" si="27"/>
        <v>585</v>
      </c>
      <c r="N636">
        <f t="shared" si="28"/>
        <v>249862</v>
      </c>
      <c r="O636" t="str">
        <f t="shared" si="2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27"/>
        <v>3564</v>
      </c>
      <c r="M637">
        <f t="shared" si="27"/>
        <v>630</v>
      </c>
      <c r="N637">
        <f t="shared" si="28"/>
        <v>269307</v>
      </c>
      <c r="O637" t="str">
        <f t="shared" si="2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27"/>
        <v>3564</v>
      </c>
      <c r="M638">
        <f t="shared" si="27"/>
        <v>675</v>
      </c>
      <c r="N638">
        <f t="shared" si="28"/>
        <v>288892</v>
      </c>
      <c r="O638" t="str">
        <f t="shared" si="2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27"/>
        <v>3564</v>
      </c>
      <c r="M639">
        <f t="shared" si="27"/>
        <v>720</v>
      </c>
      <c r="N639">
        <f t="shared" si="28"/>
        <v>308619</v>
      </c>
      <c r="O639" t="str">
        <f t="shared" si="2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27"/>
        <v>3564</v>
      </c>
      <c r="M640">
        <f t="shared" si="27"/>
        <v>765</v>
      </c>
      <c r="N640">
        <f t="shared" si="28"/>
        <v>328486</v>
      </c>
      <c r="O640" t="str">
        <f t="shared" si="2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27"/>
        <v>3564</v>
      </c>
      <c r="M641">
        <f t="shared" si="27"/>
        <v>810</v>
      </c>
      <c r="N641">
        <f t="shared" si="28"/>
        <v>348494</v>
      </c>
      <c r="O641" t="str">
        <f t="shared" si="2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27"/>
        <v>3564</v>
      </c>
      <c r="M642">
        <f t="shared" si="27"/>
        <v>855</v>
      </c>
      <c r="N642">
        <f t="shared" si="28"/>
        <v>368643</v>
      </c>
      <c r="O642" t="str">
        <f t="shared" si="2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M706" si="30">A643</f>
        <v>3564</v>
      </c>
      <c r="M643">
        <f t="shared" si="30"/>
        <v>900</v>
      </c>
      <c r="N643">
        <f t="shared" ref="N643:N706" si="31">C643*1000</f>
        <v>388933</v>
      </c>
      <c r="O643" t="str">
        <f t="shared" ref="O643:O706" si="32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30"/>
        <v>3564</v>
      </c>
      <c r="M644">
        <f t="shared" si="30"/>
        <v>945</v>
      </c>
      <c r="N644">
        <f t="shared" si="31"/>
        <v>409364</v>
      </c>
      <c r="O644" t="str">
        <f t="shared" si="32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30"/>
        <v>3564</v>
      </c>
      <c r="M645">
        <f t="shared" si="30"/>
        <v>990</v>
      </c>
      <c r="N645">
        <f t="shared" si="31"/>
        <v>429935</v>
      </c>
      <c r="O645" t="str">
        <f t="shared" si="32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30"/>
        <v>3861</v>
      </c>
      <c r="M646">
        <f t="shared" si="30"/>
        <v>-990</v>
      </c>
      <c r="N646">
        <f t="shared" si="31"/>
        <v>-335857</v>
      </c>
      <c r="O646" t="str">
        <f t="shared" si="32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30"/>
        <v>3861</v>
      </c>
      <c r="M647">
        <f t="shared" si="30"/>
        <v>-945</v>
      </c>
      <c r="N647">
        <f t="shared" si="31"/>
        <v>-321662</v>
      </c>
      <c r="O647" t="str">
        <f t="shared" si="32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30"/>
        <v>3861</v>
      </c>
      <c r="M648">
        <f t="shared" si="30"/>
        <v>-900</v>
      </c>
      <c r="N648">
        <f t="shared" si="31"/>
        <v>-307317</v>
      </c>
      <c r="O648" t="str">
        <f t="shared" si="32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30"/>
        <v>3861</v>
      </c>
      <c r="M649">
        <f t="shared" si="30"/>
        <v>-855</v>
      </c>
      <c r="N649">
        <f t="shared" si="31"/>
        <v>-292822</v>
      </c>
      <c r="O649" t="str">
        <f t="shared" si="32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30"/>
        <v>3861</v>
      </c>
      <c r="M650">
        <f t="shared" si="30"/>
        <v>-810</v>
      </c>
      <c r="N650">
        <f t="shared" si="31"/>
        <v>-278177</v>
      </c>
      <c r="O650" t="str">
        <f t="shared" si="32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30"/>
        <v>3861</v>
      </c>
      <c r="M651">
        <f t="shared" si="30"/>
        <v>-765</v>
      </c>
      <c r="N651">
        <f t="shared" si="31"/>
        <v>-263381</v>
      </c>
      <c r="O651" t="str">
        <f t="shared" si="32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30"/>
        <v>3861</v>
      </c>
      <c r="M652">
        <f t="shared" si="30"/>
        <v>-720</v>
      </c>
      <c r="N652">
        <f t="shared" si="31"/>
        <v>-248436</v>
      </c>
      <c r="O652" t="str">
        <f t="shared" si="32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30"/>
        <v>3861</v>
      </c>
      <c r="M653">
        <f t="shared" si="30"/>
        <v>-675</v>
      </c>
      <c r="N653">
        <f t="shared" si="31"/>
        <v>-233340</v>
      </c>
      <c r="O653" t="str">
        <f t="shared" si="32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30"/>
        <v>3861</v>
      </c>
      <c r="M654">
        <f t="shared" si="30"/>
        <v>-630</v>
      </c>
      <c r="N654">
        <f t="shared" si="31"/>
        <v>-218095</v>
      </c>
      <c r="O654" t="str">
        <f t="shared" si="32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30"/>
        <v>3861</v>
      </c>
      <c r="M655">
        <f t="shared" si="30"/>
        <v>-585</v>
      </c>
      <c r="N655">
        <f t="shared" si="31"/>
        <v>-202699</v>
      </c>
      <c r="O655" t="str">
        <f t="shared" si="32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30"/>
        <v>3861</v>
      </c>
      <c r="M656">
        <f t="shared" si="30"/>
        <v>-540</v>
      </c>
      <c r="N656">
        <f t="shared" si="31"/>
        <v>-187153</v>
      </c>
      <c r="O656" t="str">
        <f t="shared" si="32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30"/>
        <v>3861</v>
      </c>
      <c r="M657">
        <f t="shared" si="30"/>
        <v>-495</v>
      </c>
      <c r="N657">
        <f t="shared" si="31"/>
        <v>-171457</v>
      </c>
      <c r="O657" t="str">
        <f t="shared" si="32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30"/>
        <v>3861</v>
      </c>
      <c r="M658">
        <f t="shared" si="30"/>
        <v>-450</v>
      </c>
      <c r="N658">
        <f t="shared" si="31"/>
        <v>-155612</v>
      </c>
      <c r="O658" t="str">
        <f t="shared" si="32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30"/>
        <v>3861</v>
      </c>
      <c r="M659">
        <f t="shared" si="30"/>
        <v>-405</v>
      </c>
      <c r="N659">
        <f t="shared" si="31"/>
        <v>-139616</v>
      </c>
      <c r="O659" t="str">
        <f t="shared" si="32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30"/>
        <v>3861</v>
      </c>
      <c r="M660">
        <f t="shared" si="30"/>
        <v>-360</v>
      </c>
      <c r="N660">
        <f t="shared" si="31"/>
        <v>-123470</v>
      </c>
      <c r="O660" t="str">
        <f t="shared" si="32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30"/>
        <v>3861</v>
      </c>
      <c r="M661">
        <f t="shared" si="30"/>
        <v>-315</v>
      </c>
      <c r="N661">
        <f t="shared" si="31"/>
        <v>-107173</v>
      </c>
      <c r="O661" t="str">
        <f t="shared" si="32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30"/>
        <v>3861</v>
      </c>
      <c r="M662">
        <f t="shared" si="30"/>
        <v>-270</v>
      </c>
      <c r="N662">
        <f t="shared" si="31"/>
        <v>-90727</v>
      </c>
      <c r="O662" t="str">
        <f t="shared" si="32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30"/>
        <v>3861</v>
      </c>
      <c r="M663">
        <f t="shared" si="30"/>
        <v>-225</v>
      </c>
      <c r="N663">
        <f t="shared" si="31"/>
        <v>-74131</v>
      </c>
      <c r="O663" t="str">
        <f t="shared" si="32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30"/>
        <v>3861</v>
      </c>
      <c r="M664">
        <f t="shared" si="30"/>
        <v>-180</v>
      </c>
      <c r="N664">
        <f t="shared" si="31"/>
        <v>-57384</v>
      </c>
      <c r="O664" t="str">
        <f t="shared" si="32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30"/>
        <v>3861</v>
      </c>
      <c r="M665">
        <f t="shared" si="30"/>
        <v>-135</v>
      </c>
      <c r="N665">
        <f t="shared" si="31"/>
        <v>-40488</v>
      </c>
      <c r="O665" t="str">
        <f t="shared" si="32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30"/>
        <v>3861</v>
      </c>
      <c r="M666">
        <f t="shared" si="30"/>
        <v>-90</v>
      </c>
      <c r="N666">
        <f t="shared" si="31"/>
        <v>-23441</v>
      </c>
      <c r="O666" t="str">
        <f t="shared" si="32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30"/>
        <v>3861</v>
      </c>
      <c r="M667">
        <f t="shared" si="30"/>
        <v>-45</v>
      </c>
      <c r="N667">
        <f t="shared" si="31"/>
        <v>-6245</v>
      </c>
      <c r="O667" t="str">
        <f t="shared" si="32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30"/>
        <v>3861</v>
      </c>
      <c r="M668">
        <f t="shared" si="30"/>
        <v>-9</v>
      </c>
      <c r="N668">
        <f t="shared" si="31"/>
        <v>0</v>
      </c>
      <c r="O668" t="str">
        <f t="shared" si="32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30"/>
        <v>3861</v>
      </c>
      <c r="M669">
        <f t="shared" si="30"/>
        <v>9</v>
      </c>
      <c r="N669">
        <f t="shared" si="31"/>
        <v>15850</v>
      </c>
      <c r="O669" t="str">
        <f t="shared" si="32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30"/>
        <v>3861</v>
      </c>
      <c r="M670">
        <f t="shared" si="30"/>
        <v>45</v>
      </c>
      <c r="N670">
        <f t="shared" si="31"/>
        <v>31129</v>
      </c>
      <c r="O670" t="str">
        <f t="shared" si="32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30"/>
        <v>3861</v>
      </c>
      <c r="M671">
        <f t="shared" si="30"/>
        <v>90</v>
      </c>
      <c r="N671">
        <f t="shared" si="31"/>
        <v>50375</v>
      </c>
      <c r="O671" t="str">
        <f t="shared" si="32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30"/>
        <v>3861</v>
      </c>
      <c r="M672">
        <f t="shared" si="30"/>
        <v>135</v>
      </c>
      <c r="N672">
        <f t="shared" si="31"/>
        <v>69784</v>
      </c>
      <c r="O672" t="str">
        <f t="shared" si="32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30"/>
        <v>3861</v>
      </c>
      <c r="M673">
        <f t="shared" si="30"/>
        <v>180</v>
      </c>
      <c r="N673">
        <f t="shared" si="31"/>
        <v>89355</v>
      </c>
      <c r="O673" t="str">
        <f t="shared" si="32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30"/>
        <v>3861</v>
      </c>
      <c r="M674">
        <f t="shared" si="30"/>
        <v>225</v>
      </c>
      <c r="N674">
        <f t="shared" si="31"/>
        <v>109089</v>
      </c>
      <c r="O674" t="str">
        <f t="shared" si="32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30"/>
        <v>3861</v>
      </c>
      <c r="M675">
        <f t="shared" si="30"/>
        <v>270</v>
      </c>
      <c r="N675">
        <f t="shared" si="31"/>
        <v>128985.99999999999</v>
      </c>
      <c r="O675" t="str">
        <f t="shared" si="32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30"/>
        <v>3861</v>
      </c>
      <c r="M676">
        <f t="shared" si="30"/>
        <v>315</v>
      </c>
      <c r="N676">
        <f t="shared" si="31"/>
        <v>149046</v>
      </c>
      <c r="O676" t="str">
        <f t="shared" si="32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30"/>
        <v>3861</v>
      </c>
      <c r="M677">
        <f t="shared" si="30"/>
        <v>360</v>
      </c>
      <c r="N677">
        <f t="shared" si="31"/>
        <v>169269</v>
      </c>
      <c r="O677" t="str">
        <f t="shared" si="32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30"/>
        <v>3861</v>
      </c>
      <c r="M678">
        <f t="shared" si="30"/>
        <v>405</v>
      </c>
      <c r="N678">
        <f t="shared" si="31"/>
        <v>189655</v>
      </c>
      <c r="O678" t="str">
        <f t="shared" si="32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30"/>
        <v>3861</v>
      </c>
      <c r="M679">
        <f t="shared" si="30"/>
        <v>450</v>
      </c>
      <c r="N679">
        <f t="shared" si="31"/>
        <v>210203</v>
      </c>
      <c r="O679" t="str">
        <f t="shared" si="32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30"/>
        <v>3861</v>
      </c>
      <c r="M680">
        <f t="shared" si="30"/>
        <v>495</v>
      </c>
      <c r="N680">
        <f t="shared" si="31"/>
        <v>230915</v>
      </c>
      <c r="O680" t="str">
        <f t="shared" si="32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30"/>
        <v>3861</v>
      </c>
      <c r="M681">
        <f t="shared" si="30"/>
        <v>540</v>
      </c>
      <c r="N681">
        <f t="shared" si="31"/>
        <v>251789</v>
      </c>
      <c r="O681" t="str">
        <f t="shared" si="32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30"/>
        <v>3861</v>
      </c>
      <c r="M682">
        <f t="shared" si="30"/>
        <v>585</v>
      </c>
      <c r="N682">
        <f t="shared" si="31"/>
        <v>272826</v>
      </c>
      <c r="O682" t="str">
        <f t="shared" si="32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30"/>
        <v>3861</v>
      </c>
      <c r="M683">
        <f t="shared" si="30"/>
        <v>630</v>
      </c>
      <c r="N683">
        <f t="shared" si="31"/>
        <v>294026</v>
      </c>
      <c r="O683" t="str">
        <f t="shared" si="32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30"/>
        <v>3861</v>
      </c>
      <c r="M684">
        <f t="shared" si="30"/>
        <v>675</v>
      </c>
      <c r="N684">
        <f t="shared" si="31"/>
        <v>315389</v>
      </c>
      <c r="O684" t="str">
        <f t="shared" si="32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30"/>
        <v>3861</v>
      </c>
      <c r="M685">
        <f t="shared" si="30"/>
        <v>720</v>
      </c>
      <c r="N685">
        <f t="shared" si="31"/>
        <v>336914</v>
      </c>
      <c r="O685" t="str">
        <f t="shared" si="32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30"/>
        <v>3861</v>
      </c>
      <c r="M686">
        <f t="shared" si="30"/>
        <v>765</v>
      </c>
      <c r="N686">
        <f t="shared" si="31"/>
        <v>358603</v>
      </c>
      <c r="O686" t="str">
        <f t="shared" si="32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30"/>
        <v>3861</v>
      </c>
      <c r="M687">
        <f t="shared" si="30"/>
        <v>810</v>
      </c>
      <c r="N687">
        <f t="shared" si="31"/>
        <v>380454</v>
      </c>
      <c r="O687" t="str">
        <f t="shared" si="32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30"/>
        <v>3861</v>
      </c>
      <c r="M688">
        <f t="shared" si="30"/>
        <v>855</v>
      </c>
      <c r="N688">
        <f t="shared" si="31"/>
        <v>402468</v>
      </c>
      <c r="O688" t="str">
        <f t="shared" si="32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30"/>
        <v>3861</v>
      </c>
      <c r="M689">
        <f t="shared" si="30"/>
        <v>900</v>
      </c>
      <c r="N689">
        <f t="shared" si="31"/>
        <v>424645</v>
      </c>
      <c r="O689" t="str">
        <f t="shared" si="32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30"/>
        <v>3861</v>
      </c>
      <c r="M690">
        <f t="shared" si="30"/>
        <v>945</v>
      </c>
      <c r="N690">
        <f t="shared" si="31"/>
        <v>446985</v>
      </c>
      <c r="O690" t="str">
        <f t="shared" si="32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30"/>
        <v>3861</v>
      </c>
      <c r="M691">
        <f t="shared" si="30"/>
        <v>990</v>
      </c>
      <c r="N691">
        <f t="shared" si="31"/>
        <v>469488</v>
      </c>
      <c r="O691" t="str">
        <f t="shared" si="32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30"/>
        <v>4158</v>
      </c>
      <c r="M692">
        <f t="shared" si="30"/>
        <v>-990</v>
      </c>
      <c r="N692">
        <f t="shared" si="31"/>
        <v>-357855</v>
      </c>
      <c r="O692" t="str">
        <f t="shared" si="32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30"/>
        <v>4158</v>
      </c>
      <c r="M693">
        <f t="shared" si="30"/>
        <v>-945</v>
      </c>
      <c r="N693">
        <f t="shared" si="31"/>
        <v>-342788</v>
      </c>
      <c r="O693" t="str">
        <f t="shared" si="32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30"/>
        <v>4158</v>
      </c>
      <c r="M694">
        <f t="shared" si="30"/>
        <v>-900</v>
      </c>
      <c r="N694">
        <f t="shared" si="31"/>
        <v>-327548</v>
      </c>
      <c r="O694" t="str">
        <f t="shared" si="32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30"/>
        <v>4158</v>
      </c>
      <c r="M695">
        <f t="shared" si="30"/>
        <v>-855</v>
      </c>
      <c r="N695">
        <f t="shared" si="31"/>
        <v>-312136</v>
      </c>
      <c r="O695" t="str">
        <f t="shared" si="32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30"/>
        <v>4158</v>
      </c>
      <c r="M696">
        <f t="shared" si="30"/>
        <v>-810</v>
      </c>
      <c r="N696">
        <f t="shared" si="31"/>
        <v>-296552</v>
      </c>
      <c r="O696" t="str">
        <f t="shared" si="32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30"/>
        <v>4158</v>
      </c>
      <c r="M697">
        <f t="shared" si="30"/>
        <v>-765</v>
      </c>
      <c r="N697">
        <f t="shared" si="31"/>
        <v>-280797</v>
      </c>
      <c r="O697" t="str">
        <f t="shared" si="32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30"/>
        <v>4158</v>
      </c>
      <c r="M698">
        <f t="shared" si="30"/>
        <v>-720</v>
      </c>
      <c r="N698">
        <f t="shared" si="31"/>
        <v>-264869</v>
      </c>
      <c r="O698" t="str">
        <f t="shared" si="32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30"/>
        <v>4158</v>
      </c>
      <c r="M699">
        <f t="shared" si="30"/>
        <v>-675</v>
      </c>
      <c r="N699">
        <f t="shared" si="31"/>
        <v>-248769</v>
      </c>
      <c r="O699" t="str">
        <f t="shared" si="32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30"/>
        <v>4158</v>
      </c>
      <c r="M700">
        <f t="shared" si="30"/>
        <v>-630</v>
      </c>
      <c r="N700">
        <f t="shared" si="31"/>
        <v>-232498</v>
      </c>
      <c r="O700" t="str">
        <f t="shared" si="32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30"/>
        <v>4158</v>
      </c>
      <c r="M701">
        <f t="shared" si="30"/>
        <v>-585</v>
      </c>
      <c r="N701">
        <f t="shared" si="31"/>
        <v>-216054</v>
      </c>
      <c r="O701" t="str">
        <f t="shared" si="32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30"/>
        <v>4158</v>
      </c>
      <c r="M702">
        <f t="shared" si="30"/>
        <v>-540</v>
      </c>
      <c r="N702">
        <f t="shared" si="31"/>
        <v>-199439</v>
      </c>
      <c r="O702" t="str">
        <f t="shared" si="32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30"/>
        <v>4158</v>
      </c>
      <c r="M703">
        <f t="shared" si="30"/>
        <v>-495</v>
      </c>
      <c r="N703">
        <f t="shared" si="31"/>
        <v>-182651</v>
      </c>
      <c r="O703" t="str">
        <f t="shared" si="32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30"/>
        <v>4158</v>
      </c>
      <c r="M704">
        <f t="shared" si="30"/>
        <v>-450</v>
      </c>
      <c r="N704">
        <f t="shared" si="31"/>
        <v>-165691</v>
      </c>
      <c r="O704" t="str">
        <f t="shared" si="32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30"/>
        <v>4158</v>
      </c>
      <c r="M705">
        <f t="shared" si="30"/>
        <v>-405</v>
      </c>
      <c r="N705">
        <f t="shared" si="31"/>
        <v>-148560</v>
      </c>
      <c r="O705" t="str">
        <f t="shared" si="32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30"/>
        <v>4158</v>
      </c>
      <c r="M706">
        <f t="shared" si="30"/>
        <v>-360</v>
      </c>
      <c r="N706">
        <f t="shared" si="31"/>
        <v>-131256</v>
      </c>
      <c r="O706" t="str">
        <f t="shared" si="32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M770" si="33">A707</f>
        <v>4158</v>
      </c>
      <c r="M707">
        <f t="shared" si="33"/>
        <v>-315</v>
      </c>
      <c r="N707">
        <f t="shared" ref="N707:N770" si="34">C707*1000</f>
        <v>-113781</v>
      </c>
      <c r="O707" t="str">
        <f t="shared" ref="O707:O770" si="35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33"/>
        <v>4158</v>
      </c>
      <c r="M708">
        <f t="shared" si="33"/>
        <v>-270</v>
      </c>
      <c r="N708">
        <f t="shared" si="34"/>
        <v>-96134</v>
      </c>
      <c r="O708" t="str">
        <f t="shared" si="35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33"/>
        <v>4158</v>
      </c>
      <c r="M709">
        <f t="shared" si="33"/>
        <v>-225</v>
      </c>
      <c r="N709">
        <f t="shared" si="34"/>
        <v>-78314</v>
      </c>
      <c r="O709" t="str">
        <f t="shared" si="35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33"/>
        <v>4158</v>
      </c>
      <c r="M710">
        <f t="shared" si="33"/>
        <v>-180</v>
      </c>
      <c r="N710">
        <f t="shared" si="34"/>
        <v>-60323</v>
      </c>
      <c r="O710" t="str">
        <f t="shared" si="35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33"/>
        <v>4158</v>
      </c>
      <c r="M711">
        <f t="shared" si="33"/>
        <v>-135</v>
      </c>
      <c r="N711">
        <f t="shared" si="34"/>
        <v>-42159</v>
      </c>
      <c r="O711" t="str">
        <f t="shared" si="35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33"/>
        <v>4158</v>
      </c>
      <c r="M712">
        <f t="shared" si="33"/>
        <v>-90</v>
      </c>
      <c r="N712">
        <f t="shared" si="34"/>
        <v>-23824</v>
      </c>
      <c r="O712" t="str">
        <f t="shared" si="35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33"/>
        <v>4158</v>
      </c>
      <c r="M713">
        <f t="shared" si="33"/>
        <v>-45</v>
      </c>
      <c r="N713">
        <f t="shared" si="34"/>
        <v>-5316</v>
      </c>
      <c r="O713" t="str">
        <f t="shared" si="35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33"/>
        <v>4158</v>
      </c>
      <c r="M714">
        <f t="shared" si="33"/>
        <v>-9</v>
      </c>
      <c r="N714">
        <f t="shared" si="34"/>
        <v>0</v>
      </c>
      <c r="O714" t="str">
        <f t="shared" si="35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33"/>
        <v>4158</v>
      </c>
      <c r="M715">
        <f t="shared" si="33"/>
        <v>9</v>
      </c>
      <c r="N715">
        <f t="shared" si="34"/>
        <v>18595</v>
      </c>
      <c r="O715" t="str">
        <f t="shared" si="35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33"/>
        <v>4158</v>
      </c>
      <c r="M716">
        <f t="shared" si="33"/>
        <v>45</v>
      </c>
      <c r="N716">
        <f t="shared" si="34"/>
        <v>35052</v>
      </c>
      <c r="O716" t="str">
        <f t="shared" si="35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33"/>
        <v>4158</v>
      </c>
      <c r="M717">
        <f t="shared" si="33"/>
        <v>90</v>
      </c>
      <c r="N717">
        <f t="shared" si="34"/>
        <v>55792</v>
      </c>
      <c r="O717" t="str">
        <f t="shared" si="35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33"/>
        <v>4158</v>
      </c>
      <c r="M718">
        <f t="shared" si="33"/>
        <v>135</v>
      </c>
      <c r="N718">
        <f t="shared" si="34"/>
        <v>76718</v>
      </c>
      <c r="O718" t="str">
        <f t="shared" si="35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33"/>
        <v>4158</v>
      </c>
      <c r="M719">
        <f t="shared" si="33"/>
        <v>180</v>
      </c>
      <c r="N719">
        <f t="shared" si="34"/>
        <v>97830</v>
      </c>
      <c r="O719" t="str">
        <f t="shared" si="35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33"/>
        <v>4158</v>
      </c>
      <c r="M720">
        <f t="shared" si="33"/>
        <v>225</v>
      </c>
      <c r="N720">
        <f t="shared" si="34"/>
        <v>119129</v>
      </c>
      <c r="O720" t="str">
        <f t="shared" si="35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33"/>
        <v>4158</v>
      </c>
      <c r="M721">
        <f t="shared" si="33"/>
        <v>270</v>
      </c>
      <c r="N721">
        <f t="shared" si="34"/>
        <v>140615</v>
      </c>
      <c r="O721" t="str">
        <f t="shared" si="35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33"/>
        <v>4158</v>
      </c>
      <c r="M722">
        <f t="shared" si="33"/>
        <v>315</v>
      </c>
      <c r="N722">
        <f t="shared" si="34"/>
        <v>162287</v>
      </c>
      <c r="O722" t="str">
        <f t="shared" si="35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33"/>
        <v>4158</v>
      </c>
      <c r="M723">
        <f t="shared" si="33"/>
        <v>360</v>
      </c>
      <c r="N723">
        <f t="shared" si="34"/>
        <v>184146</v>
      </c>
      <c r="O723" t="str">
        <f t="shared" si="35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33"/>
        <v>4158</v>
      </c>
      <c r="M724">
        <f t="shared" si="33"/>
        <v>405</v>
      </c>
      <c r="N724">
        <f t="shared" si="34"/>
        <v>206192</v>
      </c>
      <c r="O724" t="str">
        <f t="shared" si="35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33"/>
        <v>4158</v>
      </c>
      <c r="M725">
        <f t="shared" si="33"/>
        <v>450</v>
      </c>
      <c r="N725">
        <f t="shared" si="34"/>
        <v>228424</v>
      </c>
      <c r="O725" t="str">
        <f t="shared" si="35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33"/>
        <v>4158</v>
      </c>
      <c r="M726">
        <f t="shared" si="33"/>
        <v>495</v>
      </c>
      <c r="N726">
        <f t="shared" si="34"/>
        <v>250843</v>
      </c>
      <c r="O726" t="str">
        <f t="shared" si="35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33"/>
        <v>4158</v>
      </c>
      <c r="M727">
        <f t="shared" si="33"/>
        <v>540</v>
      </c>
      <c r="N727">
        <f t="shared" si="34"/>
        <v>273448</v>
      </c>
      <c r="O727" t="str">
        <f t="shared" si="35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33"/>
        <v>4158</v>
      </c>
      <c r="M728">
        <f t="shared" si="33"/>
        <v>585</v>
      </c>
      <c r="N728">
        <f t="shared" si="34"/>
        <v>296240</v>
      </c>
      <c r="O728" t="str">
        <f t="shared" si="35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33"/>
        <v>4158</v>
      </c>
      <c r="M729">
        <f t="shared" si="33"/>
        <v>630</v>
      </c>
      <c r="N729">
        <f t="shared" si="34"/>
        <v>319219</v>
      </c>
      <c r="O729" t="str">
        <f t="shared" si="35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33"/>
        <v>4158</v>
      </c>
      <c r="M730">
        <f t="shared" si="33"/>
        <v>675</v>
      </c>
      <c r="N730">
        <f t="shared" si="34"/>
        <v>342384</v>
      </c>
      <c r="O730" t="str">
        <f t="shared" si="35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33"/>
        <v>4158</v>
      </c>
      <c r="M731">
        <f t="shared" si="33"/>
        <v>720</v>
      </c>
      <c r="N731">
        <f t="shared" si="34"/>
        <v>365736</v>
      </c>
      <c r="O731" t="str">
        <f t="shared" si="35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33"/>
        <v>4158</v>
      </c>
      <c r="M732">
        <f t="shared" si="33"/>
        <v>765</v>
      </c>
      <c r="N732">
        <f t="shared" si="34"/>
        <v>389274</v>
      </c>
      <c r="O732" t="str">
        <f t="shared" si="35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33"/>
        <v>4158</v>
      </c>
      <c r="M733">
        <f t="shared" si="33"/>
        <v>810</v>
      </c>
      <c r="N733">
        <f t="shared" si="34"/>
        <v>412999</v>
      </c>
      <c r="O733" t="str">
        <f t="shared" si="35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33"/>
        <v>4158</v>
      </c>
      <c r="M734">
        <f t="shared" si="33"/>
        <v>855</v>
      </c>
      <c r="N734">
        <f t="shared" si="34"/>
        <v>436911</v>
      </c>
      <c r="O734" t="str">
        <f t="shared" si="35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33"/>
        <v>4158</v>
      </c>
      <c r="M735">
        <f t="shared" si="33"/>
        <v>900</v>
      </c>
      <c r="N735">
        <f t="shared" si="34"/>
        <v>461009</v>
      </c>
      <c r="O735" t="str">
        <f t="shared" si="35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33"/>
        <v>4158</v>
      </c>
      <c r="M736">
        <f t="shared" si="33"/>
        <v>945</v>
      </c>
      <c r="N736">
        <f t="shared" si="34"/>
        <v>485294</v>
      </c>
      <c r="O736" t="str">
        <f t="shared" si="35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33"/>
        <v>4158</v>
      </c>
      <c r="M737">
        <f t="shared" si="33"/>
        <v>990</v>
      </c>
      <c r="N737">
        <f t="shared" si="34"/>
        <v>509766</v>
      </c>
      <c r="O737" t="str">
        <f t="shared" si="35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33"/>
        <v>4455</v>
      </c>
      <c r="M738">
        <f t="shared" si="33"/>
        <v>-990</v>
      </c>
      <c r="N738">
        <f t="shared" si="34"/>
        <v>-379166</v>
      </c>
      <c r="O738" t="str">
        <f t="shared" si="35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33"/>
        <v>4455</v>
      </c>
      <c r="M739">
        <f t="shared" si="33"/>
        <v>-945</v>
      </c>
      <c r="N739">
        <f t="shared" si="34"/>
        <v>-363260</v>
      </c>
      <c r="O739" t="str">
        <f t="shared" si="35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33"/>
        <v>4455</v>
      </c>
      <c r="M740">
        <f t="shared" si="33"/>
        <v>-900</v>
      </c>
      <c r="N740">
        <f t="shared" si="34"/>
        <v>-347158</v>
      </c>
      <c r="O740" t="str">
        <f t="shared" si="35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33"/>
        <v>4455</v>
      </c>
      <c r="M741">
        <f t="shared" si="33"/>
        <v>-855</v>
      </c>
      <c r="N741">
        <f t="shared" si="34"/>
        <v>-330862</v>
      </c>
      <c r="O741" t="str">
        <f t="shared" si="35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33"/>
        <v>4455</v>
      </c>
      <c r="M742">
        <f t="shared" si="33"/>
        <v>-810</v>
      </c>
      <c r="N742">
        <f t="shared" si="34"/>
        <v>-314369</v>
      </c>
      <c r="O742" t="str">
        <f t="shared" si="35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33"/>
        <v>4455</v>
      </c>
      <c r="M743">
        <f t="shared" si="33"/>
        <v>-765</v>
      </c>
      <c r="N743">
        <f t="shared" si="34"/>
        <v>-297681</v>
      </c>
      <c r="O743" t="str">
        <f t="shared" si="35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33"/>
        <v>4455</v>
      </c>
      <c r="M744">
        <f t="shared" si="33"/>
        <v>-720</v>
      </c>
      <c r="N744">
        <f t="shared" si="34"/>
        <v>-280798</v>
      </c>
      <c r="O744" t="str">
        <f t="shared" si="35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33"/>
        <v>4455</v>
      </c>
      <c r="M745">
        <f t="shared" si="33"/>
        <v>-675</v>
      </c>
      <c r="N745">
        <f t="shared" si="34"/>
        <v>-263719</v>
      </c>
      <c r="O745" t="str">
        <f t="shared" si="35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33"/>
        <v>4455</v>
      </c>
      <c r="M746">
        <f t="shared" si="33"/>
        <v>-630</v>
      </c>
      <c r="N746">
        <f t="shared" si="34"/>
        <v>-246445</v>
      </c>
      <c r="O746" t="str">
        <f t="shared" si="35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33"/>
        <v>4455</v>
      </c>
      <c r="M747">
        <f t="shared" si="33"/>
        <v>-585</v>
      </c>
      <c r="N747">
        <f t="shared" si="34"/>
        <v>-228975</v>
      </c>
      <c r="O747" t="str">
        <f t="shared" si="35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33"/>
        <v>4455</v>
      </c>
      <c r="M748">
        <f t="shared" si="33"/>
        <v>-540</v>
      </c>
      <c r="N748">
        <f t="shared" si="34"/>
        <v>-211310</v>
      </c>
      <c r="O748" t="str">
        <f t="shared" si="35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33"/>
        <v>4455</v>
      </c>
      <c r="M749">
        <f t="shared" si="33"/>
        <v>-495</v>
      </c>
      <c r="N749">
        <f t="shared" si="34"/>
        <v>-193449</v>
      </c>
      <c r="O749" t="str">
        <f t="shared" si="35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33"/>
        <v>4455</v>
      </c>
      <c r="M750">
        <f t="shared" si="33"/>
        <v>-450</v>
      </c>
      <c r="N750">
        <f t="shared" si="34"/>
        <v>-175393</v>
      </c>
      <c r="O750" t="str">
        <f t="shared" si="35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33"/>
        <v>4455</v>
      </c>
      <c r="M751">
        <f t="shared" si="33"/>
        <v>-405</v>
      </c>
      <c r="N751">
        <f t="shared" si="34"/>
        <v>-157141</v>
      </c>
      <c r="O751" t="str">
        <f t="shared" si="35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33"/>
        <v>4455</v>
      </c>
      <c r="M752">
        <f t="shared" si="33"/>
        <v>-360</v>
      </c>
      <c r="N752">
        <f t="shared" si="34"/>
        <v>-138694</v>
      </c>
      <c r="O752" t="str">
        <f t="shared" si="35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33"/>
        <v>4455</v>
      </c>
      <c r="M753">
        <f t="shared" si="33"/>
        <v>-315</v>
      </c>
      <c r="N753">
        <f t="shared" si="34"/>
        <v>-120051</v>
      </c>
      <c r="O753" t="str">
        <f t="shared" si="35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33"/>
        <v>4455</v>
      </c>
      <c r="M754">
        <f t="shared" si="33"/>
        <v>-270</v>
      </c>
      <c r="N754">
        <f t="shared" si="34"/>
        <v>-101213</v>
      </c>
      <c r="O754" t="str">
        <f t="shared" si="35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33"/>
        <v>4455</v>
      </c>
      <c r="M755">
        <f t="shared" si="33"/>
        <v>-225</v>
      </c>
      <c r="N755">
        <f t="shared" si="34"/>
        <v>-82179</v>
      </c>
      <c r="O755" t="str">
        <f t="shared" si="35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33"/>
        <v>4455</v>
      </c>
      <c r="M756">
        <f t="shared" si="33"/>
        <v>-180</v>
      </c>
      <c r="N756">
        <f t="shared" si="34"/>
        <v>-62950</v>
      </c>
      <c r="O756" t="str">
        <f t="shared" si="35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33"/>
        <v>4455</v>
      </c>
      <c r="M757">
        <f t="shared" si="33"/>
        <v>-135</v>
      </c>
      <c r="N757">
        <f t="shared" si="34"/>
        <v>-43525</v>
      </c>
      <c r="O757" t="str">
        <f t="shared" si="35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33"/>
        <v>4455</v>
      </c>
      <c r="M758">
        <f t="shared" si="33"/>
        <v>-90</v>
      </c>
      <c r="N758">
        <f t="shared" si="34"/>
        <v>-23905</v>
      </c>
      <c r="O758" t="str">
        <f t="shared" si="35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33"/>
        <v>4455</v>
      </c>
      <c r="M759">
        <f t="shared" si="33"/>
        <v>-45</v>
      </c>
      <c r="N759">
        <f t="shared" si="34"/>
        <v>-4090</v>
      </c>
      <c r="O759" t="str">
        <f t="shared" si="35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33"/>
        <v>4455</v>
      </c>
      <c r="M760">
        <f t="shared" si="33"/>
        <v>-9</v>
      </c>
      <c r="N760">
        <f t="shared" si="34"/>
        <v>0</v>
      </c>
      <c r="O760" t="str">
        <f t="shared" si="35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33"/>
        <v>4455</v>
      </c>
      <c r="M761">
        <f t="shared" si="33"/>
        <v>9</v>
      </c>
      <c r="N761">
        <f t="shared" si="34"/>
        <v>21664</v>
      </c>
      <c r="O761" t="str">
        <f t="shared" si="35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33"/>
        <v>4455</v>
      </c>
      <c r="M762">
        <f t="shared" si="33"/>
        <v>45</v>
      </c>
      <c r="N762">
        <f t="shared" si="34"/>
        <v>39299</v>
      </c>
      <c r="O762" t="str">
        <f t="shared" si="35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33"/>
        <v>4455</v>
      </c>
      <c r="M763">
        <f t="shared" si="33"/>
        <v>90</v>
      </c>
      <c r="N763">
        <f t="shared" si="34"/>
        <v>61535</v>
      </c>
      <c r="O763" t="str">
        <f t="shared" si="35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33"/>
        <v>4455</v>
      </c>
      <c r="M764">
        <f t="shared" si="33"/>
        <v>135</v>
      </c>
      <c r="N764">
        <f t="shared" si="34"/>
        <v>83982</v>
      </c>
      <c r="O764" t="str">
        <f t="shared" si="35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33"/>
        <v>4455</v>
      </c>
      <c r="M765">
        <f t="shared" si="33"/>
        <v>180</v>
      </c>
      <c r="N765">
        <f t="shared" si="34"/>
        <v>106642</v>
      </c>
      <c r="O765" t="str">
        <f t="shared" si="35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33"/>
        <v>4455</v>
      </c>
      <c r="M766">
        <f t="shared" si="33"/>
        <v>225</v>
      </c>
      <c r="N766">
        <f t="shared" si="34"/>
        <v>129514.00000000001</v>
      </c>
      <c r="O766" t="str">
        <f t="shared" si="35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33"/>
        <v>4455</v>
      </c>
      <c r="M767">
        <f t="shared" si="33"/>
        <v>270</v>
      </c>
      <c r="N767">
        <f t="shared" si="34"/>
        <v>152598</v>
      </c>
      <c r="O767" t="str">
        <f t="shared" si="35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33"/>
        <v>4455</v>
      </c>
      <c r="M768">
        <f t="shared" si="33"/>
        <v>315</v>
      </c>
      <c r="N768">
        <f t="shared" si="34"/>
        <v>175894</v>
      </c>
      <c r="O768" t="str">
        <f t="shared" si="35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33"/>
        <v>4455</v>
      </c>
      <c r="M769">
        <f t="shared" si="33"/>
        <v>360</v>
      </c>
      <c r="N769">
        <f t="shared" si="34"/>
        <v>199402</v>
      </c>
      <c r="O769" t="str">
        <f t="shared" si="35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33"/>
        <v>4455</v>
      </c>
      <c r="M770">
        <f t="shared" si="33"/>
        <v>405</v>
      </c>
      <c r="N770">
        <f t="shared" si="34"/>
        <v>223122</v>
      </c>
      <c r="O770" t="str">
        <f t="shared" si="35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M834" si="36">A771</f>
        <v>4455</v>
      </c>
      <c r="M771">
        <f t="shared" si="36"/>
        <v>450</v>
      </c>
      <c r="N771">
        <f t="shared" ref="N771:N834" si="37">C771*1000</f>
        <v>247055</v>
      </c>
      <c r="O771" t="str">
        <f t="shared" ref="O771:O834" si="38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36"/>
        <v>4455</v>
      </c>
      <c r="M772">
        <f t="shared" si="36"/>
        <v>495</v>
      </c>
      <c r="N772">
        <f t="shared" si="37"/>
        <v>271200</v>
      </c>
      <c r="O772" t="str">
        <f t="shared" si="38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36"/>
        <v>4455</v>
      </c>
      <c r="M773">
        <f t="shared" si="36"/>
        <v>540</v>
      </c>
      <c r="N773">
        <f t="shared" si="37"/>
        <v>295556</v>
      </c>
      <c r="O773" t="str">
        <f t="shared" si="38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36"/>
        <v>4455</v>
      </c>
      <c r="M774">
        <f t="shared" si="36"/>
        <v>585</v>
      </c>
      <c r="N774">
        <f t="shared" si="37"/>
        <v>320125</v>
      </c>
      <c r="O774" t="str">
        <f t="shared" si="38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36"/>
        <v>4455</v>
      </c>
      <c r="M775">
        <f t="shared" si="36"/>
        <v>630</v>
      </c>
      <c r="N775">
        <f t="shared" si="37"/>
        <v>344906</v>
      </c>
      <c r="O775" t="str">
        <f t="shared" si="38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36"/>
        <v>4455</v>
      </c>
      <c r="M776">
        <f t="shared" si="36"/>
        <v>675</v>
      </c>
      <c r="N776">
        <f t="shared" si="37"/>
        <v>369899</v>
      </c>
      <c r="O776" t="str">
        <f t="shared" si="38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36"/>
        <v>4455</v>
      </c>
      <c r="M777">
        <f t="shared" si="36"/>
        <v>720</v>
      </c>
      <c r="N777">
        <f t="shared" si="37"/>
        <v>395104</v>
      </c>
      <c r="O777" t="str">
        <f t="shared" si="38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36"/>
        <v>4455</v>
      </c>
      <c r="M778">
        <f t="shared" si="36"/>
        <v>765</v>
      </c>
      <c r="N778">
        <f t="shared" si="37"/>
        <v>420522</v>
      </c>
      <c r="O778" t="str">
        <f t="shared" si="38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36"/>
        <v>4455</v>
      </c>
      <c r="M779">
        <f t="shared" si="36"/>
        <v>810</v>
      </c>
      <c r="N779">
        <f t="shared" si="37"/>
        <v>446151</v>
      </c>
      <c r="O779" t="str">
        <f t="shared" si="38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36"/>
        <v>4455</v>
      </c>
      <c r="M780">
        <f t="shared" si="36"/>
        <v>855</v>
      </c>
      <c r="N780">
        <f t="shared" si="37"/>
        <v>471993</v>
      </c>
      <c r="O780" t="str">
        <f t="shared" si="38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36"/>
        <v>4455</v>
      </c>
      <c r="M781">
        <f t="shared" si="36"/>
        <v>900</v>
      </c>
      <c r="N781">
        <f t="shared" si="37"/>
        <v>498046</v>
      </c>
      <c r="O781" t="str">
        <f t="shared" si="38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36"/>
        <v>4455</v>
      </c>
      <c r="M782">
        <f t="shared" si="36"/>
        <v>945</v>
      </c>
      <c r="N782">
        <f t="shared" si="37"/>
        <v>524312</v>
      </c>
      <c r="O782" t="str">
        <f t="shared" si="38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36"/>
        <v>4455</v>
      </c>
      <c r="M783">
        <f t="shared" si="36"/>
        <v>990</v>
      </c>
      <c r="N783">
        <f t="shared" si="37"/>
        <v>550790</v>
      </c>
      <c r="O783" t="str">
        <f t="shared" si="38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36"/>
        <v>4752</v>
      </c>
      <c r="M784">
        <f t="shared" si="36"/>
        <v>-990</v>
      </c>
      <c r="N784">
        <f t="shared" si="37"/>
        <v>-399769</v>
      </c>
      <c r="O784" t="str">
        <f t="shared" si="38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36"/>
        <v>4752</v>
      </c>
      <c r="M785">
        <f t="shared" si="36"/>
        <v>-945</v>
      </c>
      <c r="N785">
        <f t="shared" si="37"/>
        <v>-383059</v>
      </c>
      <c r="O785" t="str">
        <f t="shared" si="38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36"/>
        <v>4752</v>
      </c>
      <c r="M786">
        <f t="shared" si="36"/>
        <v>-900</v>
      </c>
      <c r="N786">
        <f t="shared" si="37"/>
        <v>-366129</v>
      </c>
      <c r="O786" t="str">
        <f t="shared" si="38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36"/>
        <v>4752</v>
      </c>
      <c r="M787">
        <f t="shared" si="36"/>
        <v>-855</v>
      </c>
      <c r="N787">
        <f t="shared" si="37"/>
        <v>-348979</v>
      </c>
      <c r="O787" t="str">
        <f t="shared" si="38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36"/>
        <v>4752</v>
      </c>
      <c r="M788">
        <f t="shared" si="36"/>
        <v>-810</v>
      </c>
      <c r="N788">
        <f t="shared" si="37"/>
        <v>-331608</v>
      </c>
      <c r="O788" t="str">
        <f t="shared" si="38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36"/>
        <v>4752</v>
      </c>
      <c r="M789">
        <f t="shared" si="36"/>
        <v>-765</v>
      </c>
      <c r="N789">
        <f t="shared" si="37"/>
        <v>-314016</v>
      </c>
      <c r="O789" t="str">
        <f t="shared" si="38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36"/>
        <v>4752</v>
      </c>
      <c r="M790">
        <f t="shared" si="36"/>
        <v>-720</v>
      </c>
      <c r="N790">
        <f t="shared" si="37"/>
        <v>-296204</v>
      </c>
      <c r="O790" t="str">
        <f t="shared" si="38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36"/>
        <v>4752</v>
      </c>
      <c r="M791">
        <f t="shared" si="36"/>
        <v>-675</v>
      </c>
      <c r="N791">
        <f t="shared" si="37"/>
        <v>-278171</v>
      </c>
      <c r="O791" t="str">
        <f t="shared" si="38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36"/>
        <v>4752</v>
      </c>
      <c r="M792">
        <f t="shared" si="36"/>
        <v>-630</v>
      </c>
      <c r="N792">
        <f t="shared" si="37"/>
        <v>-259916.99999999997</v>
      </c>
      <c r="O792" t="str">
        <f t="shared" si="38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36"/>
        <v>4752</v>
      </c>
      <c r="M793">
        <f t="shared" si="36"/>
        <v>-585</v>
      </c>
      <c r="N793">
        <f t="shared" si="37"/>
        <v>-241443</v>
      </c>
      <c r="O793" t="str">
        <f t="shared" si="38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36"/>
        <v>4752</v>
      </c>
      <c r="M794">
        <f t="shared" si="36"/>
        <v>-540</v>
      </c>
      <c r="N794">
        <f t="shared" si="37"/>
        <v>-222748</v>
      </c>
      <c r="O794" t="str">
        <f t="shared" si="38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36"/>
        <v>4752</v>
      </c>
      <c r="M795">
        <f t="shared" si="36"/>
        <v>-495</v>
      </c>
      <c r="N795">
        <f t="shared" si="37"/>
        <v>-203833</v>
      </c>
      <c r="O795" t="str">
        <f t="shared" si="38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36"/>
        <v>4752</v>
      </c>
      <c r="M796">
        <f t="shared" si="36"/>
        <v>-450</v>
      </c>
      <c r="N796">
        <f t="shared" si="37"/>
        <v>-184697</v>
      </c>
      <c r="O796" t="str">
        <f t="shared" si="38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36"/>
        <v>4752</v>
      </c>
      <c r="M797">
        <f t="shared" si="36"/>
        <v>-405</v>
      </c>
      <c r="N797">
        <f t="shared" si="37"/>
        <v>-165340</v>
      </c>
      <c r="O797" t="str">
        <f t="shared" si="38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36"/>
        <v>4752</v>
      </c>
      <c r="M798">
        <f t="shared" si="36"/>
        <v>-360</v>
      </c>
      <c r="N798">
        <f t="shared" si="37"/>
        <v>-145763</v>
      </c>
      <c r="O798" t="str">
        <f t="shared" si="38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36"/>
        <v>4752</v>
      </c>
      <c r="M799">
        <f t="shared" si="36"/>
        <v>-315</v>
      </c>
      <c r="N799">
        <f t="shared" si="37"/>
        <v>-125965</v>
      </c>
      <c r="O799" t="str">
        <f t="shared" si="38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36"/>
        <v>4752</v>
      </c>
      <c r="M800">
        <f t="shared" si="36"/>
        <v>-270</v>
      </c>
      <c r="N800">
        <f t="shared" si="37"/>
        <v>-105947</v>
      </c>
      <c r="O800" t="str">
        <f t="shared" si="38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36"/>
        <v>4752</v>
      </c>
      <c r="M801">
        <f t="shared" si="36"/>
        <v>-225</v>
      </c>
      <c r="N801">
        <f t="shared" si="37"/>
        <v>-85707</v>
      </c>
      <c r="O801" t="str">
        <f t="shared" si="38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36"/>
        <v>4752</v>
      </c>
      <c r="M802">
        <f t="shared" si="36"/>
        <v>-180</v>
      </c>
      <c r="N802">
        <f t="shared" si="37"/>
        <v>-65248.000000000007</v>
      </c>
      <c r="O802" t="str">
        <f t="shared" si="38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36"/>
        <v>4752</v>
      </c>
      <c r="M803">
        <f t="shared" si="36"/>
        <v>-135</v>
      </c>
      <c r="N803">
        <f t="shared" si="37"/>
        <v>-44567</v>
      </c>
      <c r="O803" t="str">
        <f t="shared" si="38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36"/>
        <v>4752</v>
      </c>
      <c r="M804">
        <f t="shared" si="36"/>
        <v>-90</v>
      </c>
      <c r="N804">
        <f t="shared" si="37"/>
        <v>-23666</v>
      </c>
      <c r="O804" t="str">
        <f t="shared" si="38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36"/>
        <v>4752</v>
      </c>
      <c r="M805">
        <f t="shared" si="36"/>
        <v>-45</v>
      </c>
      <c r="N805">
        <f t="shared" si="37"/>
        <v>-2545</v>
      </c>
      <c r="O805" t="str">
        <f t="shared" si="38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36"/>
        <v>4752</v>
      </c>
      <c r="M806">
        <f t="shared" si="36"/>
        <v>-9</v>
      </c>
      <c r="N806">
        <f t="shared" si="37"/>
        <v>0</v>
      </c>
      <c r="O806" t="str">
        <f t="shared" si="38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36"/>
        <v>4752</v>
      </c>
      <c r="M807">
        <f t="shared" si="36"/>
        <v>9</v>
      </c>
      <c r="N807">
        <f t="shared" si="37"/>
        <v>25076</v>
      </c>
      <c r="O807" t="str">
        <f t="shared" si="38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36"/>
        <v>4752</v>
      </c>
      <c r="M808">
        <f t="shared" si="36"/>
        <v>45</v>
      </c>
      <c r="N808">
        <f t="shared" si="37"/>
        <v>43891</v>
      </c>
      <c r="O808" t="str">
        <f t="shared" si="38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36"/>
        <v>4752</v>
      </c>
      <c r="M809">
        <f t="shared" si="36"/>
        <v>90</v>
      </c>
      <c r="N809">
        <f t="shared" si="37"/>
        <v>67626</v>
      </c>
      <c r="O809" t="str">
        <f t="shared" si="38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36"/>
        <v>4752</v>
      </c>
      <c r="M810">
        <f t="shared" si="36"/>
        <v>135</v>
      </c>
      <c r="N810">
        <f t="shared" si="37"/>
        <v>91599</v>
      </c>
      <c r="O810" t="str">
        <f t="shared" si="38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36"/>
        <v>4752</v>
      </c>
      <c r="M811">
        <f t="shared" si="36"/>
        <v>180</v>
      </c>
      <c r="N811">
        <f t="shared" si="37"/>
        <v>115812</v>
      </c>
      <c r="O811" t="str">
        <f t="shared" si="38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36"/>
        <v>4752</v>
      </c>
      <c r="M812">
        <f t="shared" si="36"/>
        <v>225</v>
      </c>
      <c r="N812">
        <f t="shared" si="37"/>
        <v>140265</v>
      </c>
      <c r="O812" t="str">
        <f t="shared" si="38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36"/>
        <v>4752</v>
      </c>
      <c r="M813">
        <f t="shared" si="36"/>
        <v>270</v>
      </c>
      <c r="N813">
        <f t="shared" si="37"/>
        <v>164956</v>
      </c>
      <c r="O813" t="str">
        <f t="shared" si="38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36"/>
        <v>4752</v>
      </c>
      <c r="M814">
        <f t="shared" si="36"/>
        <v>315</v>
      </c>
      <c r="N814">
        <f t="shared" si="37"/>
        <v>189888</v>
      </c>
      <c r="O814" t="str">
        <f t="shared" si="38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36"/>
        <v>4752</v>
      </c>
      <c r="M815">
        <f t="shared" si="36"/>
        <v>360</v>
      </c>
      <c r="N815">
        <f t="shared" si="37"/>
        <v>215058</v>
      </c>
      <c r="O815" t="str">
        <f t="shared" si="38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36"/>
        <v>4752</v>
      </c>
      <c r="M816">
        <f t="shared" si="36"/>
        <v>405</v>
      </c>
      <c r="N816">
        <f t="shared" si="37"/>
        <v>240468</v>
      </c>
      <c r="O816" t="str">
        <f t="shared" si="38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36"/>
        <v>4752</v>
      </c>
      <c r="M817">
        <f t="shared" si="36"/>
        <v>450</v>
      </c>
      <c r="N817">
        <f t="shared" si="37"/>
        <v>266118</v>
      </c>
      <c r="O817" t="str">
        <f t="shared" si="38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36"/>
        <v>4752</v>
      </c>
      <c r="M818">
        <f t="shared" si="36"/>
        <v>495</v>
      </c>
      <c r="N818">
        <f t="shared" si="37"/>
        <v>292006</v>
      </c>
      <c r="O818" t="str">
        <f t="shared" si="38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36"/>
        <v>4752</v>
      </c>
      <c r="M819">
        <f t="shared" si="36"/>
        <v>540</v>
      </c>
      <c r="N819">
        <f t="shared" si="37"/>
        <v>318134</v>
      </c>
      <c r="O819" t="str">
        <f t="shared" si="38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36"/>
        <v>4752</v>
      </c>
      <c r="M820">
        <f t="shared" si="36"/>
        <v>585</v>
      </c>
      <c r="N820">
        <f t="shared" si="37"/>
        <v>344502</v>
      </c>
      <c r="O820" t="str">
        <f t="shared" si="38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36"/>
        <v>4752</v>
      </c>
      <c r="M821">
        <f t="shared" si="36"/>
        <v>630</v>
      </c>
      <c r="N821">
        <f t="shared" si="37"/>
        <v>371109</v>
      </c>
      <c r="O821" t="str">
        <f t="shared" si="38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36"/>
        <v>4752</v>
      </c>
      <c r="M822">
        <f t="shared" si="36"/>
        <v>675</v>
      </c>
      <c r="N822">
        <f t="shared" si="37"/>
        <v>397955</v>
      </c>
      <c r="O822" t="str">
        <f t="shared" si="38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36"/>
        <v>4752</v>
      </c>
      <c r="M823">
        <f t="shared" si="36"/>
        <v>720</v>
      </c>
      <c r="N823">
        <f t="shared" si="37"/>
        <v>425041</v>
      </c>
      <c r="O823" t="str">
        <f t="shared" si="38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36"/>
        <v>4752</v>
      </c>
      <c r="M824">
        <f t="shared" si="36"/>
        <v>765</v>
      </c>
      <c r="N824">
        <f t="shared" si="37"/>
        <v>452366</v>
      </c>
      <c r="O824" t="str">
        <f t="shared" si="38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36"/>
        <v>4752</v>
      </c>
      <c r="M825">
        <f t="shared" si="36"/>
        <v>810</v>
      </c>
      <c r="N825">
        <f t="shared" si="37"/>
        <v>479930</v>
      </c>
      <c r="O825" t="str">
        <f t="shared" si="38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36"/>
        <v>4752</v>
      </c>
      <c r="M826">
        <f t="shared" si="36"/>
        <v>855</v>
      </c>
      <c r="N826">
        <f t="shared" si="37"/>
        <v>507734</v>
      </c>
      <c r="O826" t="str">
        <f t="shared" si="38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36"/>
        <v>4752</v>
      </c>
      <c r="M827">
        <f t="shared" si="36"/>
        <v>900</v>
      </c>
      <c r="N827">
        <f t="shared" si="37"/>
        <v>535777</v>
      </c>
      <c r="O827" t="str">
        <f t="shared" si="38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36"/>
        <v>4752</v>
      </c>
      <c r="M828">
        <f t="shared" si="36"/>
        <v>945</v>
      </c>
      <c r="N828">
        <f t="shared" si="37"/>
        <v>564060</v>
      </c>
      <c r="O828" t="str">
        <f t="shared" si="38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36"/>
        <v>4752</v>
      </c>
      <c r="M829">
        <f t="shared" si="36"/>
        <v>990</v>
      </c>
      <c r="N829">
        <f t="shared" si="37"/>
        <v>592582</v>
      </c>
      <c r="O829" t="str">
        <f t="shared" si="38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36"/>
        <v>5049</v>
      </c>
      <c r="M830">
        <f t="shared" si="36"/>
        <v>-990</v>
      </c>
      <c r="N830">
        <f t="shared" si="37"/>
        <v>-419645</v>
      </c>
      <c r="O830" t="str">
        <f t="shared" si="38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36"/>
        <v>5049</v>
      </c>
      <c r="M831">
        <f t="shared" si="36"/>
        <v>-945</v>
      </c>
      <c r="N831">
        <f t="shared" si="37"/>
        <v>-402167</v>
      </c>
      <c r="O831" t="str">
        <f t="shared" si="38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36"/>
        <v>5049</v>
      </c>
      <c r="M832">
        <f t="shared" si="36"/>
        <v>-900</v>
      </c>
      <c r="N832">
        <f t="shared" si="37"/>
        <v>-384442</v>
      </c>
      <c r="O832" t="str">
        <f t="shared" si="38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36"/>
        <v>5049</v>
      </c>
      <c r="M833">
        <f t="shared" si="36"/>
        <v>-855</v>
      </c>
      <c r="N833">
        <f t="shared" si="37"/>
        <v>-366469</v>
      </c>
      <c r="O833" t="str">
        <f t="shared" si="38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36"/>
        <v>5049</v>
      </c>
      <c r="M834">
        <f t="shared" si="36"/>
        <v>-810</v>
      </c>
      <c r="N834">
        <f t="shared" si="37"/>
        <v>-348249</v>
      </c>
      <c r="O834" t="str">
        <f t="shared" si="38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M898" si="39">A835</f>
        <v>5049</v>
      </c>
      <c r="M835">
        <f t="shared" si="39"/>
        <v>-765</v>
      </c>
      <c r="N835">
        <f t="shared" ref="N835:N898" si="40">C835*1000</f>
        <v>-329781</v>
      </c>
      <c r="O835" t="str">
        <f t="shared" ref="O835:O898" si="41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39"/>
        <v>5049</v>
      </c>
      <c r="M836">
        <f t="shared" si="39"/>
        <v>-720</v>
      </c>
      <c r="N836">
        <f t="shared" si="40"/>
        <v>-311067</v>
      </c>
      <c r="O836" t="str">
        <f t="shared" si="41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39"/>
        <v>5049</v>
      </c>
      <c r="M837">
        <f t="shared" si="39"/>
        <v>-675</v>
      </c>
      <c r="N837">
        <f t="shared" si="40"/>
        <v>-292105</v>
      </c>
      <c r="O837" t="str">
        <f t="shared" si="41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39"/>
        <v>5049</v>
      </c>
      <c r="M838">
        <f t="shared" si="39"/>
        <v>-630</v>
      </c>
      <c r="N838">
        <f t="shared" si="40"/>
        <v>-272895</v>
      </c>
      <c r="O838" t="str">
        <f t="shared" si="41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39"/>
        <v>5049</v>
      </c>
      <c r="M839">
        <f t="shared" si="39"/>
        <v>-585</v>
      </c>
      <c r="N839">
        <f t="shared" si="40"/>
        <v>-253438</v>
      </c>
      <c r="O839" t="str">
        <f t="shared" si="41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39"/>
        <v>5049</v>
      </c>
      <c r="M840">
        <f t="shared" si="39"/>
        <v>-540</v>
      </c>
      <c r="N840">
        <f t="shared" si="40"/>
        <v>-233734</v>
      </c>
      <c r="O840" t="str">
        <f t="shared" si="41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39"/>
        <v>5049</v>
      </c>
      <c r="M841">
        <f t="shared" si="39"/>
        <v>-495</v>
      </c>
      <c r="N841">
        <f t="shared" si="40"/>
        <v>-213783</v>
      </c>
      <c r="O841" t="str">
        <f t="shared" si="41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39"/>
        <v>5049</v>
      </c>
      <c r="M842">
        <f t="shared" si="39"/>
        <v>-450</v>
      </c>
      <c r="N842">
        <f t="shared" si="40"/>
        <v>-193584</v>
      </c>
      <c r="O842" t="str">
        <f t="shared" si="41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39"/>
        <v>5049</v>
      </c>
      <c r="M843">
        <f t="shared" si="39"/>
        <v>-405</v>
      </c>
      <c r="N843">
        <f t="shared" si="40"/>
        <v>-173138</v>
      </c>
      <c r="O843" t="str">
        <f t="shared" si="41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39"/>
        <v>5049</v>
      </c>
      <c r="M844">
        <f t="shared" si="39"/>
        <v>-360</v>
      </c>
      <c r="N844">
        <f t="shared" si="40"/>
        <v>-152444</v>
      </c>
      <c r="O844" t="str">
        <f t="shared" si="41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39"/>
        <v>5049</v>
      </c>
      <c r="M845">
        <f t="shared" si="39"/>
        <v>-315</v>
      </c>
      <c r="N845">
        <f t="shared" si="40"/>
        <v>-131503</v>
      </c>
      <c r="O845" t="str">
        <f t="shared" si="41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39"/>
        <v>5049</v>
      </c>
      <c r="M846">
        <f t="shared" si="39"/>
        <v>-270</v>
      </c>
      <c r="N846">
        <f t="shared" si="40"/>
        <v>-110315</v>
      </c>
      <c r="O846" t="str">
        <f t="shared" si="41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39"/>
        <v>5049</v>
      </c>
      <c r="M847">
        <f t="shared" si="39"/>
        <v>-225</v>
      </c>
      <c r="N847">
        <f t="shared" si="40"/>
        <v>-88879</v>
      </c>
      <c r="O847" t="str">
        <f t="shared" si="41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39"/>
        <v>5049</v>
      </c>
      <c r="M848">
        <f t="shared" si="39"/>
        <v>-180</v>
      </c>
      <c r="N848">
        <f t="shared" si="40"/>
        <v>-67196</v>
      </c>
      <c r="O848" t="str">
        <f t="shared" si="41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39"/>
        <v>5049</v>
      </c>
      <c r="M849">
        <f t="shared" si="39"/>
        <v>-135</v>
      </c>
      <c r="N849">
        <f t="shared" si="40"/>
        <v>-45266</v>
      </c>
      <c r="O849" t="str">
        <f t="shared" si="41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39"/>
        <v>5049</v>
      </c>
      <c r="M850">
        <f t="shared" si="39"/>
        <v>-90</v>
      </c>
      <c r="N850">
        <f t="shared" si="40"/>
        <v>-23088</v>
      </c>
      <c r="O850" t="str">
        <f t="shared" si="41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39"/>
        <v>5049</v>
      </c>
      <c r="M851">
        <f t="shared" si="39"/>
        <v>-45</v>
      </c>
      <c r="N851">
        <f t="shared" si="40"/>
        <v>-663</v>
      </c>
      <c r="O851" t="str">
        <f t="shared" si="41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39"/>
        <v>5049</v>
      </c>
      <c r="M852">
        <f t="shared" si="39"/>
        <v>-9</v>
      </c>
      <c r="N852">
        <f t="shared" si="40"/>
        <v>0</v>
      </c>
      <c r="O852" t="str">
        <f t="shared" si="41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39"/>
        <v>5049</v>
      </c>
      <c r="M853">
        <f t="shared" si="39"/>
        <v>9</v>
      </c>
      <c r="N853">
        <f t="shared" si="40"/>
        <v>28854</v>
      </c>
      <c r="O853" t="str">
        <f t="shared" si="41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39"/>
        <v>5049</v>
      </c>
      <c r="M854">
        <f t="shared" si="39"/>
        <v>45</v>
      </c>
      <c r="N854">
        <f t="shared" si="40"/>
        <v>48849</v>
      </c>
      <c r="O854" t="str">
        <f t="shared" si="41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39"/>
        <v>5049</v>
      </c>
      <c r="M855">
        <f t="shared" si="39"/>
        <v>90</v>
      </c>
      <c r="N855">
        <f t="shared" si="40"/>
        <v>74085</v>
      </c>
      <c r="O855" t="str">
        <f t="shared" si="41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39"/>
        <v>5049</v>
      </c>
      <c r="M856">
        <f t="shared" si="39"/>
        <v>135</v>
      </c>
      <c r="N856">
        <f t="shared" si="40"/>
        <v>99589</v>
      </c>
      <c r="O856" t="str">
        <f t="shared" si="41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39"/>
        <v>5049</v>
      </c>
      <c r="M857">
        <f t="shared" si="39"/>
        <v>180</v>
      </c>
      <c r="N857">
        <f t="shared" si="40"/>
        <v>125362</v>
      </c>
      <c r="O857" t="str">
        <f t="shared" si="41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39"/>
        <v>5049</v>
      </c>
      <c r="M858">
        <f t="shared" si="39"/>
        <v>225</v>
      </c>
      <c r="N858">
        <f t="shared" si="40"/>
        <v>151402</v>
      </c>
      <c r="O858" t="str">
        <f t="shared" si="41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39"/>
        <v>5049</v>
      </c>
      <c r="M859">
        <f t="shared" si="39"/>
        <v>270</v>
      </c>
      <c r="N859">
        <f t="shared" si="40"/>
        <v>177712</v>
      </c>
      <c r="O859" t="str">
        <f t="shared" si="41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39"/>
        <v>5049</v>
      </c>
      <c r="M860">
        <f t="shared" si="39"/>
        <v>315</v>
      </c>
      <c r="N860">
        <f t="shared" si="40"/>
        <v>204289</v>
      </c>
      <c r="O860" t="str">
        <f t="shared" si="41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39"/>
        <v>5049</v>
      </c>
      <c r="M861">
        <f t="shared" si="39"/>
        <v>360</v>
      </c>
      <c r="N861">
        <f t="shared" si="40"/>
        <v>231135</v>
      </c>
      <c r="O861" t="str">
        <f t="shared" si="41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39"/>
        <v>5049</v>
      </c>
      <c r="M862">
        <f t="shared" si="39"/>
        <v>405</v>
      </c>
      <c r="N862">
        <f t="shared" si="40"/>
        <v>258250</v>
      </c>
      <c r="O862" t="str">
        <f t="shared" si="41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39"/>
        <v>5049</v>
      </c>
      <c r="M863">
        <f t="shared" si="39"/>
        <v>450</v>
      </c>
      <c r="N863">
        <f t="shared" si="40"/>
        <v>285633</v>
      </c>
      <c r="O863" t="str">
        <f t="shared" si="41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39"/>
        <v>5049</v>
      </c>
      <c r="M864">
        <f t="shared" si="39"/>
        <v>495</v>
      </c>
      <c r="N864">
        <f t="shared" si="40"/>
        <v>313284</v>
      </c>
      <c r="O864" t="str">
        <f t="shared" si="41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39"/>
        <v>5049</v>
      </c>
      <c r="M865">
        <f t="shared" si="39"/>
        <v>540</v>
      </c>
      <c r="N865">
        <f t="shared" si="40"/>
        <v>341203</v>
      </c>
      <c r="O865" t="str">
        <f t="shared" si="41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39"/>
        <v>5049</v>
      </c>
      <c r="M866">
        <f t="shared" si="39"/>
        <v>585</v>
      </c>
      <c r="N866">
        <f t="shared" si="40"/>
        <v>369392</v>
      </c>
      <c r="O866" t="str">
        <f t="shared" si="41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39"/>
        <v>5049</v>
      </c>
      <c r="M867">
        <f t="shared" si="39"/>
        <v>630</v>
      </c>
      <c r="N867">
        <f t="shared" si="40"/>
        <v>397848</v>
      </c>
      <c r="O867" t="str">
        <f t="shared" si="41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39"/>
        <v>5049</v>
      </c>
      <c r="M868">
        <f t="shared" si="39"/>
        <v>675</v>
      </c>
      <c r="N868">
        <f t="shared" si="40"/>
        <v>426573</v>
      </c>
      <c r="O868" t="str">
        <f t="shared" si="41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39"/>
        <v>5049</v>
      </c>
      <c r="M869">
        <f t="shared" si="39"/>
        <v>720</v>
      </c>
      <c r="N869">
        <f t="shared" si="40"/>
        <v>455566</v>
      </c>
      <c r="O869" t="str">
        <f t="shared" si="41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39"/>
        <v>5049</v>
      </c>
      <c r="M870">
        <f t="shared" si="39"/>
        <v>765</v>
      </c>
      <c r="N870">
        <f t="shared" si="40"/>
        <v>484828</v>
      </c>
      <c r="O870" t="str">
        <f t="shared" si="41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39"/>
        <v>5049</v>
      </c>
      <c r="M871">
        <f t="shared" si="39"/>
        <v>810</v>
      </c>
      <c r="N871">
        <f t="shared" si="40"/>
        <v>514357.99999999994</v>
      </c>
      <c r="O871" t="str">
        <f t="shared" si="41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39"/>
        <v>5049</v>
      </c>
      <c r="M872">
        <f t="shared" si="39"/>
        <v>855</v>
      </c>
      <c r="N872">
        <f t="shared" si="40"/>
        <v>544156</v>
      </c>
      <c r="O872" t="str">
        <f t="shared" si="41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39"/>
        <v>5049</v>
      </c>
      <c r="M873">
        <f t="shared" si="39"/>
        <v>900</v>
      </c>
      <c r="N873">
        <f t="shared" si="40"/>
        <v>574223</v>
      </c>
      <c r="O873" t="str">
        <f t="shared" si="41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39"/>
        <v>5049</v>
      </c>
      <c r="M874">
        <f t="shared" si="39"/>
        <v>945</v>
      </c>
      <c r="N874">
        <f t="shared" si="40"/>
        <v>604558</v>
      </c>
      <c r="O874" t="str">
        <f t="shared" si="41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39"/>
        <v>5049</v>
      </c>
      <c r="M875">
        <f t="shared" si="39"/>
        <v>990</v>
      </c>
      <c r="N875">
        <f t="shared" si="40"/>
        <v>635162</v>
      </c>
      <c r="O875" t="str">
        <f t="shared" si="41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39"/>
        <v>5346</v>
      </c>
      <c r="M876">
        <f t="shared" si="39"/>
        <v>-990</v>
      </c>
      <c r="N876">
        <f t="shared" si="40"/>
        <v>-438775</v>
      </c>
      <c r="O876" t="str">
        <f t="shared" si="41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39"/>
        <v>5346</v>
      </c>
      <c r="M877">
        <f t="shared" si="39"/>
        <v>-945</v>
      </c>
      <c r="N877">
        <f t="shared" si="40"/>
        <v>-420563</v>
      </c>
      <c r="O877" t="str">
        <f t="shared" si="41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39"/>
        <v>5346</v>
      </c>
      <c r="M878">
        <f t="shared" si="39"/>
        <v>-900</v>
      </c>
      <c r="N878">
        <f t="shared" si="40"/>
        <v>-402076</v>
      </c>
      <c r="O878" t="str">
        <f t="shared" si="41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39"/>
        <v>5346</v>
      </c>
      <c r="M879">
        <f t="shared" si="39"/>
        <v>-855</v>
      </c>
      <c r="N879">
        <f t="shared" si="40"/>
        <v>-383312</v>
      </c>
      <c r="O879" t="str">
        <f t="shared" si="41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39"/>
        <v>5346</v>
      </c>
      <c r="M880">
        <f t="shared" si="39"/>
        <v>-810</v>
      </c>
      <c r="N880">
        <f t="shared" si="40"/>
        <v>-364273</v>
      </c>
      <c r="O880" t="str">
        <f t="shared" si="41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39"/>
        <v>5346</v>
      </c>
      <c r="M881">
        <f t="shared" si="39"/>
        <v>-765</v>
      </c>
      <c r="N881">
        <f t="shared" si="40"/>
        <v>-344958</v>
      </c>
      <c r="O881" t="str">
        <f t="shared" si="41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39"/>
        <v>5346</v>
      </c>
      <c r="M882">
        <f t="shared" si="39"/>
        <v>-720</v>
      </c>
      <c r="N882">
        <f t="shared" si="40"/>
        <v>-325367</v>
      </c>
      <c r="O882" t="str">
        <f t="shared" si="41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39"/>
        <v>5346</v>
      </c>
      <c r="M883">
        <f t="shared" si="39"/>
        <v>-675</v>
      </c>
      <c r="N883">
        <f t="shared" si="40"/>
        <v>-305501</v>
      </c>
      <c r="O883" t="str">
        <f t="shared" si="41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39"/>
        <v>5346</v>
      </c>
      <c r="M884">
        <f t="shared" si="39"/>
        <v>-630</v>
      </c>
      <c r="N884">
        <f t="shared" si="40"/>
        <v>-285359</v>
      </c>
      <c r="O884" t="str">
        <f t="shared" si="41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39"/>
        <v>5346</v>
      </c>
      <c r="M885">
        <f t="shared" si="39"/>
        <v>-585</v>
      </c>
      <c r="N885">
        <f t="shared" si="40"/>
        <v>-264941</v>
      </c>
      <c r="O885" t="str">
        <f t="shared" si="41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39"/>
        <v>5346</v>
      </c>
      <c r="M886">
        <f t="shared" si="39"/>
        <v>-540</v>
      </c>
      <c r="N886">
        <f t="shared" si="40"/>
        <v>-244248</v>
      </c>
      <c r="O886" t="str">
        <f t="shared" si="41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39"/>
        <v>5346</v>
      </c>
      <c r="M887">
        <f t="shared" si="39"/>
        <v>-495</v>
      </c>
      <c r="N887">
        <f t="shared" si="40"/>
        <v>-223279</v>
      </c>
      <c r="O887" t="str">
        <f t="shared" si="41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39"/>
        <v>5346</v>
      </c>
      <c r="M888">
        <f t="shared" si="39"/>
        <v>-450</v>
      </c>
      <c r="N888">
        <f t="shared" si="40"/>
        <v>-202034</v>
      </c>
      <c r="O888" t="str">
        <f t="shared" si="41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39"/>
        <v>5346</v>
      </c>
      <c r="M889">
        <f t="shared" si="39"/>
        <v>-405</v>
      </c>
      <c r="N889">
        <f t="shared" si="40"/>
        <v>-180514</v>
      </c>
      <c r="O889" t="str">
        <f t="shared" si="41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39"/>
        <v>5346</v>
      </c>
      <c r="M890">
        <f t="shared" si="39"/>
        <v>-360</v>
      </c>
      <c r="N890">
        <f t="shared" si="40"/>
        <v>-158717</v>
      </c>
      <c r="O890" t="str">
        <f t="shared" si="41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39"/>
        <v>5346</v>
      </c>
      <c r="M891">
        <f t="shared" si="39"/>
        <v>-315</v>
      </c>
      <c r="N891">
        <f t="shared" si="40"/>
        <v>-136645</v>
      </c>
      <c r="O891" t="str">
        <f t="shared" si="41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39"/>
        <v>5346</v>
      </c>
      <c r="M892">
        <f t="shared" si="39"/>
        <v>-270</v>
      </c>
      <c r="N892">
        <f t="shared" si="40"/>
        <v>-114298</v>
      </c>
      <c r="O892" t="str">
        <f t="shared" si="41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39"/>
        <v>5346</v>
      </c>
      <c r="M893">
        <f t="shared" si="39"/>
        <v>-225</v>
      </c>
      <c r="N893">
        <f t="shared" si="40"/>
        <v>-91675</v>
      </c>
      <c r="O893" t="str">
        <f t="shared" si="41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39"/>
        <v>5346</v>
      </c>
      <c r="M894">
        <f t="shared" si="39"/>
        <v>-180</v>
      </c>
      <c r="N894">
        <f t="shared" si="40"/>
        <v>-68775</v>
      </c>
      <c r="O894" t="str">
        <f t="shared" si="41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39"/>
        <v>5346</v>
      </c>
      <c r="M895">
        <f t="shared" si="39"/>
        <v>-135</v>
      </c>
      <c r="N895">
        <f t="shared" si="40"/>
        <v>-45601</v>
      </c>
      <c r="O895" t="str">
        <f t="shared" si="41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39"/>
        <v>5346</v>
      </c>
      <c r="M896">
        <f t="shared" si="39"/>
        <v>-90</v>
      </c>
      <c r="N896">
        <f t="shared" si="40"/>
        <v>-22150</v>
      </c>
      <c r="O896" t="str">
        <f t="shared" si="41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39"/>
        <v>5346</v>
      </c>
      <c r="M897">
        <f t="shared" si="39"/>
        <v>-45</v>
      </c>
      <c r="N897">
        <f t="shared" si="40"/>
        <v>0</v>
      </c>
      <c r="O897" t="str">
        <f t="shared" si="41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39"/>
        <v>5346</v>
      </c>
      <c r="M898">
        <f t="shared" si="39"/>
        <v>-9</v>
      </c>
      <c r="N898">
        <f t="shared" si="40"/>
        <v>0</v>
      </c>
      <c r="O898" t="str">
        <f t="shared" si="41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M962" si="42">A899</f>
        <v>5346</v>
      </c>
      <c r="M899">
        <f t="shared" si="42"/>
        <v>9</v>
      </c>
      <c r="N899">
        <f t="shared" ref="N899:N962" si="43">C899*1000</f>
        <v>33018</v>
      </c>
      <c r="O899" t="str">
        <f t="shared" ref="O899:O962" si="44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42"/>
        <v>5346</v>
      </c>
      <c r="M900">
        <f t="shared" si="42"/>
        <v>45</v>
      </c>
      <c r="N900">
        <f t="shared" si="43"/>
        <v>54194</v>
      </c>
      <c r="O900" t="str">
        <f t="shared" si="44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42"/>
        <v>5346</v>
      </c>
      <c r="M901">
        <f t="shared" si="42"/>
        <v>90</v>
      </c>
      <c r="N901">
        <f t="shared" si="43"/>
        <v>80934</v>
      </c>
      <c r="O901" t="str">
        <f t="shared" si="44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42"/>
        <v>5346</v>
      </c>
      <c r="M902">
        <f t="shared" si="42"/>
        <v>135</v>
      </c>
      <c r="N902">
        <f t="shared" si="43"/>
        <v>107973</v>
      </c>
      <c r="O902" t="str">
        <f t="shared" si="44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42"/>
        <v>5346</v>
      </c>
      <c r="M903">
        <f t="shared" si="42"/>
        <v>180</v>
      </c>
      <c r="N903">
        <f t="shared" si="43"/>
        <v>135311</v>
      </c>
      <c r="O903" t="str">
        <f t="shared" si="44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42"/>
        <v>5346</v>
      </c>
      <c r="M904">
        <f t="shared" si="42"/>
        <v>225</v>
      </c>
      <c r="N904">
        <f t="shared" si="43"/>
        <v>162948</v>
      </c>
      <c r="O904" t="str">
        <f t="shared" si="44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42"/>
        <v>5346</v>
      </c>
      <c r="M905">
        <f t="shared" si="42"/>
        <v>270</v>
      </c>
      <c r="N905">
        <f t="shared" si="43"/>
        <v>190884</v>
      </c>
      <c r="O905" t="str">
        <f t="shared" si="44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42"/>
        <v>5346</v>
      </c>
      <c r="M906">
        <f t="shared" si="42"/>
        <v>315</v>
      </c>
      <c r="N906">
        <f t="shared" si="43"/>
        <v>219120</v>
      </c>
      <c r="O906" t="str">
        <f t="shared" si="44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42"/>
        <v>5346</v>
      </c>
      <c r="M907">
        <f t="shared" si="42"/>
        <v>360</v>
      </c>
      <c r="N907">
        <f t="shared" si="43"/>
        <v>247654</v>
      </c>
      <c r="O907" t="str">
        <f t="shared" si="44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42"/>
        <v>5346</v>
      </c>
      <c r="M908">
        <f t="shared" si="42"/>
        <v>405</v>
      </c>
      <c r="N908">
        <f t="shared" si="43"/>
        <v>276488</v>
      </c>
      <c r="O908" t="str">
        <f t="shared" si="44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42"/>
        <v>5346</v>
      </c>
      <c r="M909">
        <f t="shared" si="42"/>
        <v>450</v>
      </c>
      <c r="N909">
        <f t="shared" si="43"/>
        <v>305621</v>
      </c>
      <c r="O909" t="str">
        <f t="shared" si="44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42"/>
        <v>5346</v>
      </c>
      <c r="M910">
        <f t="shared" si="42"/>
        <v>495</v>
      </c>
      <c r="N910">
        <f t="shared" si="43"/>
        <v>335053</v>
      </c>
      <c r="O910" t="str">
        <f t="shared" si="44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42"/>
        <v>5346</v>
      </c>
      <c r="M911">
        <f t="shared" si="42"/>
        <v>540</v>
      </c>
      <c r="N911">
        <f t="shared" si="43"/>
        <v>364785</v>
      </c>
      <c r="O911" t="str">
        <f t="shared" si="44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42"/>
        <v>5346</v>
      </c>
      <c r="M912">
        <f t="shared" si="42"/>
        <v>585</v>
      </c>
      <c r="N912">
        <f t="shared" si="43"/>
        <v>394815</v>
      </c>
      <c r="O912" t="str">
        <f t="shared" si="44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42"/>
        <v>5346</v>
      </c>
      <c r="M913">
        <f t="shared" si="42"/>
        <v>630</v>
      </c>
      <c r="N913">
        <f t="shared" si="43"/>
        <v>425145</v>
      </c>
      <c r="O913" t="str">
        <f t="shared" si="44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42"/>
        <v>5346</v>
      </c>
      <c r="M914">
        <f t="shared" si="42"/>
        <v>675</v>
      </c>
      <c r="N914">
        <f t="shared" si="43"/>
        <v>455774</v>
      </c>
      <c r="O914" t="str">
        <f t="shared" si="44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42"/>
        <v>5346</v>
      </c>
      <c r="M915">
        <f t="shared" si="42"/>
        <v>720</v>
      </c>
      <c r="N915">
        <f t="shared" si="43"/>
        <v>486701</v>
      </c>
      <c r="O915" t="str">
        <f t="shared" si="44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42"/>
        <v>5346</v>
      </c>
      <c r="M916">
        <f t="shared" si="42"/>
        <v>765</v>
      </c>
      <c r="N916">
        <f t="shared" si="43"/>
        <v>517929</v>
      </c>
      <c r="O916" t="str">
        <f t="shared" si="44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42"/>
        <v>5346</v>
      </c>
      <c r="M917">
        <f t="shared" si="42"/>
        <v>810</v>
      </c>
      <c r="N917">
        <f t="shared" si="43"/>
        <v>549455</v>
      </c>
      <c r="O917" t="str">
        <f t="shared" si="44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42"/>
        <v>5346</v>
      </c>
      <c r="M918">
        <f t="shared" si="42"/>
        <v>855</v>
      </c>
      <c r="N918">
        <f t="shared" si="43"/>
        <v>581280</v>
      </c>
      <c r="O918" t="str">
        <f t="shared" si="44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42"/>
        <v>5346</v>
      </c>
      <c r="M919">
        <f t="shared" si="42"/>
        <v>900</v>
      </c>
      <c r="N919">
        <f t="shared" si="43"/>
        <v>613405</v>
      </c>
      <c r="O919" t="str">
        <f t="shared" si="44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42"/>
        <v>5346</v>
      </c>
      <c r="M920">
        <f t="shared" si="42"/>
        <v>945</v>
      </c>
      <c r="N920">
        <f t="shared" si="43"/>
        <v>645829</v>
      </c>
      <c r="O920" t="str">
        <f t="shared" si="44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42"/>
        <v>5346</v>
      </c>
      <c r="M921">
        <f t="shared" si="42"/>
        <v>990</v>
      </c>
      <c r="N921">
        <f t="shared" si="43"/>
        <v>678551</v>
      </c>
      <c r="O921" t="str">
        <f t="shared" si="44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42"/>
        <v>5643</v>
      </c>
      <c r="M922">
        <f t="shared" si="42"/>
        <v>-990</v>
      </c>
      <c r="N922">
        <f t="shared" si="43"/>
        <v>-457140</v>
      </c>
      <c r="O922" t="str">
        <f t="shared" si="44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42"/>
        <v>5643</v>
      </c>
      <c r="M923">
        <f t="shared" si="42"/>
        <v>-945</v>
      </c>
      <c r="N923">
        <f t="shared" si="43"/>
        <v>-438229</v>
      </c>
      <c r="O923" t="str">
        <f t="shared" si="44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42"/>
        <v>5643</v>
      </c>
      <c r="M924">
        <f t="shared" si="42"/>
        <v>-900</v>
      </c>
      <c r="N924">
        <f t="shared" si="43"/>
        <v>-419012</v>
      </c>
      <c r="O924" t="str">
        <f t="shared" si="44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42"/>
        <v>5643</v>
      </c>
      <c r="M925">
        <f t="shared" si="42"/>
        <v>-855</v>
      </c>
      <c r="N925">
        <f t="shared" si="43"/>
        <v>-399489</v>
      </c>
      <c r="O925" t="str">
        <f t="shared" si="44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42"/>
        <v>5643</v>
      </c>
      <c r="M926">
        <f t="shared" si="42"/>
        <v>-810</v>
      </c>
      <c r="N926">
        <f t="shared" si="43"/>
        <v>-379661</v>
      </c>
      <c r="O926" t="str">
        <f t="shared" si="44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42"/>
        <v>5643</v>
      </c>
      <c r="M927">
        <f t="shared" si="42"/>
        <v>-765</v>
      </c>
      <c r="N927">
        <f t="shared" si="43"/>
        <v>-359526</v>
      </c>
      <c r="O927" t="str">
        <f t="shared" si="44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42"/>
        <v>5643</v>
      </c>
      <c r="M928">
        <f t="shared" si="42"/>
        <v>-720</v>
      </c>
      <c r="N928">
        <f t="shared" si="43"/>
        <v>-339087</v>
      </c>
      <c r="O928" t="str">
        <f t="shared" si="44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42"/>
        <v>5643</v>
      </c>
      <c r="M929">
        <f t="shared" si="42"/>
        <v>-675</v>
      </c>
      <c r="N929">
        <f t="shared" si="43"/>
        <v>-318341</v>
      </c>
      <c r="O929" t="str">
        <f t="shared" si="44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42"/>
        <v>5643</v>
      </c>
      <c r="M930">
        <f t="shared" si="42"/>
        <v>-630</v>
      </c>
      <c r="N930">
        <f t="shared" si="43"/>
        <v>-297290</v>
      </c>
      <c r="O930" t="str">
        <f t="shared" si="44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42"/>
        <v>5643</v>
      </c>
      <c r="M931">
        <f t="shared" si="42"/>
        <v>-585</v>
      </c>
      <c r="N931">
        <f t="shared" si="43"/>
        <v>-275933</v>
      </c>
      <c r="O931" t="str">
        <f t="shared" si="44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42"/>
        <v>5643</v>
      </c>
      <c r="M932">
        <f t="shared" si="42"/>
        <v>-540</v>
      </c>
      <c r="N932">
        <f t="shared" si="43"/>
        <v>-254271</v>
      </c>
      <c r="O932" t="str">
        <f t="shared" si="44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42"/>
        <v>5643</v>
      </c>
      <c r="M933">
        <f t="shared" si="42"/>
        <v>-495</v>
      </c>
      <c r="N933">
        <f t="shared" si="43"/>
        <v>-232303</v>
      </c>
      <c r="O933" t="str">
        <f t="shared" si="44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42"/>
        <v>5643</v>
      </c>
      <c r="M934">
        <f t="shared" si="42"/>
        <v>-450</v>
      </c>
      <c r="N934">
        <f t="shared" si="43"/>
        <v>-210029</v>
      </c>
      <c r="O934" t="str">
        <f t="shared" si="44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42"/>
        <v>5643</v>
      </c>
      <c r="M935">
        <f t="shared" si="42"/>
        <v>-405</v>
      </c>
      <c r="N935">
        <f t="shared" si="43"/>
        <v>-187449</v>
      </c>
      <c r="O935" t="str">
        <f t="shared" si="44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42"/>
        <v>5643</v>
      </c>
      <c r="M936">
        <f t="shared" si="42"/>
        <v>-360</v>
      </c>
      <c r="N936">
        <f t="shared" si="43"/>
        <v>-164564</v>
      </c>
      <c r="O936" t="str">
        <f t="shared" si="44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42"/>
        <v>5643</v>
      </c>
      <c r="M937">
        <f t="shared" si="42"/>
        <v>-315</v>
      </c>
      <c r="N937">
        <f t="shared" si="43"/>
        <v>-141373</v>
      </c>
      <c r="O937" t="str">
        <f t="shared" si="44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42"/>
        <v>5643</v>
      </c>
      <c r="M938">
        <f t="shared" si="42"/>
        <v>-270</v>
      </c>
      <c r="N938">
        <f t="shared" si="43"/>
        <v>-117877</v>
      </c>
      <c r="O938" t="str">
        <f t="shared" si="44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42"/>
        <v>5643</v>
      </c>
      <c r="M939">
        <f t="shared" si="42"/>
        <v>-225</v>
      </c>
      <c r="N939">
        <f t="shared" si="43"/>
        <v>-94075</v>
      </c>
      <c r="O939" t="str">
        <f t="shared" si="44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42"/>
        <v>5643</v>
      </c>
      <c r="M940">
        <f t="shared" si="42"/>
        <v>-180</v>
      </c>
      <c r="N940">
        <f t="shared" si="43"/>
        <v>-69967</v>
      </c>
      <c r="O940" t="str">
        <f t="shared" si="44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42"/>
        <v>5643</v>
      </c>
      <c r="M941">
        <f t="shared" si="42"/>
        <v>-135</v>
      </c>
      <c r="N941">
        <f t="shared" si="43"/>
        <v>-45553</v>
      </c>
      <c r="O941" t="str">
        <f t="shared" si="44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42"/>
        <v>5643</v>
      </c>
      <c r="M942">
        <f t="shared" si="42"/>
        <v>-90</v>
      </c>
      <c r="N942">
        <f t="shared" si="43"/>
        <v>-20834</v>
      </c>
      <c r="O942" t="str">
        <f t="shared" si="44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42"/>
        <v>5643</v>
      </c>
      <c r="M943">
        <f t="shared" si="42"/>
        <v>-45</v>
      </c>
      <c r="N943">
        <f t="shared" si="43"/>
        <v>0</v>
      </c>
      <c r="O943" t="str">
        <f t="shared" si="44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42"/>
        <v>5643</v>
      </c>
      <c r="M944">
        <f t="shared" si="42"/>
        <v>-9</v>
      </c>
      <c r="N944">
        <f t="shared" si="43"/>
        <v>0</v>
      </c>
      <c r="O944" t="str">
        <f t="shared" si="44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42"/>
        <v>5643</v>
      </c>
      <c r="M945">
        <f t="shared" si="42"/>
        <v>9</v>
      </c>
      <c r="N945">
        <f t="shared" si="43"/>
        <v>37589</v>
      </c>
      <c r="O945" t="str">
        <f t="shared" si="44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42"/>
        <v>5643</v>
      </c>
      <c r="M946">
        <f t="shared" si="42"/>
        <v>45</v>
      </c>
      <c r="N946">
        <f t="shared" si="43"/>
        <v>59947</v>
      </c>
      <c r="O946" t="str">
        <f t="shared" si="44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42"/>
        <v>5643</v>
      </c>
      <c r="M947">
        <f t="shared" si="42"/>
        <v>90</v>
      </c>
      <c r="N947">
        <f t="shared" si="43"/>
        <v>88193</v>
      </c>
      <c r="O947" t="str">
        <f t="shared" si="44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42"/>
        <v>5643</v>
      </c>
      <c r="M948">
        <f t="shared" si="42"/>
        <v>135</v>
      </c>
      <c r="N948">
        <f t="shared" si="43"/>
        <v>116771</v>
      </c>
      <c r="O948" t="str">
        <f t="shared" si="44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42"/>
        <v>5643</v>
      </c>
      <c r="M949">
        <f t="shared" si="42"/>
        <v>180</v>
      </c>
      <c r="N949">
        <f t="shared" si="43"/>
        <v>145681</v>
      </c>
      <c r="O949" t="str">
        <f t="shared" si="44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42"/>
        <v>5643</v>
      </c>
      <c r="M950">
        <f t="shared" si="42"/>
        <v>225</v>
      </c>
      <c r="N950">
        <f t="shared" si="43"/>
        <v>174922</v>
      </c>
      <c r="O950" t="str">
        <f t="shared" si="44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42"/>
        <v>5643</v>
      </c>
      <c r="M951">
        <f t="shared" si="42"/>
        <v>270</v>
      </c>
      <c r="N951">
        <f t="shared" si="43"/>
        <v>204495</v>
      </c>
      <c r="O951" t="str">
        <f t="shared" si="44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42"/>
        <v>5643</v>
      </c>
      <c r="M952">
        <f t="shared" si="42"/>
        <v>315</v>
      </c>
      <c r="N952">
        <f t="shared" si="43"/>
        <v>234400</v>
      </c>
      <c r="O952" t="str">
        <f t="shared" si="44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42"/>
        <v>5643</v>
      </c>
      <c r="M953">
        <f t="shared" si="42"/>
        <v>360</v>
      </c>
      <c r="N953">
        <f t="shared" si="43"/>
        <v>264637</v>
      </c>
      <c r="O953" t="str">
        <f t="shared" si="44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42"/>
        <v>5643</v>
      </c>
      <c r="M954">
        <f t="shared" si="42"/>
        <v>405</v>
      </c>
      <c r="N954">
        <f t="shared" si="43"/>
        <v>295205</v>
      </c>
      <c r="O954" t="str">
        <f t="shared" si="44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42"/>
        <v>5643</v>
      </c>
      <c r="M955">
        <f t="shared" si="42"/>
        <v>450</v>
      </c>
      <c r="N955">
        <f t="shared" si="43"/>
        <v>326104</v>
      </c>
      <c r="O955" t="str">
        <f t="shared" si="44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42"/>
        <v>5643</v>
      </c>
      <c r="M956">
        <f t="shared" si="42"/>
        <v>495</v>
      </c>
      <c r="N956">
        <f t="shared" si="43"/>
        <v>357336</v>
      </c>
      <c r="O956" t="str">
        <f t="shared" si="44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42"/>
        <v>5643</v>
      </c>
      <c r="M957">
        <f t="shared" si="42"/>
        <v>540</v>
      </c>
      <c r="N957">
        <f t="shared" si="43"/>
        <v>388899</v>
      </c>
      <c r="O957" t="str">
        <f t="shared" si="44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42"/>
        <v>5643</v>
      </c>
      <c r="M958">
        <f t="shared" si="42"/>
        <v>585</v>
      </c>
      <c r="N958">
        <f t="shared" si="43"/>
        <v>420794</v>
      </c>
      <c r="O958" t="str">
        <f t="shared" si="44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42"/>
        <v>5643</v>
      </c>
      <c r="M959">
        <f t="shared" si="42"/>
        <v>630</v>
      </c>
      <c r="N959">
        <f t="shared" si="43"/>
        <v>453020</v>
      </c>
      <c r="O959" t="str">
        <f t="shared" si="44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42"/>
        <v>5643</v>
      </c>
      <c r="M960">
        <f t="shared" si="42"/>
        <v>675</v>
      </c>
      <c r="N960">
        <f t="shared" si="43"/>
        <v>485578</v>
      </c>
      <c r="O960" t="str">
        <f t="shared" si="44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42"/>
        <v>5643</v>
      </c>
      <c r="M961">
        <f t="shared" si="42"/>
        <v>720</v>
      </c>
      <c r="N961">
        <f t="shared" si="43"/>
        <v>518467.99999999994</v>
      </c>
      <c r="O961" t="str">
        <f t="shared" si="44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42"/>
        <v>5643</v>
      </c>
      <c r="M962">
        <f t="shared" si="42"/>
        <v>765</v>
      </c>
      <c r="N962">
        <f t="shared" si="43"/>
        <v>551689</v>
      </c>
      <c r="O962" t="str">
        <f t="shared" si="44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M1013" si="45">A963</f>
        <v>5643</v>
      </c>
      <c r="M963">
        <f t="shared" si="45"/>
        <v>810</v>
      </c>
      <c r="N963">
        <f t="shared" ref="N963:N1013" si="46">C963*1000</f>
        <v>585242</v>
      </c>
      <c r="O963" t="str">
        <f t="shared" ref="O963:O1013" si="47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45"/>
        <v>5643</v>
      </c>
      <c r="M964">
        <f t="shared" si="45"/>
        <v>855</v>
      </c>
      <c r="N964">
        <f t="shared" si="46"/>
        <v>619127</v>
      </c>
      <c r="O964" t="str">
        <f t="shared" si="47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45"/>
        <v>5643</v>
      </c>
      <c r="M965">
        <f t="shared" si="45"/>
        <v>900</v>
      </c>
      <c r="N965">
        <f t="shared" si="46"/>
        <v>653344</v>
      </c>
      <c r="O965" t="str">
        <f t="shared" si="47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45"/>
        <v>5643</v>
      </c>
      <c r="M966">
        <f t="shared" si="45"/>
        <v>945</v>
      </c>
      <c r="N966">
        <f t="shared" si="46"/>
        <v>687892</v>
      </c>
      <c r="O966" t="str">
        <f t="shared" si="47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45"/>
        <v>5643</v>
      </c>
      <c r="M967">
        <f t="shared" si="45"/>
        <v>990</v>
      </c>
      <c r="N967">
        <f t="shared" si="46"/>
        <v>722771</v>
      </c>
      <c r="O967" t="str">
        <f t="shared" si="47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45"/>
        <v>5940</v>
      </c>
      <c r="M968">
        <f t="shared" si="45"/>
        <v>-990</v>
      </c>
      <c r="N968">
        <f t="shared" si="46"/>
        <v>-474721</v>
      </c>
      <c r="O968" t="str">
        <f t="shared" si="47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45"/>
        <v>5940</v>
      </c>
      <c r="M969">
        <f t="shared" si="45"/>
        <v>-945</v>
      </c>
      <c r="N969">
        <f t="shared" si="46"/>
        <v>-455145</v>
      </c>
      <c r="O969" t="str">
        <f t="shared" si="47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45"/>
        <v>5940</v>
      </c>
      <c r="M970">
        <f t="shared" si="45"/>
        <v>-900</v>
      </c>
      <c r="N970">
        <f t="shared" si="46"/>
        <v>-435231</v>
      </c>
      <c r="O970" t="str">
        <f t="shared" si="47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45"/>
        <v>5940</v>
      </c>
      <c r="M971">
        <f t="shared" si="45"/>
        <v>-855</v>
      </c>
      <c r="N971">
        <f t="shared" si="46"/>
        <v>-414980</v>
      </c>
      <c r="O971" t="str">
        <f t="shared" si="47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45"/>
        <v>5940</v>
      </c>
      <c r="M972">
        <f t="shared" si="45"/>
        <v>-810</v>
      </c>
      <c r="N972">
        <f t="shared" si="46"/>
        <v>-394393</v>
      </c>
      <c r="O972" t="str">
        <f t="shared" si="47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45"/>
        <v>5940</v>
      </c>
      <c r="M973">
        <f t="shared" si="45"/>
        <v>-765</v>
      </c>
      <c r="N973">
        <f t="shared" si="46"/>
        <v>-373467</v>
      </c>
      <c r="O973" t="str">
        <f t="shared" si="47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45"/>
        <v>5940</v>
      </c>
      <c r="M974">
        <f t="shared" si="45"/>
        <v>-720</v>
      </c>
      <c r="N974">
        <f t="shared" si="46"/>
        <v>-352205</v>
      </c>
      <c r="O974" t="str">
        <f t="shared" si="47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45"/>
        <v>5940</v>
      </c>
      <c r="M975">
        <f t="shared" si="45"/>
        <v>-675</v>
      </c>
      <c r="N975">
        <f t="shared" si="46"/>
        <v>-330605</v>
      </c>
      <c r="O975" t="str">
        <f t="shared" si="47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45"/>
        <v>5940</v>
      </c>
      <c r="M976">
        <f t="shared" si="45"/>
        <v>-630</v>
      </c>
      <c r="N976">
        <f t="shared" si="46"/>
        <v>-308668</v>
      </c>
      <c r="O976" t="str">
        <f t="shared" si="47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45"/>
        <v>5940</v>
      </c>
      <c r="M977">
        <f t="shared" si="45"/>
        <v>-585</v>
      </c>
      <c r="N977">
        <f t="shared" si="46"/>
        <v>-286394</v>
      </c>
      <c r="O977" t="str">
        <f t="shared" si="47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45"/>
        <v>5940</v>
      </c>
      <c r="M978">
        <f t="shared" si="45"/>
        <v>-540</v>
      </c>
      <c r="N978">
        <f t="shared" si="46"/>
        <v>-263783</v>
      </c>
      <c r="O978" t="str">
        <f t="shared" si="47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45"/>
        <v>5940</v>
      </c>
      <c r="M979">
        <f t="shared" si="45"/>
        <v>-495</v>
      </c>
      <c r="N979">
        <f t="shared" si="46"/>
        <v>-240834</v>
      </c>
      <c r="O979" t="str">
        <f t="shared" si="47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45"/>
        <v>5940</v>
      </c>
      <c r="M980">
        <f t="shared" si="45"/>
        <v>-450</v>
      </c>
      <c r="N980">
        <f t="shared" si="46"/>
        <v>-217548</v>
      </c>
      <c r="O980" t="str">
        <f t="shared" si="47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45"/>
        <v>5940</v>
      </c>
      <c r="M981">
        <f t="shared" si="45"/>
        <v>-405</v>
      </c>
      <c r="N981">
        <f t="shared" si="46"/>
        <v>-193925</v>
      </c>
      <c r="O981" t="str">
        <f t="shared" si="47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45"/>
        <v>5940</v>
      </c>
      <c r="M982">
        <f t="shared" si="45"/>
        <v>-360</v>
      </c>
      <c r="N982">
        <f t="shared" si="46"/>
        <v>-169965</v>
      </c>
      <c r="O982" t="str">
        <f t="shared" si="47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45"/>
        <v>5940</v>
      </c>
      <c r="M983">
        <f t="shared" si="45"/>
        <v>-315</v>
      </c>
      <c r="N983">
        <f t="shared" si="46"/>
        <v>-145667</v>
      </c>
      <c r="O983" t="str">
        <f t="shared" si="47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45"/>
        <v>5940</v>
      </c>
      <c r="M984">
        <f t="shared" si="45"/>
        <v>-270</v>
      </c>
      <c r="N984">
        <f t="shared" si="46"/>
        <v>-121033</v>
      </c>
      <c r="O984" t="str">
        <f t="shared" si="47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45"/>
        <v>5940</v>
      </c>
      <c r="M985">
        <f t="shared" si="45"/>
        <v>-225</v>
      </c>
      <c r="N985">
        <f t="shared" si="46"/>
        <v>-96060</v>
      </c>
      <c r="O985" t="str">
        <f t="shared" si="47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45"/>
        <v>5940</v>
      </c>
      <c r="M986">
        <f t="shared" si="45"/>
        <v>-180</v>
      </c>
      <c r="N986">
        <f t="shared" si="46"/>
        <v>-70751</v>
      </c>
      <c r="O986" t="str">
        <f t="shared" si="47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45"/>
        <v>5940</v>
      </c>
      <c r="M987">
        <f t="shared" si="45"/>
        <v>-135</v>
      </c>
      <c r="N987">
        <f t="shared" si="46"/>
        <v>-45105</v>
      </c>
      <c r="O987" t="str">
        <f t="shared" si="47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45"/>
        <v>5940</v>
      </c>
      <c r="M988">
        <f t="shared" si="45"/>
        <v>-90</v>
      </c>
      <c r="N988">
        <f t="shared" si="46"/>
        <v>-19121</v>
      </c>
      <c r="O988" t="str">
        <f t="shared" si="47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45"/>
        <v>5940</v>
      </c>
      <c r="M989">
        <f t="shared" si="45"/>
        <v>-45</v>
      </c>
      <c r="N989">
        <f t="shared" si="46"/>
        <v>0</v>
      </c>
      <c r="O989" t="str">
        <f t="shared" si="47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45"/>
        <v>5940</v>
      </c>
      <c r="M990">
        <f t="shared" si="45"/>
        <v>-9</v>
      </c>
      <c r="N990">
        <f t="shared" si="46"/>
        <v>0</v>
      </c>
      <c r="O990" t="str">
        <f t="shared" si="47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45"/>
        <v>5940</v>
      </c>
      <c r="M991">
        <f t="shared" si="45"/>
        <v>9</v>
      </c>
      <c r="N991">
        <f t="shared" si="46"/>
        <v>42588</v>
      </c>
      <c r="O991" t="str">
        <f t="shared" si="47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45"/>
        <v>5940</v>
      </c>
      <c r="M992">
        <f t="shared" si="45"/>
        <v>45</v>
      </c>
      <c r="N992">
        <f t="shared" si="46"/>
        <v>66129</v>
      </c>
      <c r="O992" t="str">
        <f t="shared" si="47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45"/>
        <v>5940</v>
      </c>
      <c r="M993">
        <f t="shared" si="45"/>
        <v>90</v>
      </c>
      <c r="N993">
        <f t="shared" si="46"/>
        <v>95884</v>
      </c>
      <c r="O993" t="str">
        <f t="shared" si="47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45"/>
        <v>5940</v>
      </c>
      <c r="M994">
        <f t="shared" si="45"/>
        <v>135</v>
      </c>
      <c r="N994">
        <f t="shared" si="46"/>
        <v>126006</v>
      </c>
      <c r="O994" t="str">
        <f t="shared" si="47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45"/>
        <v>5940</v>
      </c>
      <c r="M995">
        <f t="shared" si="45"/>
        <v>180</v>
      </c>
      <c r="N995">
        <f t="shared" si="46"/>
        <v>156493</v>
      </c>
      <c r="O995" t="str">
        <f t="shared" si="47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45"/>
        <v>5940</v>
      </c>
      <c r="M996">
        <f t="shared" si="45"/>
        <v>225</v>
      </c>
      <c r="N996">
        <f t="shared" si="46"/>
        <v>187347</v>
      </c>
      <c r="O996" t="str">
        <f t="shared" si="47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45"/>
        <v>5940</v>
      </c>
      <c r="M997">
        <f t="shared" si="45"/>
        <v>270</v>
      </c>
      <c r="N997">
        <f t="shared" si="46"/>
        <v>218566</v>
      </c>
      <c r="O997" t="str">
        <f t="shared" si="47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45"/>
        <v>5940</v>
      </c>
      <c r="M998">
        <f t="shared" si="45"/>
        <v>315</v>
      </c>
      <c r="N998">
        <f t="shared" si="46"/>
        <v>250152</v>
      </c>
      <c r="O998" t="str">
        <f t="shared" si="47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45"/>
        <v>5940</v>
      </c>
      <c r="M999">
        <f t="shared" si="45"/>
        <v>360</v>
      </c>
      <c r="N999">
        <f t="shared" si="46"/>
        <v>282103</v>
      </c>
      <c r="O999" t="str">
        <f t="shared" si="47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45"/>
        <v>5940</v>
      </c>
      <c r="M1000">
        <f t="shared" si="45"/>
        <v>405</v>
      </c>
      <c r="N1000">
        <f t="shared" si="46"/>
        <v>314420</v>
      </c>
      <c r="O1000" t="str">
        <f t="shared" si="47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45"/>
        <v>5940</v>
      </c>
      <c r="M1001">
        <f t="shared" si="45"/>
        <v>450</v>
      </c>
      <c r="N1001">
        <f t="shared" si="46"/>
        <v>347103</v>
      </c>
      <c r="O1001" t="str">
        <f t="shared" si="47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45"/>
        <v>5940</v>
      </c>
      <c r="M1002">
        <f t="shared" si="45"/>
        <v>495</v>
      </c>
      <c r="N1002">
        <f t="shared" si="46"/>
        <v>380152</v>
      </c>
      <c r="O1002" t="str">
        <f t="shared" si="47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45"/>
        <v>5940</v>
      </c>
      <c r="M1003">
        <f t="shared" si="45"/>
        <v>540</v>
      </c>
      <c r="N1003">
        <f t="shared" si="46"/>
        <v>413567</v>
      </c>
      <c r="O1003" t="str">
        <f t="shared" si="47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45"/>
        <v>5940</v>
      </c>
      <c r="M1004">
        <f t="shared" si="45"/>
        <v>585</v>
      </c>
      <c r="N1004">
        <f t="shared" si="46"/>
        <v>447348</v>
      </c>
      <c r="O1004" t="str">
        <f t="shared" si="47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45"/>
        <v>5940</v>
      </c>
      <c r="M1005">
        <f t="shared" si="45"/>
        <v>630</v>
      </c>
      <c r="N1005">
        <f t="shared" si="46"/>
        <v>481495</v>
      </c>
      <c r="O1005" t="str">
        <f t="shared" si="47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45"/>
        <v>5940</v>
      </c>
      <c r="M1006">
        <f t="shared" si="45"/>
        <v>675</v>
      </c>
      <c r="N1006">
        <f t="shared" si="46"/>
        <v>516006.99999999994</v>
      </c>
      <c r="O1006" t="str">
        <f t="shared" si="47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45"/>
        <v>5940</v>
      </c>
      <c r="M1007">
        <f t="shared" si="45"/>
        <v>720</v>
      </c>
      <c r="N1007">
        <f t="shared" si="46"/>
        <v>550886</v>
      </c>
      <c r="O1007" t="str">
        <f t="shared" si="47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45"/>
        <v>5940</v>
      </c>
      <c r="M1008">
        <f t="shared" si="45"/>
        <v>765</v>
      </c>
      <c r="N1008">
        <f t="shared" si="46"/>
        <v>586131</v>
      </c>
      <c r="O1008" t="str">
        <f t="shared" si="47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45"/>
        <v>5940</v>
      </c>
      <c r="M1009">
        <f t="shared" si="45"/>
        <v>810</v>
      </c>
      <c r="N1009">
        <f t="shared" si="46"/>
        <v>621741</v>
      </c>
      <c r="O1009" t="str">
        <f t="shared" si="47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45"/>
        <v>5940</v>
      </c>
      <c r="M1010">
        <f t="shared" si="45"/>
        <v>855</v>
      </c>
      <c r="N1010">
        <f t="shared" si="46"/>
        <v>657718</v>
      </c>
      <c r="O1010" t="str">
        <f t="shared" si="47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45"/>
        <v>5940</v>
      </c>
      <c r="M1011">
        <f t="shared" si="45"/>
        <v>900</v>
      </c>
      <c r="N1011">
        <f t="shared" si="46"/>
        <v>694060</v>
      </c>
      <c r="O1011" t="str">
        <f t="shared" si="47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45"/>
        <v>5940</v>
      </c>
      <c r="M1012">
        <f t="shared" si="45"/>
        <v>945</v>
      </c>
      <c r="N1012">
        <f t="shared" si="46"/>
        <v>730769</v>
      </c>
      <c r="O1012" t="str">
        <f t="shared" si="47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45"/>
        <v>5940</v>
      </c>
      <c r="M1013">
        <f t="shared" si="45"/>
        <v>990</v>
      </c>
      <c r="N1013">
        <f t="shared" si="46"/>
        <v>767843</v>
      </c>
      <c r="O1013" t="str">
        <f t="shared" si="47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411D-7869-4A67-A9DF-11AA9E518B04}">
  <dimension ref="A1:O1013"/>
  <sheetViews>
    <sheetView workbookViewId="0">
      <selection activeCell="O1" sqref="O1:O1048576"/>
    </sheetView>
  </sheetViews>
  <sheetFormatPr baseColWidth="10" defaultRowHeight="15" x14ac:dyDescent="0.25"/>
  <cols>
    <col min="1" max="1" width="11.42578125" style="2"/>
  </cols>
  <sheetData>
    <row r="1" spans="1:15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</row>
    <row r="2" spans="1:15" x14ac:dyDescent="0.25">
      <c r="A2" s="1">
        <v>0</v>
      </c>
      <c r="B2">
        <v>-990</v>
      </c>
      <c r="C2">
        <v>0.28100000000000003</v>
      </c>
      <c r="L2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15" x14ac:dyDescent="0.25">
      <c r="A3" s="1">
        <v>0</v>
      </c>
      <c r="B3">
        <v>-945</v>
      </c>
      <c r="C3">
        <v>0.26900000000000002</v>
      </c>
      <c r="L3">
        <f t="shared" ref="L3:M66" si="0">A3</f>
        <v>0</v>
      </c>
      <c r="M3">
        <f t="shared" si="0"/>
        <v>-945</v>
      </c>
      <c r="N3">
        <f t="shared" ref="N3:N66" si="1">C3*1000</f>
        <v>269</v>
      </c>
      <c r="O3" t="str">
        <f t="shared" ref="O3:O66" si="2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15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0"/>
        <v>-900</v>
      </c>
      <c r="N4">
        <f t="shared" si="1"/>
        <v>258</v>
      </c>
      <c r="O4" t="str">
        <f t="shared" si="2"/>
        <v>&lt;Entry outShaftSpeed="0.00" torque="-900.00" electricPower="258.00"/&gt;</v>
      </c>
    </row>
    <row r="5" spans="1:15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0"/>
        <v>-855</v>
      </c>
      <c r="N5">
        <f t="shared" si="1"/>
        <v>246</v>
      </c>
      <c r="O5" t="str">
        <f t="shared" si="2"/>
        <v>&lt;Entry outShaftSpeed="0.00" torque="-855.00" electricPower="246.00"/&gt;</v>
      </c>
    </row>
    <row r="6" spans="1:15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0"/>
        <v>-810</v>
      </c>
      <c r="N6">
        <f t="shared" si="1"/>
        <v>235</v>
      </c>
      <c r="O6" t="str">
        <f t="shared" si="2"/>
        <v>&lt;Entry outShaftSpeed="0.00" torque="-810.00" electricPower="235.00"/&gt;</v>
      </c>
    </row>
    <row r="7" spans="1:15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0"/>
        <v>-765</v>
      </c>
      <c r="N7">
        <f t="shared" si="1"/>
        <v>223</v>
      </c>
      <c r="O7" t="str">
        <f t="shared" si="2"/>
        <v>&lt;Entry outShaftSpeed="0.00" torque="-765.00" electricPower="223.00"/&gt;</v>
      </c>
    </row>
    <row r="8" spans="1:15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0"/>
        <v>-720</v>
      </c>
      <c r="N8">
        <f t="shared" si="1"/>
        <v>211</v>
      </c>
      <c r="O8" t="str">
        <f t="shared" si="2"/>
        <v>&lt;Entry outShaftSpeed="0.00" torque="-720.00" electricPower="211.00"/&gt;</v>
      </c>
    </row>
    <row r="9" spans="1:15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0"/>
        <v>-675</v>
      </c>
      <c r="N9">
        <f t="shared" si="1"/>
        <v>198</v>
      </c>
      <c r="O9" t="str">
        <f t="shared" si="2"/>
        <v>&lt;Entry outShaftSpeed="0.00" torque="-675.00" electricPower="198.00"/&gt;</v>
      </c>
    </row>
    <row r="10" spans="1:15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0"/>
        <v>-630</v>
      </c>
      <c r="N10">
        <f t="shared" si="1"/>
        <v>130</v>
      </c>
      <c r="O10" t="str">
        <f t="shared" si="2"/>
        <v>&lt;Entry outShaftSpeed="0.00" torque="-630.00" electricPower="130.00"/&gt;</v>
      </c>
    </row>
    <row r="11" spans="1:15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0"/>
        <v>-585</v>
      </c>
      <c r="N11">
        <f t="shared" si="1"/>
        <v>35</v>
      </c>
      <c r="O11" t="str">
        <f t="shared" si="2"/>
        <v>&lt;Entry outShaftSpeed="0.00" torque="-585.00" electricPower="35.00"/&gt;</v>
      </c>
    </row>
    <row r="12" spans="1:15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0"/>
        <v>-540</v>
      </c>
      <c r="N12">
        <f t="shared" si="1"/>
        <v>-46</v>
      </c>
      <c r="O12" t="str">
        <f t="shared" si="2"/>
        <v>&lt;Entry outShaftSpeed="0.00" torque="-540.00" electricPower="-46.00"/&gt;</v>
      </c>
    </row>
    <row r="13" spans="1:15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0"/>
        <v>-495</v>
      </c>
      <c r="N13">
        <f t="shared" si="1"/>
        <v>-114</v>
      </c>
      <c r="O13" t="str">
        <f t="shared" si="2"/>
        <v>&lt;Entry outShaftSpeed="0.00" torque="-495.00" electricPower="-114.00"/&gt;</v>
      </c>
    </row>
    <row r="14" spans="1:15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0"/>
        <v>-450</v>
      </c>
      <c r="N14">
        <f t="shared" si="1"/>
        <v>-169</v>
      </c>
      <c r="O14" t="str">
        <f t="shared" si="2"/>
        <v>&lt;Entry outShaftSpeed="0.00" torque="-450.00" electricPower="-169.00"/&gt;</v>
      </c>
    </row>
    <row r="15" spans="1:15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0"/>
        <v>-405</v>
      </c>
      <c r="N15">
        <f t="shared" si="1"/>
        <v>-211</v>
      </c>
      <c r="O15" t="str">
        <f t="shared" si="2"/>
        <v>&lt;Entry outShaftSpeed="0.00" torque="-405.00" electricPower="-211.00"/&gt;</v>
      </c>
    </row>
    <row r="16" spans="1:15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0"/>
        <v>-360</v>
      </c>
      <c r="N16">
        <f t="shared" si="1"/>
        <v>-239</v>
      </c>
      <c r="O16" t="str">
        <f t="shared" si="2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0"/>
        <v>-315</v>
      </c>
      <c r="N17">
        <f t="shared" si="1"/>
        <v>-254</v>
      </c>
      <c r="O17" t="str">
        <f t="shared" si="2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0"/>
        <v>-270</v>
      </c>
      <c r="N18">
        <f t="shared" si="1"/>
        <v>-256</v>
      </c>
      <c r="O18" t="str">
        <f t="shared" si="2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0"/>
        <v>-225</v>
      </c>
      <c r="N19">
        <f t="shared" si="1"/>
        <v>-244</v>
      </c>
      <c r="O19" t="str">
        <f t="shared" si="2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0"/>
        <v>-180</v>
      </c>
      <c r="N20">
        <f t="shared" si="1"/>
        <v>-219</v>
      </c>
      <c r="O20" t="str">
        <f t="shared" si="2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0"/>
        <v>-135</v>
      </c>
      <c r="N21">
        <f t="shared" si="1"/>
        <v>-181</v>
      </c>
      <c r="O21" t="str">
        <f t="shared" si="2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0"/>
        <v>-90</v>
      </c>
      <c r="N22">
        <f t="shared" si="1"/>
        <v>-130</v>
      </c>
      <c r="O22" t="str">
        <f t="shared" si="2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0"/>
        <v>-45</v>
      </c>
      <c r="N23">
        <f t="shared" si="1"/>
        <v>-65</v>
      </c>
      <c r="O23" t="str">
        <f t="shared" si="2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0"/>
        <v>-9</v>
      </c>
      <c r="N24">
        <f t="shared" si="1"/>
        <v>-3</v>
      </c>
      <c r="O24" t="str">
        <f t="shared" si="2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0"/>
        <v>9</v>
      </c>
      <c r="N25">
        <f t="shared" si="1"/>
        <v>55</v>
      </c>
      <c r="O25" t="str">
        <f t="shared" si="2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0"/>
        <v>45</v>
      </c>
      <c r="N26">
        <f t="shared" si="1"/>
        <v>221</v>
      </c>
      <c r="O26" t="str">
        <f t="shared" si="2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0"/>
        <v>90</v>
      </c>
      <c r="N27">
        <f t="shared" si="1"/>
        <v>442</v>
      </c>
      <c r="O27" t="str">
        <f t="shared" si="2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0"/>
        <v>135</v>
      </c>
      <c r="N28">
        <f t="shared" si="1"/>
        <v>678</v>
      </c>
      <c r="O28" t="str">
        <f t="shared" si="2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0"/>
        <v>180</v>
      </c>
      <c r="N29">
        <f t="shared" si="1"/>
        <v>928</v>
      </c>
      <c r="O29" t="str">
        <f t="shared" si="2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0"/>
        <v>225</v>
      </c>
      <c r="N30">
        <f t="shared" si="1"/>
        <v>1193</v>
      </c>
      <c r="O30" t="str">
        <f t="shared" si="2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0"/>
        <v>270</v>
      </c>
      <c r="N31">
        <f t="shared" si="1"/>
        <v>1472</v>
      </c>
      <c r="O31" t="str">
        <f t="shared" si="2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0"/>
        <v>315</v>
      </c>
      <c r="N32">
        <f t="shared" si="1"/>
        <v>1765</v>
      </c>
      <c r="O32" t="str">
        <f t="shared" si="2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0"/>
        <v>360</v>
      </c>
      <c r="N33">
        <f t="shared" si="1"/>
        <v>2073</v>
      </c>
      <c r="O33" t="str">
        <f t="shared" si="2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0"/>
        <v>405</v>
      </c>
      <c r="N34">
        <f t="shared" si="1"/>
        <v>2395</v>
      </c>
      <c r="O34" t="str">
        <f t="shared" si="2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0"/>
        <v>450</v>
      </c>
      <c r="N35">
        <f t="shared" si="1"/>
        <v>2732</v>
      </c>
      <c r="O35" t="str">
        <f t="shared" si="2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0"/>
        <v>495</v>
      </c>
      <c r="N36">
        <f t="shared" si="1"/>
        <v>3083</v>
      </c>
      <c r="O36" t="str">
        <f t="shared" si="2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0"/>
        <v>540</v>
      </c>
      <c r="N37">
        <f t="shared" si="1"/>
        <v>3449</v>
      </c>
      <c r="O37" t="str">
        <f t="shared" si="2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0"/>
        <v>585</v>
      </c>
      <c r="N38">
        <f t="shared" si="1"/>
        <v>3829</v>
      </c>
      <c r="O38" t="str">
        <f t="shared" si="2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0"/>
        <v>630</v>
      </c>
      <c r="N39">
        <f t="shared" si="1"/>
        <v>4224</v>
      </c>
      <c r="O39" t="str">
        <f t="shared" si="2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0"/>
        <v>675</v>
      </c>
      <c r="N40">
        <f t="shared" si="1"/>
        <v>4633</v>
      </c>
      <c r="O40" t="str">
        <f t="shared" si="2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0"/>
        <v>720</v>
      </c>
      <c r="N41">
        <f t="shared" si="1"/>
        <v>5056</v>
      </c>
      <c r="O41" t="str">
        <f t="shared" si="2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0"/>
        <v>765</v>
      </c>
      <c r="N42">
        <f t="shared" si="1"/>
        <v>5494</v>
      </c>
      <c r="O42" t="str">
        <f t="shared" si="2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0"/>
        <v>810</v>
      </c>
      <c r="N43">
        <f t="shared" si="1"/>
        <v>5946</v>
      </c>
      <c r="O43" t="str">
        <f t="shared" si="2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0"/>
        <v>855</v>
      </c>
      <c r="N44">
        <f t="shared" si="1"/>
        <v>6413</v>
      </c>
      <c r="O44" t="str">
        <f t="shared" si="2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0"/>
        <v>900</v>
      </c>
      <c r="N45">
        <f t="shared" si="1"/>
        <v>6894</v>
      </c>
      <c r="O45" t="str">
        <f t="shared" si="2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0"/>
        <v>0</v>
      </c>
      <c r="N46">
        <f t="shared" si="1"/>
        <v>6413</v>
      </c>
      <c r="O46" t="str">
        <f t="shared" si="2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0"/>
        <v>0</v>
      </c>
      <c r="N47">
        <f t="shared" si="1"/>
        <v>5946</v>
      </c>
      <c r="O47" t="str">
        <f t="shared" si="2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0"/>
        <v>-990</v>
      </c>
      <c r="N48">
        <f t="shared" si="1"/>
        <v>0</v>
      </c>
      <c r="O48" t="str">
        <f t="shared" si="2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0"/>
        <v>-945</v>
      </c>
      <c r="N49">
        <f t="shared" si="1"/>
        <v>0</v>
      </c>
      <c r="O49" t="str">
        <f t="shared" si="2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0"/>
        <v>-900</v>
      </c>
      <c r="N50">
        <f t="shared" si="1"/>
        <v>0</v>
      </c>
      <c r="O50" t="str">
        <f t="shared" si="2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0"/>
        <v>-855</v>
      </c>
      <c r="N51">
        <f t="shared" si="1"/>
        <v>0</v>
      </c>
      <c r="O51" t="str">
        <f t="shared" si="2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0"/>
        <v>-810</v>
      </c>
      <c r="N52">
        <f t="shared" si="1"/>
        <v>0</v>
      </c>
      <c r="O52" t="str">
        <f t="shared" si="2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0"/>
        <v>-765</v>
      </c>
      <c r="N53">
        <f t="shared" si="1"/>
        <v>0</v>
      </c>
      <c r="O53" t="str">
        <f t="shared" si="2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0"/>
        <v>-720</v>
      </c>
      <c r="N54">
        <f t="shared" si="1"/>
        <v>0</v>
      </c>
      <c r="O54" t="str">
        <f t="shared" si="2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0"/>
        <v>-675</v>
      </c>
      <c r="N55">
        <f t="shared" si="1"/>
        <v>0</v>
      </c>
      <c r="O55" t="str">
        <f t="shared" si="2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0"/>
        <v>-630</v>
      </c>
      <c r="N56">
        <f t="shared" si="1"/>
        <v>-50</v>
      </c>
      <c r="O56" t="str">
        <f t="shared" si="2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0"/>
        <v>-585</v>
      </c>
      <c r="N57">
        <f t="shared" si="1"/>
        <v>-124</v>
      </c>
      <c r="O57" t="str">
        <f t="shared" si="2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0"/>
        <v>-540</v>
      </c>
      <c r="N58">
        <f t="shared" si="1"/>
        <v>-186</v>
      </c>
      <c r="O58" t="str">
        <f t="shared" si="2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0"/>
        <v>-495</v>
      </c>
      <c r="N59">
        <f t="shared" si="1"/>
        <v>-236</v>
      </c>
      <c r="O59" t="str">
        <f t="shared" si="2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0"/>
        <v>-450</v>
      </c>
      <c r="N60">
        <f t="shared" si="1"/>
        <v>-274</v>
      </c>
      <c r="O60" t="str">
        <f t="shared" si="2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0"/>
        <v>-405</v>
      </c>
      <c r="N61">
        <f t="shared" si="1"/>
        <v>-300</v>
      </c>
      <c r="O61" t="str">
        <f t="shared" si="2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0"/>
        <v>-360</v>
      </c>
      <c r="N62">
        <f t="shared" si="1"/>
        <v>-314</v>
      </c>
      <c r="O62" t="str">
        <f t="shared" si="2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0"/>
        <v>-315</v>
      </c>
      <c r="N63">
        <f t="shared" si="1"/>
        <v>-315</v>
      </c>
      <c r="O63" t="str">
        <f t="shared" si="2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0"/>
        <v>-270</v>
      </c>
      <c r="N64">
        <f t="shared" si="1"/>
        <v>-304</v>
      </c>
      <c r="O64" t="str">
        <f t="shared" si="2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0"/>
        <v>-225</v>
      </c>
      <c r="N65">
        <f t="shared" si="1"/>
        <v>-282</v>
      </c>
      <c r="O65" t="str">
        <f t="shared" si="2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0"/>
        <v>-180</v>
      </c>
      <c r="N66">
        <f t="shared" si="1"/>
        <v>-247</v>
      </c>
      <c r="O66" t="str">
        <f t="shared" si="2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M130" si="3">A67</f>
        <v>29.7</v>
      </c>
      <c r="M67">
        <f t="shared" si="3"/>
        <v>-135</v>
      </c>
      <c r="N67">
        <f t="shared" ref="N67:N130" si="4">C67*1000</f>
        <v>-200</v>
      </c>
      <c r="O67" t="str">
        <f t="shared" ref="O67:O130" si="5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3"/>
        <v>29.7</v>
      </c>
      <c r="M68">
        <f t="shared" si="3"/>
        <v>-90</v>
      </c>
      <c r="N68">
        <f t="shared" si="4"/>
        <v>-141</v>
      </c>
      <c r="O68" t="str">
        <f t="shared" si="5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3"/>
        <v>29.7</v>
      </c>
      <c r="M69">
        <f t="shared" si="3"/>
        <v>-45</v>
      </c>
      <c r="N69">
        <f t="shared" si="4"/>
        <v>-70</v>
      </c>
      <c r="O69" t="str">
        <f t="shared" si="5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3"/>
        <v>29.7</v>
      </c>
      <c r="M70">
        <f t="shared" si="3"/>
        <v>-9</v>
      </c>
      <c r="N70">
        <f t="shared" si="4"/>
        <v>-4</v>
      </c>
      <c r="O70" t="str">
        <f t="shared" si="5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3"/>
        <v>29.7</v>
      </c>
      <c r="M71">
        <f t="shared" si="3"/>
        <v>9</v>
      </c>
      <c r="N71">
        <f t="shared" si="4"/>
        <v>54</v>
      </c>
      <c r="O71" t="str">
        <f t="shared" si="5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3"/>
        <v>29.7</v>
      </c>
      <c r="M72">
        <f t="shared" si="3"/>
        <v>45</v>
      </c>
      <c r="N72">
        <f t="shared" si="4"/>
        <v>216</v>
      </c>
      <c r="O72" t="str">
        <f t="shared" si="5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3"/>
        <v>29.7</v>
      </c>
      <c r="M73">
        <f t="shared" si="3"/>
        <v>90</v>
      </c>
      <c r="N73">
        <f t="shared" si="4"/>
        <v>430</v>
      </c>
      <c r="O73" t="str">
        <f t="shared" si="5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3"/>
        <v>29.7</v>
      </c>
      <c r="M74">
        <f t="shared" si="3"/>
        <v>135</v>
      </c>
      <c r="N74">
        <f t="shared" si="4"/>
        <v>658</v>
      </c>
      <c r="O74" t="str">
        <f t="shared" si="5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3"/>
        <v>29.7</v>
      </c>
      <c r="M75">
        <f t="shared" si="3"/>
        <v>180</v>
      </c>
      <c r="N75">
        <f t="shared" si="4"/>
        <v>898</v>
      </c>
      <c r="O75" t="str">
        <f t="shared" si="5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3"/>
        <v>29.7</v>
      </c>
      <c r="M76">
        <f t="shared" si="3"/>
        <v>225</v>
      </c>
      <c r="N76">
        <f t="shared" si="4"/>
        <v>1152</v>
      </c>
      <c r="O76" t="str">
        <f t="shared" si="5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3"/>
        <v>29.7</v>
      </c>
      <c r="M77">
        <f t="shared" si="3"/>
        <v>270</v>
      </c>
      <c r="N77">
        <f t="shared" si="4"/>
        <v>1419</v>
      </c>
      <c r="O77" t="str">
        <f t="shared" si="5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3"/>
        <v>29.7</v>
      </c>
      <c r="M78">
        <f t="shared" si="3"/>
        <v>315</v>
      </c>
      <c r="N78">
        <f t="shared" si="4"/>
        <v>1699</v>
      </c>
      <c r="O78" t="str">
        <f t="shared" si="5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3"/>
        <v>29.7</v>
      </c>
      <c r="M79">
        <f t="shared" si="3"/>
        <v>360</v>
      </c>
      <c r="N79">
        <f t="shared" si="4"/>
        <v>1992</v>
      </c>
      <c r="O79" t="str">
        <f t="shared" si="5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3"/>
        <v>29.7</v>
      </c>
      <c r="M80">
        <f t="shared" si="3"/>
        <v>405</v>
      </c>
      <c r="N80">
        <f t="shared" si="4"/>
        <v>2299</v>
      </c>
      <c r="O80" t="str">
        <f t="shared" si="5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3"/>
        <v>29.7</v>
      </c>
      <c r="M81">
        <f t="shared" si="3"/>
        <v>450</v>
      </c>
      <c r="N81">
        <f t="shared" si="4"/>
        <v>2618</v>
      </c>
      <c r="O81" t="str">
        <f t="shared" si="5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3"/>
        <v>29.7</v>
      </c>
      <c r="M82">
        <f t="shared" si="3"/>
        <v>495</v>
      </c>
      <c r="N82">
        <f t="shared" si="4"/>
        <v>2951</v>
      </c>
      <c r="O82" t="str">
        <f t="shared" si="5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3"/>
        <v>29.7</v>
      </c>
      <c r="M83">
        <f t="shared" si="3"/>
        <v>540</v>
      </c>
      <c r="N83">
        <f t="shared" si="4"/>
        <v>3297</v>
      </c>
      <c r="O83" t="str">
        <f t="shared" si="5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3"/>
        <v>29.7</v>
      </c>
      <c r="M84">
        <f t="shared" si="3"/>
        <v>585</v>
      </c>
      <c r="N84">
        <f t="shared" si="4"/>
        <v>3656</v>
      </c>
      <c r="O84" t="str">
        <f t="shared" si="5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3"/>
        <v>29.7</v>
      </c>
      <c r="M85">
        <f t="shared" si="3"/>
        <v>630</v>
      </c>
      <c r="N85">
        <f t="shared" si="4"/>
        <v>4027.9999999999995</v>
      </c>
      <c r="O85" t="str">
        <f t="shared" si="5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3"/>
        <v>29.7</v>
      </c>
      <c r="M86">
        <f t="shared" si="3"/>
        <v>675</v>
      </c>
      <c r="N86">
        <f t="shared" si="4"/>
        <v>4413</v>
      </c>
      <c r="O86" t="str">
        <f t="shared" si="5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3"/>
        <v>29.7</v>
      </c>
      <c r="M87">
        <f t="shared" si="3"/>
        <v>720</v>
      </c>
      <c r="N87">
        <f t="shared" si="4"/>
        <v>4811</v>
      </c>
      <c r="O87" t="str">
        <f t="shared" si="5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3"/>
        <v>29.7</v>
      </c>
      <c r="M88">
        <f t="shared" si="3"/>
        <v>765</v>
      </c>
      <c r="N88">
        <f t="shared" si="4"/>
        <v>5223</v>
      </c>
      <c r="O88" t="str">
        <f t="shared" si="5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3"/>
        <v>29.7</v>
      </c>
      <c r="M89">
        <f t="shared" si="3"/>
        <v>810</v>
      </c>
      <c r="N89">
        <f t="shared" si="4"/>
        <v>5647</v>
      </c>
      <c r="O89" t="str">
        <f t="shared" si="5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3"/>
        <v>29.7</v>
      </c>
      <c r="M90">
        <f t="shared" si="3"/>
        <v>855</v>
      </c>
      <c r="N90">
        <f t="shared" si="4"/>
        <v>6085</v>
      </c>
      <c r="O90" t="str">
        <f t="shared" si="5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3"/>
        <v>29.7</v>
      </c>
      <c r="M91">
        <f t="shared" si="3"/>
        <v>900</v>
      </c>
      <c r="N91">
        <f t="shared" si="4"/>
        <v>6536</v>
      </c>
      <c r="O91" t="str">
        <f t="shared" si="5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3"/>
        <v>29.7</v>
      </c>
      <c r="M92">
        <f t="shared" si="3"/>
        <v>945</v>
      </c>
      <c r="N92">
        <f t="shared" si="4"/>
        <v>7000</v>
      </c>
      <c r="O92" t="str">
        <f t="shared" si="5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3"/>
        <v>29.7</v>
      </c>
      <c r="M93">
        <f t="shared" si="3"/>
        <v>990</v>
      </c>
      <c r="N93">
        <f t="shared" si="4"/>
        <v>7478</v>
      </c>
      <c r="O93" t="str">
        <f t="shared" si="5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3"/>
        <v>297</v>
      </c>
      <c r="M94">
        <f t="shared" si="3"/>
        <v>-990</v>
      </c>
      <c r="N94">
        <f t="shared" si="4"/>
        <v>-25264</v>
      </c>
      <c r="O94" t="str">
        <f t="shared" si="5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3"/>
        <v>297</v>
      </c>
      <c r="M95">
        <f t="shared" si="3"/>
        <v>-945</v>
      </c>
      <c r="N95">
        <f t="shared" si="4"/>
        <v>-24246</v>
      </c>
      <c r="O95" t="str">
        <f t="shared" si="5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3"/>
        <v>297</v>
      </c>
      <c r="M96">
        <f t="shared" si="3"/>
        <v>-900</v>
      </c>
      <c r="N96">
        <f t="shared" si="4"/>
        <v>-23214</v>
      </c>
      <c r="O96" t="str">
        <f t="shared" si="5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3"/>
        <v>297</v>
      </c>
      <c r="M97">
        <f t="shared" si="3"/>
        <v>-855</v>
      </c>
      <c r="N97">
        <f t="shared" si="4"/>
        <v>-22170</v>
      </c>
      <c r="O97" t="str">
        <f t="shared" si="5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3"/>
        <v>297</v>
      </c>
      <c r="M98">
        <f t="shared" si="3"/>
        <v>-810</v>
      </c>
      <c r="N98">
        <f t="shared" si="4"/>
        <v>-21112</v>
      </c>
      <c r="O98" t="str">
        <f t="shared" si="5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3"/>
        <v>297</v>
      </c>
      <c r="M99">
        <f t="shared" si="3"/>
        <v>-765</v>
      </c>
      <c r="N99">
        <f t="shared" si="4"/>
        <v>-20042</v>
      </c>
      <c r="O99" t="str">
        <f t="shared" si="5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3"/>
        <v>297</v>
      </c>
      <c r="M100">
        <f t="shared" si="3"/>
        <v>-720</v>
      </c>
      <c r="N100">
        <f t="shared" si="4"/>
        <v>-18958</v>
      </c>
      <c r="O100" t="str">
        <f t="shared" si="5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3"/>
        <v>297</v>
      </c>
      <c r="M101">
        <f t="shared" si="3"/>
        <v>-675</v>
      </c>
      <c r="N101">
        <f t="shared" si="4"/>
        <v>-17862</v>
      </c>
      <c r="O101" t="str">
        <f t="shared" si="5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3"/>
        <v>297</v>
      </c>
      <c r="M102">
        <f t="shared" si="3"/>
        <v>-630</v>
      </c>
      <c r="N102">
        <f t="shared" si="4"/>
        <v>-16752</v>
      </c>
      <c r="O102" t="str">
        <f t="shared" si="5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3"/>
        <v>297</v>
      </c>
      <c r="M103">
        <f t="shared" si="3"/>
        <v>-585</v>
      </c>
      <c r="N103">
        <f t="shared" si="4"/>
        <v>-15629</v>
      </c>
      <c r="O103" t="str">
        <f t="shared" si="5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3"/>
        <v>297</v>
      </c>
      <c r="M104">
        <f t="shared" si="3"/>
        <v>-540</v>
      </c>
      <c r="N104">
        <f t="shared" si="4"/>
        <v>-14494</v>
      </c>
      <c r="O104" t="str">
        <f t="shared" si="5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3"/>
        <v>297</v>
      </c>
      <c r="M105">
        <f t="shared" si="3"/>
        <v>-495</v>
      </c>
      <c r="N105">
        <f t="shared" si="4"/>
        <v>-13345</v>
      </c>
      <c r="O105" t="str">
        <f t="shared" si="5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3"/>
        <v>297</v>
      </c>
      <c r="M106">
        <f t="shared" si="3"/>
        <v>-450</v>
      </c>
      <c r="N106">
        <f t="shared" si="4"/>
        <v>-12183</v>
      </c>
      <c r="O106" t="str">
        <f t="shared" si="5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3"/>
        <v>297</v>
      </c>
      <c r="M107">
        <f t="shared" si="3"/>
        <v>-405</v>
      </c>
      <c r="N107">
        <f t="shared" si="4"/>
        <v>-11008</v>
      </c>
      <c r="O107" t="str">
        <f t="shared" si="5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3"/>
        <v>297</v>
      </c>
      <c r="M108">
        <f t="shared" si="3"/>
        <v>-360</v>
      </c>
      <c r="N108">
        <f t="shared" si="4"/>
        <v>-9821</v>
      </c>
      <c r="O108" t="str">
        <f t="shared" si="5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3"/>
        <v>297</v>
      </c>
      <c r="M109">
        <f t="shared" si="3"/>
        <v>-315</v>
      </c>
      <c r="N109">
        <f t="shared" si="4"/>
        <v>-8620</v>
      </c>
      <c r="O109" t="str">
        <f t="shared" si="5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3"/>
        <v>297</v>
      </c>
      <c r="M110">
        <f t="shared" si="3"/>
        <v>-270</v>
      </c>
      <c r="N110">
        <f t="shared" si="4"/>
        <v>-7406</v>
      </c>
      <c r="O110" t="str">
        <f t="shared" si="5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3"/>
        <v>297</v>
      </c>
      <c r="M111">
        <f t="shared" si="3"/>
        <v>-225</v>
      </c>
      <c r="N111">
        <f t="shared" si="4"/>
        <v>-6179</v>
      </c>
      <c r="O111" t="str">
        <f t="shared" si="5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3"/>
        <v>297</v>
      </c>
      <c r="M112">
        <f t="shared" si="3"/>
        <v>-180</v>
      </c>
      <c r="N112">
        <f t="shared" si="4"/>
        <v>-4939</v>
      </c>
      <c r="O112" t="str">
        <f t="shared" si="5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3"/>
        <v>297</v>
      </c>
      <c r="M113">
        <f t="shared" si="3"/>
        <v>-135</v>
      </c>
      <c r="N113">
        <f t="shared" si="4"/>
        <v>-3686</v>
      </c>
      <c r="O113" t="str">
        <f t="shared" si="5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3"/>
        <v>297</v>
      </c>
      <c r="M114">
        <f t="shared" si="3"/>
        <v>-90</v>
      </c>
      <c r="N114">
        <f t="shared" si="4"/>
        <v>-2420</v>
      </c>
      <c r="O114" t="str">
        <f t="shared" si="5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3"/>
        <v>297</v>
      </c>
      <c r="M115">
        <f t="shared" si="3"/>
        <v>-45</v>
      </c>
      <c r="N115">
        <f t="shared" si="4"/>
        <v>-1141</v>
      </c>
      <c r="O115" t="str">
        <f t="shared" si="5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3"/>
        <v>297</v>
      </c>
      <c r="M116">
        <f t="shared" si="3"/>
        <v>-9</v>
      </c>
      <c r="N116">
        <f t="shared" si="4"/>
        <v>-108</v>
      </c>
      <c r="O116" t="str">
        <f t="shared" si="5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3"/>
        <v>297</v>
      </c>
      <c r="M117">
        <f t="shared" si="3"/>
        <v>9</v>
      </c>
      <c r="N117">
        <f t="shared" si="4"/>
        <v>465</v>
      </c>
      <c r="O117" t="str">
        <f t="shared" si="5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3"/>
        <v>297</v>
      </c>
      <c r="M118">
        <f t="shared" si="3"/>
        <v>45</v>
      </c>
      <c r="N118">
        <f t="shared" si="4"/>
        <v>1678</v>
      </c>
      <c r="O118" t="str">
        <f t="shared" si="5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3"/>
        <v>297</v>
      </c>
      <c r="M119">
        <f t="shared" si="3"/>
        <v>90</v>
      </c>
      <c r="N119">
        <f t="shared" si="4"/>
        <v>3206</v>
      </c>
      <c r="O119" t="str">
        <f t="shared" si="5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3"/>
        <v>297</v>
      </c>
      <c r="M120">
        <f t="shared" si="3"/>
        <v>135</v>
      </c>
      <c r="N120">
        <f t="shared" si="4"/>
        <v>4748</v>
      </c>
      <c r="O120" t="str">
        <f t="shared" si="5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3"/>
        <v>297</v>
      </c>
      <c r="M121">
        <f t="shared" si="3"/>
        <v>180</v>
      </c>
      <c r="N121">
        <f t="shared" si="4"/>
        <v>6304</v>
      </c>
      <c r="O121" t="str">
        <f t="shared" si="5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3"/>
        <v>297</v>
      </c>
      <c r="M122">
        <f t="shared" si="3"/>
        <v>225</v>
      </c>
      <c r="N122">
        <f t="shared" si="4"/>
        <v>7874</v>
      </c>
      <c r="O122" t="str">
        <f t="shared" si="5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3"/>
        <v>297</v>
      </c>
      <c r="M123">
        <f t="shared" si="3"/>
        <v>270</v>
      </c>
      <c r="N123">
        <f t="shared" si="4"/>
        <v>9459</v>
      </c>
      <c r="O123" t="str">
        <f t="shared" si="5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3"/>
        <v>297</v>
      </c>
      <c r="M124">
        <f t="shared" si="3"/>
        <v>315</v>
      </c>
      <c r="N124">
        <f t="shared" si="4"/>
        <v>11057</v>
      </c>
      <c r="O124" t="str">
        <f t="shared" si="5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3"/>
        <v>297</v>
      </c>
      <c r="M125">
        <f t="shared" si="3"/>
        <v>360</v>
      </c>
      <c r="N125">
        <f t="shared" si="4"/>
        <v>12670</v>
      </c>
      <c r="O125" t="str">
        <f t="shared" si="5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3"/>
        <v>297</v>
      </c>
      <c r="M126">
        <f t="shared" si="3"/>
        <v>405</v>
      </c>
      <c r="N126">
        <f t="shared" si="4"/>
        <v>14297</v>
      </c>
      <c r="O126" t="str">
        <f t="shared" si="5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3"/>
        <v>297</v>
      </c>
      <c r="M127">
        <f t="shared" si="3"/>
        <v>450</v>
      </c>
      <c r="N127">
        <f t="shared" si="4"/>
        <v>15938</v>
      </c>
      <c r="O127" t="str">
        <f t="shared" si="5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3"/>
        <v>297</v>
      </c>
      <c r="M128">
        <f t="shared" si="3"/>
        <v>495</v>
      </c>
      <c r="N128">
        <f t="shared" si="4"/>
        <v>17594</v>
      </c>
      <c r="O128" t="str">
        <f t="shared" si="5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3"/>
        <v>297</v>
      </c>
      <c r="M129">
        <f t="shared" si="3"/>
        <v>540</v>
      </c>
      <c r="N129">
        <f t="shared" si="4"/>
        <v>19263</v>
      </c>
      <c r="O129" t="str">
        <f t="shared" si="5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3"/>
        <v>297</v>
      </c>
      <c r="M130">
        <f t="shared" si="3"/>
        <v>585</v>
      </c>
      <c r="N130">
        <f t="shared" si="4"/>
        <v>20946</v>
      </c>
      <c r="O130" t="str">
        <f t="shared" si="5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M194" si="6">A131</f>
        <v>297</v>
      </c>
      <c r="M131">
        <f t="shared" si="6"/>
        <v>630</v>
      </c>
      <c r="N131">
        <f t="shared" ref="N131:N194" si="7">C131*1000</f>
        <v>22644</v>
      </c>
      <c r="O131" t="str">
        <f t="shared" ref="O131:O194" si="8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6"/>
        <v>297</v>
      </c>
      <c r="M132">
        <f t="shared" si="6"/>
        <v>675</v>
      </c>
      <c r="N132">
        <f t="shared" si="7"/>
        <v>24356</v>
      </c>
      <c r="O132" t="str">
        <f t="shared" si="8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6"/>
        <v>297</v>
      </c>
      <c r="M133">
        <f t="shared" si="6"/>
        <v>720</v>
      </c>
      <c r="N133">
        <f t="shared" si="7"/>
        <v>26082</v>
      </c>
      <c r="O133" t="str">
        <f t="shared" si="8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6"/>
        <v>297</v>
      </c>
      <c r="M134">
        <f t="shared" si="6"/>
        <v>765</v>
      </c>
      <c r="N134">
        <f t="shared" si="7"/>
        <v>27822</v>
      </c>
      <c r="O134" t="str">
        <f t="shared" si="8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6"/>
        <v>297</v>
      </c>
      <c r="M135">
        <f t="shared" si="6"/>
        <v>810</v>
      </c>
      <c r="N135">
        <f t="shared" si="7"/>
        <v>29576</v>
      </c>
      <c r="O135" t="str">
        <f t="shared" si="8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6"/>
        <v>297</v>
      </c>
      <c r="M136">
        <f t="shared" si="6"/>
        <v>855</v>
      </c>
      <c r="N136">
        <f t="shared" si="7"/>
        <v>31344</v>
      </c>
      <c r="O136" t="str">
        <f t="shared" si="8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6"/>
        <v>297</v>
      </c>
      <c r="M137">
        <f t="shared" si="6"/>
        <v>900</v>
      </c>
      <c r="N137">
        <f t="shared" si="7"/>
        <v>33127</v>
      </c>
      <c r="O137" t="str">
        <f t="shared" si="8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6"/>
        <v>297</v>
      </c>
      <c r="M138">
        <f t="shared" si="6"/>
        <v>945</v>
      </c>
      <c r="N138">
        <f t="shared" si="7"/>
        <v>34924</v>
      </c>
      <c r="O138" t="str">
        <f t="shared" si="8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6"/>
        <v>297</v>
      </c>
      <c r="M139">
        <f t="shared" si="6"/>
        <v>990</v>
      </c>
      <c r="N139">
        <f t="shared" si="7"/>
        <v>36734</v>
      </c>
      <c r="O139" t="str">
        <f t="shared" si="8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6"/>
        <v>594</v>
      </c>
      <c r="M140">
        <f t="shared" si="6"/>
        <v>-990</v>
      </c>
      <c r="N140">
        <f t="shared" si="7"/>
        <v>-54008</v>
      </c>
      <c r="O140" t="str">
        <f t="shared" si="8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6"/>
        <v>594</v>
      </c>
      <c r="M141">
        <f t="shared" si="6"/>
        <v>-945</v>
      </c>
      <c r="N141">
        <f t="shared" si="7"/>
        <v>-51701</v>
      </c>
      <c r="O141" t="str">
        <f t="shared" si="8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6"/>
        <v>594</v>
      </c>
      <c r="M142">
        <f t="shared" si="6"/>
        <v>-900</v>
      </c>
      <c r="N142">
        <f t="shared" si="7"/>
        <v>-49378</v>
      </c>
      <c r="O142" t="str">
        <f t="shared" si="8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6"/>
        <v>594</v>
      </c>
      <c r="M143">
        <f t="shared" si="6"/>
        <v>-855</v>
      </c>
      <c r="N143">
        <f t="shared" si="7"/>
        <v>-47040</v>
      </c>
      <c r="O143" t="str">
        <f t="shared" si="8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6"/>
        <v>594</v>
      </c>
      <c r="M144">
        <f t="shared" si="6"/>
        <v>-810</v>
      </c>
      <c r="N144">
        <f t="shared" si="7"/>
        <v>-44686</v>
      </c>
      <c r="O144" t="str">
        <f t="shared" si="8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6"/>
        <v>594</v>
      </c>
      <c r="M145">
        <f t="shared" si="6"/>
        <v>-765</v>
      </c>
      <c r="N145">
        <f t="shared" si="7"/>
        <v>-42317</v>
      </c>
      <c r="O145" t="str">
        <f t="shared" si="8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6"/>
        <v>594</v>
      </c>
      <c r="M146">
        <f t="shared" si="6"/>
        <v>-720</v>
      </c>
      <c r="N146">
        <f t="shared" si="7"/>
        <v>-39932</v>
      </c>
      <c r="O146" t="str">
        <f t="shared" si="8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6"/>
        <v>594</v>
      </c>
      <c r="M147">
        <f t="shared" si="6"/>
        <v>-675</v>
      </c>
      <c r="N147">
        <f t="shared" si="7"/>
        <v>-37531</v>
      </c>
      <c r="O147" t="str">
        <f t="shared" si="8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6"/>
        <v>594</v>
      </c>
      <c r="M148">
        <f t="shared" si="6"/>
        <v>-630</v>
      </c>
      <c r="N148">
        <f t="shared" si="7"/>
        <v>-35115</v>
      </c>
      <c r="O148" t="str">
        <f t="shared" si="8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6"/>
        <v>594</v>
      </c>
      <c r="M149">
        <f t="shared" si="6"/>
        <v>-585</v>
      </c>
      <c r="N149">
        <f t="shared" si="7"/>
        <v>-32683</v>
      </c>
      <c r="O149" t="str">
        <f t="shared" si="8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6"/>
        <v>594</v>
      </c>
      <c r="M150">
        <f t="shared" si="6"/>
        <v>-540</v>
      </c>
      <c r="N150">
        <f t="shared" si="7"/>
        <v>-30236</v>
      </c>
      <c r="O150" t="str">
        <f t="shared" si="8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6"/>
        <v>594</v>
      </c>
      <c r="M151">
        <f t="shared" si="6"/>
        <v>-495</v>
      </c>
      <c r="N151">
        <f t="shared" si="7"/>
        <v>-27773</v>
      </c>
      <c r="O151" t="str">
        <f t="shared" si="8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6"/>
        <v>594</v>
      </c>
      <c r="M152">
        <f t="shared" si="6"/>
        <v>-450</v>
      </c>
      <c r="N152">
        <f t="shared" si="7"/>
        <v>-25294</v>
      </c>
      <c r="O152" t="str">
        <f t="shared" si="8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6"/>
        <v>594</v>
      </c>
      <c r="M153">
        <f t="shared" si="6"/>
        <v>-405</v>
      </c>
      <c r="N153">
        <f t="shared" si="7"/>
        <v>-22800</v>
      </c>
      <c r="O153" t="str">
        <f t="shared" si="8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6"/>
        <v>594</v>
      </c>
      <c r="M154">
        <f t="shared" si="6"/>
        <v>-360</v>
      </c>
      <c r="N154">
        <f t="shared" si="7"/>
        <v>-20290</v>
      </c>
      <c r="O154" t="str">
        <f t="shared" si="8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6"/>
        <v>594</v>
      </c>
      <c r="M155">
        <f t="shared" si="6"/>
        <v>-315</v>
      </c>
      <c r="N155">
        <f t="shared" si="7"/>
        <v>-17765</v>
      </c>
      <c r="O155" t="str">
        <f t="shared" si="8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6"/>
        <v>594</v>
      </c>
      <c r="M156">
        <f t="shared" si="6"/>
        <v>-270</v>
      </c>
      <c r="N156">
        <f t="shared" si="7"/>
        <v>-15224</v>
      </c>
      <c r="O156" t="str">
        <f t="shared" si="8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6"/>
        <v>594</v>
      </c>
      <c r="M157">
        <f t="shared" si="6"/>
        <v>-225</v>
      </c>
      <c r="N157">
        <f t="shared" si="7"/>
        <v>-12668</v>
      </c>
      <c r="O157" t="str">
        <f t="shared" si="8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6"/>
        <v>594</v>
      </c>
      <c r="M158">
        <f t="shared" si="6"/>
        <v>-180</v>
      </c>
      <c r="N158">
        <f t="shared" si="7"/>
        <v>-10096</v>
      </c>
      <c r="O158" t="str">
        <f t="shared" si="8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6"/>
        <v>594</v>
      </c>
      <c r="M159">
        <f t="shared" si="6"/>
        <v>-135</v>
      </c>
      <c r="N159">
        <f t="shared" si="7"/>
        <v>-7508</v>
      </c>
      <c r="O159" t="str">
        <f t="shared" si="8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6"/>
        <v>594</v>
      </c>
      <c r="M160">
        <f t="shared" si="6"/>
        <v>-90</v>
      </c>
      <c r="N160">
        <f t="shared" si="7"/>
        <v>-4905</v>
      </c>
      <c r="O160" t="str">
        <f t="shared" si="8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6"/>
        <v>594</v>
      </c>
      <c r="M161">
        <f t="shared" si="6"/>
        <v>-45</v>
      </c>
      <c r="N161">
        <f t="shared" si="7"/>
        <v>-2286</v>
      </c>
      <c r="O161" t="str">
        <f t="shared" si="8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6"/>
        <v>594</v>
      </c>
      <c r="M162">
        <f t="shared" si="6"/>
        <v>-9</v>
      </c>
      <c r="N162">
        <f t="shared" si="7"/>
        <v>-180</v>
      </c>
      <c r="O162" t="str">
        <f t="shared" si="8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6"/>
        <v>594</v>
      </c>
      <c r="M163">
        <f t="shared" si="6"/>
        <v>9</v>
      </c>
      <c r="N163">
        <f t="shared" si="7"/>
        <v>971</v>
      </c>
      <c r="O163" t="str">
        <f t="shared" si="8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6"/>
        <v>594</v>
      </c>
      <c r="M164">
        <f t="shared" si="6"/>
        <v>45</v>
      </c>
      <c r="N164">
        <f t="shared" si="7"/>
        <v>3351</v>
      </c>
      <c r="O164" t="str">
        <f t="shared" si="8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6"/>
        <v>594</v>
      </c>
      <c r="M165">
        <f t="shared" si="6"/>
        <v>90</v>
      </c>
      <c r="N165">
        <f t="shared" si="7"/>
        <v>6341</v>
      </c>
      <c r="O165" t="str">
        <f t="shared" si="8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6"/>
        <v>594</v>
      </c>
      <c r="M166">
        <f t="shared" si="6"/>
        <v>135</v>
      </c>
      <c r="N166">
        <f t="shared" si="7"/>
        <v>9348</v>
      </c>
      <c r="O166" t="str">
        <f t="shared" si="8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6"/>
        <v>594</v>
      </c>
      <c r="M167">
        <f t="shared" si="6"/>
        <v>180</v>
      </c>
      <c r="N167">
        <f t="shared" si="7"/>
        <v>12372</v>
      </c>
      <c r="O167" t="str">
        <f t="shared" si="8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6"/>
        <v>594</v>
      </c>
      <c r="M168">
        <f t="shared" si="6"/>
        <v>225</v>
      </c>
      <c r="N168">
        <f t="shared" si="7"/>
        <v>15412</v>
      </c>
      <c r="O168" t="str">
        <f t="shared" si="8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6"/>
        <v>594</v>
      </c>
      <c r="M169">
        <f t="shared" si="6"/>
        <v>270</v>
      </c>
      <c r="N169">
        <f t="shared" si="7"/>
        <v>18470</v>
      </c>
      <c r="O169" t="str">
        <f t="shared" si="8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6"/>
        <v>594</v>
      </c>
      <c r="M170">
        <f t="shared" si="6"/>
        <v>315</v>
      </c>
      <c r="N170">
        <f t="shared" si="7"/>
        <v>21545</v>
      </c>
      <c r="O170" t="str">
        <f t="shared" si="8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6"/>
        <v>594</v>
      </c>
      <c r="M171">
        <f t="shared" si="6"/>
        <v>360</v>
      </c>
      <c r="N171">
        <f t="shared" si="7"/>
        <v>24636</v>
      </c>
      <c r="O171" t="str">
        <f t="shared" si="8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6"/>
        <v>594</v>
      </c>
      <c r="M172">
        <f t="shared" si="6"/>
        <v>405</v>
      </c>
      <c r="N172">
        <f t="shared" si="7"/>
        <v>27744</v>
      </c>
      <c r="O172" t="str">
        <f t="shared" si="8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6"/>
        <v>594</v>
      </c>
      <c r="M173">
        <f t="shared" si="6"/>
        <v>450</v>
      </c>
      <c r="N173">
        <f t="shared" si="7"/>
        <v>30870</v>
      </c>
      <c r="O173" t="str">
        <f t="shared" si="8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6"/>
        <v>594</v>
      </c>
      <c r="M174">
        <f t="shared" si="6"/>
        <v>495</v>
      </c>
      <c r="N174">
        <f t="shared" si="7"/>
        <v>34012</v>
      </c>
      <c r="O174" t="str">
        <f t="shared" si="8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6"/>
        <v>594</v>
      </c>
      <c r="M175">
        <f t="shared" si="6"/>
        <v>540</v>
      </c>
      <c r="N175">
        <f t="shared" si="7"/>
        <v>37171</v>
      </c>
      <c r="O175" t="str">
        <f t="shared" si="8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6"/>
        <v>594</v>
      </c>
      <c r="M176">
        <f t="shared" si="6"/>
        <v>585</v>
      </c>
      <c r="N176">
        <f t="shared" si="7"/>
        <v>40347</v>
      </c>
      <c r="O176" t="str">
        <f t="shared" si="8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6"/>
        <v>594</v>
      </c>
      <c r="M177">
        <f t="shared" si="6"/>
        <v>630</v>
      </c>
      <c r="N177">
        <f t="shared" si="7"/>
        <v>43540</v>
      </c>
      <c r="O177" t="str">
        <f t="shared" si="8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6"/>
        <v>594</v>
      </c>
      <c r="M178">
        <f t="shared" si="6"/>
        <v>675</v>
      </c>
      <c r="N178">
        <f t="shared" si="7"/>
        <v>46750</v>
      </c>
      <c r="O178" t="str">
        <f t="shared" si="8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6"/>
        <v>594</v>
      </c>
      <c r="M179">
        <f t="shared" si="6"/>
        <v>720</v>
      </c>
      <c r="N179">
        <f t="shared" si="7"/>
        <v>49977</v>
      </c>
      <c r="O179" t="str">
        <f t="shared" si="8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6"/>
        <v>594</v>
      </c>
      <c r="M180">
        <f t="shared" si="6"/>
        <v>765</v>
      </c>
      <c r="N180">
        <f t="shared" si="7"/>
        <v>53220</v>
      </c>
      <c r="O180" t="str">
        <f t="shared" si="8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6"/>
        <v>594</v>
      </c>
      <c r="M181">
        <f t="shared" si="6"/>
        <v>810</v>
      </c>
      <c r="N181">
        <f t="shared" si="7"/>
        <v>56481</v>
      </c>
      <c r="O181" t="str">
        <f t="shared" si="8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6"/>
        <v>594</v>
      </c>
      <c r="M182">
        <f t="shared" si="6"/>
        <v>855</v>
      </c>
      <c r="N182">
        <f t="shared" si="7"/>
        <v>59758</v>
      </c>
      <c r="O182" t="str">
        <f t="shared" si="8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6"/>
        <v>594</v>
      </c>
      <c r="M183">
        <f t="shared" si="6"/>
        <v>900</v>
      </c>
      <c r="N183">
        <f t="shared" si="7"/>
        <v>63053</v>
      </c>
      <c r="O183" t="str">
        <f t="shared" si="8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6"/>
        <v>594</v>
      </c>
      <c r="M184">
        <f t="shared" si="6"/>
        <v>945</v>
      </c>
      <c r="N184">
        <f t="shared" si="7"/>
        <v>66364</v>
      </c>
      <c r="O184" t="str">
        <f t="shared" si="8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6"/>
        <v>594</v>
      </c>
      <c r="M185">
        <f t="shared" si="6"/>
        <v>990</v>
      </c>
      <c r="N185">
        <f t="shared" si="7"/>
        <v>69692</v>
      </c>
      <c r="O185" t="str">
        <f t="shared" si="8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6"/>
        <v>891</v>
      </c>
      <c r="M186">
        <f t="shared" si="6"/>
        <v>-990</v>
      </c>
      <c r="N186">
        <f t="shared" si="7"/>
        <v>-82296</v>
      </c>
      <c r="O186" t="str">
        <f t="shared" si="8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6"/>
        <v>891</v>
      </c>
      <c r="M187">
        <f t="shared" si="6"/>
        <v>-945</v>
      </c>
      <c r="N187">
        <f t="shared" si="7"/>
        <v>-78735</v>
      </c>
      <c r="O187" t="str">
        <f t="shared" si="8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6"/>
        <v>891</v>
      </c>
      <c r="M188">
        <f t="shared" si="6"/>
        <v>-900</v>
      </c>
      <c r="N188">
        <f t="shared" si="7"/>
        <v>-75154</v>
      </c>
      <c r="O188" t="str">
        <f t="shared" si="8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6"/>
        <v>891</v>
      </c>
      <c r="M189">
        <f t="shared" si="6"/>
        <v>-855</v>
      </c>
      <c r="N189">
        <f t="shared" si="7"/>
        <v>-71554</v>
      </c>
      <c r="O189" t="str">
        <f t="shared" si="8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6"/>
        <v>891</v>
      </c>
      <c r="M190">
        <f t="shared" si="6"/>
        <v>-810</v>
      </c>
      <c r="N190">
        <f t="shared" si="7"/>
        <v>-67933</v>
      </c>
      <c r="O190" t="str">
        <f t="shared" si="8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6"/>
        <v>891</v>
      </c>
      <c r="M191">
        <f t="shared" si="6"/>
        <v>-765</v>
      </c>
      <c r="N191">
        <f t="shared" si="7"/>
        <v>-64293.000000000007</v>
      </c>
      <c r="O191" t="str">
        <f t="shared" si="8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6"/>
        <v>891</v>
      </c>
      <c r="M192">
        <f t="shared" si="6"/>
        <v>-720</v>
      </c>
      <c r="N192">
        <f t="shared" si="7"/>
        <v>-60633</v>
      </c>
      <c r="O192" t="str">
        <f t="shared" si="8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6"/>
        <v>891</v>
      </c>
      <c r="M193">
        <f t="shared" si="6"/>
        <v>-675</v>
      </c>
      <c r="N193">
        <f t="shared" si="7"/>
        <v>-56954</v>
      </c>
      <c r="O193" t="str">
        <f t="shared" si="8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6"/>
        <v>891</v>
      </c>
      <c r="M194">
        <f t="shared" si="6"/>
        <v>-630</v>
      </c>
      <c r="N194">
        <f t="shared" si="7"/>
        <v>-53254</v>
      </c>
      <c r="O194" t="str">
        <f t="shared" si="8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M258" si="9">A195</f>
        <v>891</v>
      </c>
      <c r="M195">
        <f t="shared" si="9"/>
        <v>-585</v>
      </c>
      <c r="N195">
        <f t="shared" ref="N195:N258" si="10">C195*1000</f>
        <v>-49535</v>
      </c>
      <c r="O195" t="str">
        <f t="shared" ref="O195:O258" si="11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9"/>
        <v>891</v>
      </c>
      <c r="M196">
        <f t="shared" si="9"/>
        <v>-540</v>
      </c>
      <c r="N196">
        <f t="shared" si="10"/>
        <v>-45796</v>
      </c>
      <c r="O196" t="str">
        <f t="shared" si="11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9"/>
        <v>891</v>
      </c>
      <c r="M197">
        <f t="shared" si="9"/>
        <v>-495</v>
      </c>
      <c r="N197">
        <f t="shared" si="10"/>
        <v>-42038</v>
      </c>
      <c r="O197" t="str">
        <f t="shared" si="11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9"/>
        <v>891</v>
      </c>
      <c r="M198">
        <f t="shared" si="9"/>
        <v>-450</v>
      </c>
      <c r="N198">
        <f t="shared" si="10"/>
        <v>-38259</v>
      </c>
      <c r="O198" t="str">
        <f t="shared" si="11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9"/>
        <v>891</v>
      </c>
      <c r="M199">
        <f t="shared" si="9"/>
        <v>-405</v>
      </c>
      <c r="N199">
        <f t="shared" si="10"/>
        <v>-34461</v>
      </c>
      <c r="O199" t="str">
        <f t="shared" si="11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9"/>
        <v>891</v>
      </c>
      <c r="M200">
        <f t="shared" si="9"/>
        <v>-360</v>
      </c>
      <c r="N200">
        <f t="shared" si="10"/>
        <v>-30643</v>
      </c>
      <c r="O200" t="str">
        <f t="shared" si="11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9"/>
        <v>891</v>
      </c>
      <c r="M201">
        <f t="shared" si="9"/>
        <v>-315</v>
      </c>
      <c r="N201">
        <f t="shared" si="10"/>
        <v>-26805</v>
      </c>
      <c r="O201" t="str">
        <f t="shared" si="11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9"/>
        <v>891</v>
      </c>
      <c r="M202">
        <f t="shared" si="9"/>
        <v>-270</v>
      </c>
      <c r="N202">
        <f t="shared" si="10"/>
        <v>-22948</v>
      </c>
      <c r="O202" t="str">
        <f t="shared" si="11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9"/>
        <v>891</v>
      </c>
      <c r="M203">
        <f t="shared" si="9"/>
        <v>-225</v>
      </c>
      <c r="N203">
        <f t="shared" si="10"/>
        <v>-19071</v>
      </c>
      <c r="O203" t="str">
        <f t="shared" si="11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9"/>
        <v>891</v>
      </c>
      <c r="M204">
        <f t="shared" si="9"/>
        <v>-180</v>
      </c>
      <c r="N204">
        <f t="shared" si="10"/>
        <v>-15174</v>
      </c>
      <c r="O204" t="str">
        <f t="shared" si="11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9"/>
        <v>891</v>
      </c>
      <c r="M205">
        <f t="shared" si="9"/>
        <v>-135</v>
      </c>
      <c r="N205">
        <f t="shared" si="10"/>
        <v>-11257</v>
      </c>
      <c r="O205" t="str">
        <f t="shared" si="11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9"/>
        <v>891</v>
      </c>
      <c r="M206">
        <f t="shared" si="9"/>
        <v>-90</v>
      </c>
      <c r="N206">
        <f t="shared" si="10"/>
        <v>-7321</v>
      </c>
      <c r="O206" t="str">
        <f t="shared" si="11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9"/>
        <v>891</v>
      </c>
      <c r="M207">
        <f t="shared" si="9"/>
        <v>-45</v>
      </c>
      <c r="N207">
        <f t="shared" si="10"/>
        <v>-3365</v>
      </c>
      <c r="O207" t="str">
        <f t="shared" si="11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9"/>
        <v>891</v>
      </c>
      <c r="M208">
        <f t="shared" si="9"/>
        <v>-9</v>
      </c>
      <c r="N208">
        <f t="shared" si="10"/>
        <v>-186</v>
      </c>
      <c r="O208" t="str">
        <f t="shared" si="11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9"/>
        <v>891</v>
      </c>
      <c r="M209">
        <f t="shared" si="9"/>
        <v>9</v>
      </c>
      <c r="N209">
        <f t="shared" si="10"/>
        <v>1548</v>
      </c>
      <c r="O209" t="str">
        <f t="shared" si="11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9"/>
        <v>891</v>
      </c>
      <c r="M210">
        <f t="shared" si="9"/>
        <v>45</v>
      </c>
      <c r="N210">
        <f t="shared" si="10"/>
        <v>5096</v>
      </c>
      <c r="O210" t="str">
        <f t="shared" si="11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9"/>
        <v>891</v>
      </c>
      <c r="M211">
        <f t="shared" si="9"/>
        <v>90</v>
      </c>
      <c r="N211">
        <f t="shared" si="10"/>
        <v>9551</v>
      </c>
      <c r="O211" t="str">
        <f t="shared" si="11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9"/>
        <v>891</v>
      </c>
      <c r="M212">
        <f t="shared" si="9"/>
        <v>135</v>
      </c>
      <c r="N212">
        <f t="shared" si="10"/>
        <v>14027</v>
      </c>
      <c r="O212" t="str">
        <f t="shared" si="11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9"/>
        <v>891</v>
      </c>
      <c r="M213">
        <f t="shared" si="9"/>
        <v>180</v>
      </c>
      <c r="N213">
        <f t="shared" si="10"/>
        <v>18525</v>
      </c>
      <c r="O213" t="str">
        <f t="shared" si="11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9"/>
        <v>891</v>
      </c>
      <c r="M214">
        <f t="shared" si="9"/>
        <v>225</v>
      </c>
      <c r="N214">
        <f t="shared" si="10"/>
        <v>23044</v>
      </c>
      <c r="O214" t="str">
        <f t="shared" si="11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9"/>
        <v>891</v>
      </c>
      <c r="M215">
        <f t="shared" si="9"/>
        <v>270</v>
      </c>
      <c r="N215">
        <f t="shared" si="10"/>
        <v>27584</v>
      </c>
      <c r="O215" t="str">
        <f t="shared" si="11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9"/>
        <v>891</v>
      </c>
      <c r="M216">
        <f t="shared" si="9"/>
        <v>315</v>
      </c>
      <c r="N216">
        <f t="shared" si="10"/>
        <v>32146</v>
      </c>
      <c r="O216" t="str">
        <f t="shared" si="11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9"/>
        <v>891</v>
      </c>
      <c r="M217">
        <f t="shared" si="9"/>
        <v>360</v>
      </c>
      <c r="N217">
        <f t="shared" si="10"/>
        <v>36729</v>
      </c>
      <c r="O217" t="str">
        <f t="shared" si="11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9"/>
        <v>891</v>
      </c>
      <c r="M218">
        <f t="shared" si="9"/>
        <v>405</v>
      </c>
      <c r="N218">
        <f t="shared" si="10"/>
        <v>41334</v>
      </c>
      <c r="O218" t="str">
        <f t="shared" si="11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9"/>
        <v>891</v>
      </c>
      <c r="M219">
        <f t="shared" si="9"/>
        <v>450</v>
      </c>
      <c r="N219">
        <f t="shared" si="10"/>
        <v>45960</v>
      </c>
      <c r="O219" t="str">
        <f t="shared" si="11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9"/>
        <v>891</v>
      </c>
      <c r="M220">
        <f t="shared" si="9"/>
        <v>495</v>
      </c>
      <c r="N220">
        <f t="shared" si="10"/>
        <v>50607</v>
      </c>
      <c r="O220" t="str">
        <f t="shared" si="11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9"/>
        <v>891</v>
      </c>
      <c r="M221">
        <f t="shared" si="9"/>
        <v>540</v>
      </c>
      <c r="N221">
        <f t="shared" si="10"/>
        <v>55276</v>
      </c>
      <c r="O221" t="str">
        <f t="shared" si="11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9"/>
        <v>891</v>
      </c>
      <c r="M222">
        <f t="shared" si="9"/>
        <v>585</v>
      </c>
      <c r="N222">
        <f t="shared" si="10"/>
        <v>59967</v>
      </c>
      <c r="O222" t="str">
        <f t="shared" si="11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9"/>
        <v>891</v>
      </c>
      <c r="M223">
        <f t="shared" si="9"/>
        <v>630</v>
      </c>
      <c r="N223">
        <f t="shared" si="10"/>
        <v>64679</v>
      </c>
      <c r="O223" t="str">
        <f t="shared" si="11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9"/>
        <v>891</v>
      </c>
      <c r="M224">
        <f t="shared" si="9"/>
        <v>675</v>
      </c>
      <c r="N224">
        <f t="shared" si="10"/>
        <v>69412</v>
      </c>
      <c r="O224" t="str">
        <f t="shared" si="11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9"/>
        <v>891</v>
      </c>
      <c r="M225">
        <f t="shared" si="9"/>
        <v>720</v>
      </c>
      <c r="N225">
        <f t="shared" si="10"/>
        <v>74167</v>
      </c>
      <c r="O225" t="str">
        <f t="shared" si="11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9"/>
        <v>891</v>
      </c>
      <c r="M226">
        <f t="shared" si="9"/>
        <v>765</v>
      </c>
      <c r="N226">
        <f t="shared" si="10"/>
        <v>78943</v>
      </c>
      <c r="O226" t="str">
        <f t="shared" si="11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9"/>
        <v>891</v>
      </c>
      <c r="M227">
        <f t="shared" si="9"/>
        <v>810</v>
      </c>
      <c r="N227">
        <f t="shared" si="10"/>
        <v>83740</v>
      </c>
      <c r="O227" t="str">
        <f t="shared" si="11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9"/>
        <v>891</v>
      </c>
      <c r="M228">
        <f t="shared" si="9"/>
        <v>855</v>
      </c>
      <c r="N228">
        <f t="shared" si="10"/>
        <v>88559</v>
      </c>
      <c r="O228" t="str">
        <f t="shared" si="11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9"/>
        <v>891</v>
      </c>
      <c r="M229">
        <f t="shared" si="9"/>
        <v>900</v>
      </c>
      <c r="N229">
        <f t="shared" si="10"/>
        <v>93400</v>
      </c>
      <c r="O229" t="str">
        <f t="shared" si="11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9"/>
        <v>891</v>
      </c>
      <c r="M230">
        <f t="shared" si="9"/>
        <v>945</v>
      </c>
      <c r="N230">
        <f t="shared" si="10"/>
        <v>98262</v>
      </c>
      <c r="O230" t="str">
        <f t="shared" si="11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9"/>
        <v>891</v>
      </c>
      <c r="M231">
        <f t="shared" si="9"/>
        <v>990</v>
      </c>
      <c r="N231">
        <f t="shared" si="10"/>
        <v>103145</v>
      </c>
      <c r="O231" t="str">
        <f t="shared" si="11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9"/>
        <v>1188</v>
      </c>
      <c r="M232">
        <f t="shared" si="9"/>
        <v>-990</v>
      </c>
      <c r="N232">
        <f t="shared" si="10"/>
        <v>-110110</v>
      </c>
      <c r="O232" t="str">
        <f t="shared" si="11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9"/>
        <v>1188</v>
      </c>
      <c r="M233">
        <f t="shared" si="9"/>
        <v>-945</v>
      </c>
      <c r="N233">
        <f t="shared" si="10"/>
        <v>-105329</v>
      </c>
      <c r="O233" t="str">
        <f t="shared" si="11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9"/>
        <v>1188</v>
      </c>
      <c r="M234">
        <f t="shared" si="9"/>
        <v>-900</v>
      </c>
      <c r="N234">
        <f t="shared" si="10"/>
        <v>-100523</v>
      </c>
      <c r="O234" t="str">
        <f t="shared" si="11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9"/>
        <v>1188</v>
      </c>
      <c r="M235">
        <f t="shared" si="9"/>
        <v>-855</v>
      </c>
      <c r="N235">
        <f t="shared" si="10"/>
        <v>-95691</v>
      </c>
      <c r="O235" t="str">
        <f t="shared" si="11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9"/>
        <v>1188</v>
      </c>
      <c r="M236">
        <f t="shared" si="9"/>
        <v>-810</v>
      </c>
      <c r="N236">
        <f t="shared" si="10"/>
        <v>-90834</v>
      </c>
      <c r="O236" t="str">
        <f t="shared" si="11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9"/>
        <v>1188</v>
      </c>
      <c r="M237">
        <f t="shared" si="9"/>
        <v>-765</v>
      </c>
      <c r="N237">
        <f t="shared" si="10"/>
        <v>-85952</v>
      </c>
      <c r="O237" t="str">
        <f t="shared" si="11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9"/>
        <v>1188</v>
      </c>
      <c r="M238">
        <f t="shared" si="9"/>
        <v>-720</v>
      </c>
      <c r="N238">
        <f t="shared" si="10"/>
        <v>-81044</v>
      </c>
      <c r="O238" t="str">
        <f t="shared" si="11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9"/>
        <v>1188</v>
      </c>
      <c r="M239">
        <f t="shared" si="9"/>
        <v>-675</v>
      </c>
      <c r="N239">
        <f t="shared" si="10"/>
        <v>-76110</v>
      </c>
      <c r="O239" t="str">
        <f t="shared" si="11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9"/>
        <v>1188</v>
      </c>
      <c r="M240">
        <f t="shared" si="9"/>
        <v>-630</v>
      </c>
      <c r="N240">
        <f t="shared" si="10"/>
        <v>-71151</v>
      </c>
      <c r="O240" t="str">
        <f t="shared" si="11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9"/>
        <v>1188</v>
      </c>
      <c r="M241">
        <f t="shared" si="9"/>
        <v>-585</v>
      </c>
      <c r="N241">
        <f t="shared" si="10"/>
        <v>-66166</v>
      </c>
      <c r="O241" t="str">
        <f t="shared" si="11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9"/>
        <v>1188</v>
      </c>
      <c r="M242">
        <f t="shared" si="9"/>
        <v>-540</v>
      </c>
      <c r="N242">
        <f t="shared" si="10"/>
        <v>-61156</v>
      </c>
      <c r="O242" t="str">
        <f t="shared" si="11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9"/>
        <v>1188</v>
      </c>
      <c r="M243">
        <f t="shared" si="9"/>
        <v>-495</v>
      </c>
      <c r="N243">
        <f t="shared" si="10"/>
        <v>-56120</v>
      </c>
      <c r="O243" t="str">
        <f t="shared" si="11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9"/>
        <v>1188</v>
      </c>
      <c r="M244">
        <f t="shared" si="9"/>
        <v>-450</v>
      </c>
      <c r="N244">
        <f t="shared" si="10"/>
        <v>-51059</v>
      </c>
      <c r="O244" t="str">
        <f t="shared" si="11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9"/>
        <v>1188</v>
      </c>
      <c r="M245">
        <f t="shared" si="9"/>
        <v>-405</v>
      </c>
      <c r="N245">
        <f t="shared" si="10"/>
        <v>-45972</v>
      </c>
      <c r="O245" t="str">
        <f t="shared" si="11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9"/>
        <v>1188</v>
      </c>
      <c r="M246">
        <f t="shared" si="9"/>
        <v>-360</v>
      </c>
      <c r="N246">
        <f t="shared" si="10"/>
        <v>-40859</v>
      </c>
      <c r="O246" t="str">
        <f t="shared" si="11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9"/>
        <v>1188</v>
      </c>
      <c r="M247">
        <f t="shared" si="9"/>
        <v>-315</v>
      </c>
      <c r="N247">
        <f t="shared" si="10"/>
        <v>-35721</v>
      </c>
      <c r="O247" t="str">
        <f t="shared" si="11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9"/>
        <v>1188</v>
      </c>
      <c r="M248">
        <f t="shared" si="9"/>
        <v>-270</v>
      </c>
      <c r="N248">
        <f t="shared" si="10"/>
        <v>-30558</v>
      </c>
      <c r="O248" t="str">
        <f t="shared" si="11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9"/>
        <v>1188</v>
      </c>
      <c r="M249">
        <f t="shared" si="9"/>
        <v>-225</v>
      </c>
      <c r="N249">
        <f t="shared" si="10"/>
        <v>-25369</v>
      </c>
      <c r="O249" t="str">
        <f t="shared" si="11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9"/>
        <v>1188</v>
      </c>
      <c r="M250">
        <f t="shared" si="9"/>
        <v>-180</v>
      </c>
      <c r="N250">
        <f t="shared" si="10"/>
        <v>-20154</v>
      </c>
      <c r="O250" t="str">
        <f t="shared" si="11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9"/>
        <v>1188</v>
      </c>
      <c r="M251">
        <f t="shared" si="9"/>
        <v>-135</v>
      </c>
      <c r="N251">
        <f t="shared" si="10"/>
        <v>-14914</v>
      </c>
      <c r="O251" t="str">
        <f t="shared" si="11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9"/>
        <v>1188</v>
      </c>
      <c r="M252">
        <f t="shared" si="9"/>
        <v>-90</v>
      </c>
      <c r="N252">
        <f t="shared" si="10"/>
        <v>-9649</v>
      </c>
      <c r="O252" t="str">
        <f t="shared" si="11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9"/>
        <v>1188</v>
      </c>
      <c r="M253">
        <f t="shared" si="9"/>
        <v>-45</v>
      </c>
      <c r="N253">
        <f t="shared" si="10"/>
        <v>-4358</v>
      </c>
      <c r="O253" t="str">
        <f t="shared" si="11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9"/>
        <v>1188</v>
      </c>
      <c r="M254">
        <f t="shared" si="9"/>
        <v>-9</v>
      </c>
      <c r="N254">
        <f t="shared" si="10"/>
        <v>-107</v>
      </c>
      <c r="O254" t="str">
        <f t="shared" si="11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9"/>
        <v>1188</v>
      </c>
      <c r="M255">
        <f t="shared" si="9"/>
        <v>9</v>
      </c>
      <c r="N255">
        <f t="shared" si="10"/>
        <v>2217</v>
      </c>
      <c r="O255" t="str">
        <f t="shared" si="11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9"/>
        <v>1188</v>
      </c>
      <c r="M256">
        <f t="shared" si="9"/>
        <v>45</v>
      </c>
      <c r="N256">
        <f t="shared" si="10"/>
        <v>6935</v>
      </c>
      <c r="O256" t="str">
        <f t="shared" si="11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9"/>
        <v>1188</v>
      </c>
      <c r="M257">
        <f t="shared" si="9"/>
        <v>90</v>
      </c>
      <c r="N257">
        <f t="shared" si="10"/>
        <v>12857</v>
      </c>
      <c r="O257" t="str">
        <f t="shared" si="11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9"/>
        <v>1188</v>
      </c>
      <c r="M258">
        <f t="shared" si="9"/>
        <v>135</v>
      </c>
      <c r="N258">
        <f t="shared" si="10"/>
        <v>18806</v>
      </c>
      <c r="O258" t="str">
        <f t="shared" si="11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M322" si="12">A259</f>
        <v>1188</v>
      </c>
      <c r="M259">
        <f t="shared" si="12"/>
        <v>180</v>
      </c>
      <c r="N259">
        <f t="shared" ref="N259:N322" si="13">C259*1000</f>
        <v>24784</v>
      </c>
      <c r="O259" t="str">
        <f t="shared" ref="O259:O322" si="14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2"/>
        <v>1188</v>
      </c>
      <c r="M260">
        <f t="shared" si="12"/>
        <v>225</v>
      </c>
      <c r="N260">
        <f t="shared" si="13"/>
        <v>30789</v>
      </c>
      <c r="O260" t="str">
        <f t="shared" si="14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2"/>
        <v>1188</v>
      </c>
      <c r="M261">
        <f t="shared" si="12"/>
        <v>270</v>
      </c>
      <c r="N261">
        <f t="shared" si="13"/>
        <v>36821</v>
      </c>
      <c r="O261" t="str">
        <f t="shared" si="14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2"/>
        <v>1188</v>
      </c>
      <c r="M262">
        <f t="shared" si="12"/>
        <v>315</v>
      </c>
      <c r="N262">
        <f t="shared" si="13"/>
        <v>42882</v>
      </c>
      <c r="O262" t="str">
        <f t="shared" si="14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2"/>
        <v>1188</v>
      </c>
      <c r="M263">
        <f t="shared" si="12"/>
        <v>360</v>
      </c>
      <c r="N263">
        <f t="shared" si="13"/>
        <v>48970</v>
      </c>
      <c r="O263" t="str">
        <f t="shared" si="14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2"/>
        <v>1188</v>
      </c>
      <c r="M264">
        <f t="shared" si="12"/>
        <v>405</v>
      </c>
      <c r="N264">
        <f t="shared" si="13"/>
        <v>55086</v>
      </c>
      <c r="O264" t="str">
        <f t="shared" si="14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2"/>
        <v>1188</v>
      </c>
      <c r="M265">
        <f t="shared" si="12"/>
        <v>450</v>
      </c>
      <c r="N265">
        <f t="shared" si="13"/>
        <v>61230</v>
      </c>
      <c r="O265" t="str">
        <f t="shared" si="14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2"/>
        <v>1188</v>
      </c>
      <c r="M266">
        <f t="shared" si="12"/>
        <v>495</v>
      </c>
      <c r="N266">
        <f t="shared" si="13"/>
        <v>67401</v>
      </c>
      <c r="O266" t="str">
        <f t="shared" si="14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2"/>
        <v>1188</v>
      </c>
      <c r="M267">
        <f t="shared" si="12"/>
        <v>540</v>
      </c>
      <c r="N267">
        <f t="shared" si="13"/>
        <v>73600</v>
      </c>
      <c r="O267" t="str">
        <f t="shared" si="14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2"/>
        <v>1188</v>
      </c>
      <c r="M268">
        <f t="shared" si="12"/>
        <v>585</v>
      </c>
      <c r="N268">
        <f t="shared" si="13"/>
        <v>79826</v>
      </c>
      <c r="O268" t="str">
        <f t="shared" si="14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2"/>
        <v>1188</v>
      </c>
      <c r="M269">
        <f t="shared" si="12"/>
        <v>630</v>
      </c>
      <c r="N269">
        <f t="shared" si="13"/>
        <v>86081</v>
      </c>
      <c r="O269" t="str">
        <f t="shared" si="14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2"/>
        <v>1188</v>
      </c>
      <c r="M270">
        <f t="shared" si="12"/>
        <v>675</v>
      </c>
      <c r="N270">
        <f t="shared" si="13"/>
        <v>92363</v>
      </c>
      <c r="O270" t="str">
        <f t="shared" si="14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2"/>
        <v>1188</v>
      </c>
      <c r="M271">
        <f t="shared" si="12"/>
        <v>720</v>
      </c>
      <c r="N271">
        <f t="shared" si="13"/>
        <v>98673</v>
      </c>
      <c r="O271" t="str">
        <f t="shared" si="14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2"/>
        <v>1188</v>
      </c>
      <c r="M272">
        <f t="shared" si="12"/>
        <v>765</v>
      </c>
      <c r="N272">
        <f t="shared" si="13"/>
        <v>105010</v>
      </c>
      <c r="O272" t="str">
        <f t="shared" si="14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2"/>
        <v>1188</v>
      </c>
      <c r="M273">
        <f t="shared" si="12"/>
        <v>810</v>
      </c>
      <c r="N273">
        <f t="shared" si="13"/>
        <v>111375</v>
      </c>
      <c r="O273" t="str">
        <f t="shared" si="14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2"/>
        <v>1188</v>
      </c>
      <c r="M274">
        <f t="shared" si="12"/>
        <v>855</v>
      </c>
      <c r="N274">
        <f t="shared" si="13"/>
        <v>117768</v>
      </c>
      <c r="O274" t="str">
        <f t="shared" si="14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2"/>
        <v>1188</v>
      </c>
      <c r="M275">
        <f t="shared" si="12"/>
        <v>900</v>
      </c>
      <c r="N275">
        <f t="shared" si="13"/>
        <v>124189</v>
      </c>
      <c r="O275" t="str">
        <f t="shared" si="14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2"/>
        <v>1188</v>
      </c>
      <c r="M276">
        <f t="shared" si="12"/>
        <v>945</v>
      </c>
      <c r="N276">
        <f t="shared" si="13"/>
        <v>130637</v>
      </c>
      <c r="O276" t="str">
        <f t="shared" si="14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2"/>
        <v>1188</v>
      </c>
      <c r="M277">
        <f t="shared" si="12"/>
        <v>990</v>
      </c>
      <c r="N277">
        <f t="shared" si="13"/>
        <v>137113</v>
      </c>
      <c r="O277" t="str">
        <f t="shared" si="14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2"/>
        <v>1485</v>
      </c>
      <c r="M278">
        <f t="shared" si="12"/>
        <v>-990</v>
      </c>
      <c r="N278">
        <f t="shared" si="13"/>
        <v>-137428</v>
      </c>
      <c r="O278" t="str">
        <f t="shared" si="14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2"/>
        <v>1485</v>
      </c>
      <c r="M279">
        <f t="shared" si="12"/>
        <v>-945</v>
      </c>
      <c r="N279">
        <f t="shared" si="13"/>
        <v>-131463</v>
      </c>
      <c r="O279" t="str">
        <f t="shared" si="14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2"/>
        <v>1485</v>
      </c>
      <c r="M280">
        <f t="shared" si="12"/>
        <v>-900</v>
      </c>
      <c r="N280">
        <f t="shared" si="13"/>
        <v>-125465</v>
      </c>
      <c r="O280" t="str">
        <f t="shared" si="14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2"/>
        <v>1485</v>
      </c>
      <c r="M281">
        <f t="shared" si="12"/>
        <v>-855</v>
      </c>
      <c r="N281">
        <f t="shared" si="13"/>
        <v>-119434</v>
      </c>
      <c r="O281" t="str">
        <f t="shared" si="14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2"/>
        <v>1485</v>
      </c>
      <c r="M282">
        <f t="shared" si="12"/>
        <v>-810</v>
      </c>
      <c r="N282">
        <f t="shared" si="13"/>
        <v>-113370</v>
      </c>
      <c r="O282" t="str">
        <f t="shared" si="14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2"/>
        <v>1485</v>
      </c>
      <c r="M283">
        <f t="shared" si="12"/>
        <v>-765</v>
      </c>
      <c r="N283">
        <f t="shared" si="13"/>
        <v>-107273</v>
      </c>
      <c r="O283" t="str">
        <f t="shared" si="14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2"/>
        <v>1485</v>
      </c>
      <c r="M284">
        <f t="shared" si="12"/>
        <v>-720</v>
      </c>
      <c r="N284">
        <f t="shared" si="13"/>
        <v>-101143</v>
      </c>
      <c r="O284" t="str">
        <f t="shared" si="14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2"/>
        <v>1485</v>
      </c>
      <c r="M285">
        <f t="shared" si="12"/>
        <v>-675</v>
      </c>
      <c r="N285">
        <f t="shared" si="13"/>
        <v>-94981</v>
      </c>
      <c r="O285" t="str">
        <f t="shared" si="14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2"/>
        <v>1485</v>
      </c>
      <c r="M286">
        <f t="shared" si="12"/>
        <v>-630</v>
      </c>
      <c r="N286">
        <f t="shared" si="13"/>
        <v>-88785</v>
      </c>
      <c r="O286" t="str">
        <f t="shared" si="14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2"/>
        <v>1485</v>
      </c>
      <c r="M287">
        <f t="shared" si="12"/>
        <v>-585</v>
      </c>
      <c r="N287">
        <f t="shared" si="13"/>
        <v>-82556</v>
      </c>
      <c r="O287" t="str">
        <f t="shared" si="14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2"/>
        <v>1485</v>
      </c>
      <c r="M288">
        <f t="shared" si="12"/>
        <v>-540</v>
      </c>
      <c r="N288">
        <f t="shared" si="13"/>
        <v>-76295</v>
      </c>
      <c r="O288" t="str">
        <f t="shared" si="14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2"/>
        <v>1485</v>
      </c>
      <c r="M289">
        <f t="shared" si="12"/>
        <v>-495</v>
      </c>
      <c r="N289">
        <f t="shared" si="13"/>
        <v>-70000</v>
      </c>
      <c r="O289" t="str">
        <f t="shared" si="14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2"/>
        <v>1485</v>
      </c>
      <c r="M290">
        <f t="shared" si="12"/>
        <v>-450</v>
      </c>
      <c r="N290">
        <f t="shared" si="13"/>
        <v>-63673</v>
      </c>
      <c r="O290" t="str">
        <f t="shared" si="14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2"/>
        <v>1485</v>
      </c>
      <c r="M291">
        <f t="shared" si="12"/>
        <v>-405</v>
      </c>
      <c r="N291">
        <f t="shared" si="13"/>
        <v>-57313</v>
      </c>
      <c r="O291" t="str">
        <f t="shared" si="14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2"/>
        <v>1485</v>
      </c>
      <c r="M292">
        <f t="shared" si="12"/>
        <v>-360</v>
      </c>
      <c r="N292">
        <f t="shared" si="13"/>
        <v>-50920</v>
      </c>
      <c r="O292" t="str">
        <f t="shared" si="14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2"/>
        <v>1485</v>
      </c>
      <c r="M293">
        <f t="shared" si="12"/>
        <v>-315</v>
      </c>
      <c r="N293">
        <f t="shared" si="13"/>
        <v>-44494</v>
      </c>
      <c r="O293" t="str">
        <f t="shared" si="14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2"/>
        <v>1485</v>
      </c>
      <c r="M294">
        <f t="shared" si="12"/>
        <v>-270</v>
      </c>
      <c r="N294">
        <f t="shared" si="13"/>
        <v>-38035</v>
      </c>
      <c r="O294" t="str">
        <f t="shared" si="14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2"/>
        <v>1485</v>
      </c>
      <c r="M295">
        <f t="shared" si="12"/>
        <v>-225</v>
      </c>
      <c r="N295">
        <f t="shared" si="13"/>
        <v>-31543</v>
      </c>
      <c r="O295" t="str">
        <f t="shared" si="14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2"/>
        <v>1485</v>
      </c>
      <c r="M296">
        <f t="shared" si="12"/>
        <v>-180</v>
      </c>
      <c r="N296">
        <f t="shared" si="13"/>
        <v>-25018</v>
      </c>
      <c r="O296" t="str">
        <f t="shared" si="14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2"/>
        <v>1485</v>
      </c>
      <c r="M297">
        <f t="shared" si="12"/>
        <v>-135</v>
      </c>
      <c r="N297">
        <f t="shared" si="13"/>
        <v>-18460</v>
      </c>
      <c r="O297" t="str">
        <f t="shared" si="14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2"/>
        <v>1485</v>
      </c>
      <c r="M298">
        <f t="shared" si="12"/>
        <v>-90</v>
      </c>
      <c r="N298">
        <f t="shared" si="13"/>
        <v>-11869</v>
      </c>
      <c r="O298" t="str">
        <f t="shared" si="14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2"/>
        <v>1485</v>
      </c>
      <c r="M299">
        <f t="shared" si="12"/>
        <v>-45</v>
      </c>
      <c r="N299">
        <f t="shared" si="13"/>
        <v>-5246</v>
      </c>
      <c r="O299" t="str">
        <f t="shared" si="14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2"/>
        <v>1485</v>
      </c>
      <c r="M300">
        <f t="shared" si="12"/>
        <v>-9</v>
      </c>
      <c r="N300">
        <f t="shared" si="13"/>
        <v>0</v>
      </c>
      <c r="O300" t="str">
        <f t="shared" si="14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2"/>
        <v>1485</v>
      </c>
      <c r="M301">
        <f t="shared" si="12"/>
        <v>9</v>
      </c>
      <c r="N301">
        <f t="shared" si="13"/>
        <v>2999</v>
      </c>
      <c r="O301" t="str">
        <f t="shared" si="14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2"/>
        <v>1485</v>
      </c>
      <c r="M302">
        <f t="shared" si="12"/>
        <v>45</v>
      </c>
      <c r="N302">
        <f t="shared" si="13"/>
        <v>8887</v>
      </c>
      <c r="O302" t="str">
        <f t="shared" si="14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2"/>
        <v>1485</v>
      </c>
      <c r="M303">
        <f t="shared" si="12"/>
        <v>90</v>
      </c>
      <c r="N303">
        <f t="shared" si="13"/>
        <v>16279</v>
      </c>
      <c r="O303" t="str">
        <f t="shared" si="14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2"/>
        <v>1485</v>
      </c>
      <c r="M304">
        <f t="shared" si="12"/>
        <v>135</v>
      </c>
      <c r="N304">
        <f t="shared" si="13"/>
        <v>23706</v>
      </c>
      <c r="O304" t="str">
        <f t="shared" si="14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2"/>
        <v>1485</v>
      </c>
      <c r="M305">
        <f t="shared" si="12"/>
        <v>180</v>
      </c>
      <c r="N305">
        <f t="shared" si="13"/>
        <v>31170</v>
      </c>
      <c r="O305" t="str">
        <f t="shared" si="14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2"/>
        <v>1485</v>
      </c>
      <c r="M306">
        <f t="shared" si="12"/>
        <v>225</v>
      </c>
      <c r="N306">
        <f t="shared" si="13"/>
        <v>38669</v>
      </c>
      <c r="O306" t="str">
        <f t="shared" si="14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2"/>
        <v>1485</v>
      </c>
      <c r="M307">
        <f t="shared" si="12"/>
        <v>270</v>
      </c>
      <c r="N307">
        <f t="shared" si="13"/>
        <v>46204</v>
      </c>
      <c r="O307" t="str">
        <f t="shared" si="14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2"/>
        <v>1485</v>
      </c>
      <c r="M308">
        <f t="shared" si="12"/>
        <v>315</v>
      </c>
      <c r="N308">
        <f t="shared" si="13"/>
        <v>53774</v>
      </c>
      <c r="O308" t="str">
        <f t="shared" si="14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2"/>
        <v>1485</v>
      </c>
      <c r="M309">
        <f t="shared" si="12"/>
        <v>360</v>
      </c>
      <c r="N309">
        <f t="shared" si="13"/>
        <v>61380</v>
      </c>
      <c r="O309" t="str">
        <f t="shared" si="14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2"/>
        <v>1485</v>
      </c>
      <c r="M310">
        <f t="shared" si="12"/>
        <v>405</v>
      </c>
      <c r="N310">
        <f t="shared" si="13"/>
        <v>69022</v>
      </c>
      <c r="O310" t="str">
        <f t="shared" si="14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2"/>
        <v>1485</v>
      </c>
      <c r="M311">
        <f t="shared" si="12"/>
        <v>450</v>
      </c>
      <c r="N311">
        <f t="shared" si="13"/>
        <v>76700</v>
      </c>
      <c r="O311" t="str">
        <f t="shared" si="14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2"/>
        <v>1485</v>
      </c>
      <c r="M312">
        <f t="shared" si="12"/>
        <v>495</v>
      </c>
      <c r="N312">
        <f t="shared" si="13"/>
        <v>84413</v>
      </c>
      <c r="O312" t="str">
        <f t="shared" si="14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2"/>
        <v>1485</v>
      </c>
      <c r="M313">
        <f t="shared" si="12"/>
        <v>540</v>
      </c>
      <c r="N313">
        <f t="shared" si="13"/>
        <v>92162</v>
      </c>
      <c r="O313" t="str">
        <f t="shared" si="14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2"/>
        <v>1485</v>
      </c>
      <c r="M314">
        <f t="shared" si="12"/>
        <v>585</v>
      </c>
      <c r="N314">
        <f t="shared" si="13"/>
        <v>99947</v>
      </c>
      <c r="O314" t="str">
        <f t="shared" si="14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2"/>
        <v>1485</v>
      </c>
      <c r="M315">
        <f t="shared" si="12"/>
        <v>630</v>
      </c>
      <c r="N315">
        <f t="shared" si="13"/>
        <v>107768</v>
      </c>
      <c r="O315" t="str">
        <f t="shared" si="14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2"/>
        <v>1485</v>
      </c>
      <c r="M316">
        <f t="shared" si="12"/>
        <v>675</v>
      </c>
      <c r="N316">
        <f t="shared" si="13"/>
        <v>115624</v>
      </c>
      <c r="O316" t="str">
        <f t="shared" si="14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2"/>
        <v>1485</v>
      </c>
      <c r="M317">
        <f t="shared" si="12"/>
        <v>720</v>
      </c>
      <c r="N317">
        <f t="shared" si="13"/>
        <v>123516</v>
      </c>
      <c r="O317" t="str">
        <f t="shared" si="14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2"/>
        <v>1485</v>
      </c>
      <c r="M318">
        <f t="shared" si="12"/>
        <v>765</v>
      </c>
      <c r="N318">
        <f t="shared" si="13"/>
        <v>131443</v>
      </c>
      <c r="O318" t="str">
        <f t="shared" si="14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2"/>
        <v>1485</v>
      </c>
      <c r="M319">
        <f t="shared" si="12"/>
        <v>810</v>
      </c>
      <c r="N319">
        <f t="shared" si="13"/>
        <v>139407</v>
      </c>
      <c r="O319" t="str">
        <f t="shared" si="14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2"/>
        <v>1485</v>
      </c>
      <c r="M320">
        <f t="shared" si="12"/>
        <v>855</v>
      </c>
      <c r="N320">
        <f t="shared" si="13"/>
        <v>147406</v>
      </c>
      <c r="O320" t="str">
        <f t="shared" si="14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2"/>
        <v>1485</v>
      </c>
      <c r="M321">
        <f t="shared" si="12"/>
        <v>900</v>
      </c>
      <c r="N321">
        <f t="shared" si="13"/>
        <v>155441</v>
      </c>
      <c r="O321" t="str">
        <f t="shared" si="14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2"/>
        <v>1485</v>
      </c>
      <c r="M322">
        <f t="shared" si="12"/>
        <v>945</v>
      </c>
      <c r="N322">
        <f t="shared" si="13"/>
        <v>163511</v>
      </c>
      <c r="O322" t="str">
        <f t="shared" si="14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M386" si="15">A323</f>
        <v>1485</v>
      </c>
      <c r="M323">
        <f t="shared" si="15"/>
        <v>990</v>
      </c>
      <c r="N323">
        <f t="shared" ref="N323:N386" si="16">C323*1000</f>
        <v>171618</v>
      </c>
      <c r="O323" t="str">
        <f t="shared" ref="O323:O386" si="17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15"/>
        <v>1782</v>
      </c>
      <c r="M324">
        <f t="shared" si="15"/>
        <v>-990</v>
      </c>
      <c r="N324">
        <f t="shared" si="16"/>
        <v>-164233</v>
      </c>
      <c r="O324" t="str">
        <f t="shared" si="17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15"/>
        <v>1782</v>
      </c>
      <c r="M325">
        <f t="shared" si="15"/>
        <v>-945</v>
      </c>
      <c r="N325">
        <f t="shared" si="16"/>
        <v>-157118</v>
      </c>
      <c r="O325" t="str">
        <f t="shared" si="17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15"/>
        <v>1782</v>
      </c>
      <c r="M326">
        <f t="shared" si="15"/>
        <v>-900</v>
      </c>
      <c r="N326">
        <f t="shared" si="16"/>
        <v>-149961</v>
      </c>
      <c r="O326" t="str">
        <f t="shared" si="17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15"/>
        <v>1782</v>
      </c>
      <c r="M327">
        <f t="shared" si="15"/>
        <v>-855</v>
      </c>
      <c r="N327">
        <f t="shared" si="16"/>
        <v>-142762</v>
      </c>
      <c r="O327" t="str">
        <f t="shared" si="17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15"/>
        <v>1782</v>
      </c>
      <c r="M328">
        <f t="shared" si="15"/>
        <v>-810</v>
      </c>
      <c r="N328">
        <f t="shared" si="16"/>
        <v>-135521</v>
      </c>
      <c r="O328" t="str">
        <f t="shared" si="17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15"/>
        <v>1782</v>
      </c>
      <c r="M329">
        <f t="shared" si="15"/>
        <v>-765</v>
      </c>
      <c r="N329">
        <f t="shared" si="16"/>
        <v>-128238</v>
      </c>
      <c r="O329" t="str">
        <f t="shared" si="17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15"/>
        <v>1782</v>
      </c>
      <c r="M330">
        <f t="shared" si="15"/>
        <v>-720</v>
      </c>
      <c r="N330">
        <f t="shared" si="16"/>
        <v>-120913</v>
      </c>
      <c r="O330" t="str">
        <f t="shared" si="17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15"/>
        <v>1782</v>
      </c>
      <c r="M331">
        <f t="shared" si="15"/>
        <v>-675</v>
      </c>
      <c r="N331">
        <f t="shared" si="16"/>
        <v>-113546</v>
      </c>
      <c r="O331" t="str">
        <f t="shared" si="17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15"/>
        <v>1782</v>
      </c>
      <c r="M332">
        <f t="shared" si="15"/>
        <v>-630</v>
      </c>
      <c r="N332">
        <f t="shared" si="16"/>
        <v>-106137</v>
      </c>
      <c r="O332" t="str">
        <f t="shared" si="17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15"/>
        <v>1782</v>
      </c>
      <c r="M333">
        <f t="shared" si="15"/>
        <v>-585</v>
      </c>
      <c r="N333">
        <f t="shared" si="16"/>
        <v>-98687</v>
      </c>
      <c r="O333" t="str">
        <f t="shared" si="17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15"/>
        <v>1782</v>
      </c>
      <c r="M334">
        <f t="shared" si="15"/>
        <v>-540</v>
      </c>
      <c r="N334">
        <f t="shared" si="16"/>
        <v>-91194</v>
      </c>
      <c r="O334" t="str">
        <f t="shared" si="17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15"/>
        <v>1782</v>
      </c>
      <c r="M335">
        <f t="shared" si="15"/>
        <v>-495</v>
      </c>
      <c r="N335">
        <f t="shared" si="16"/>
        <v>-83660</v>
      </c>
      <c r="O335" t="str">
        <f t="shared" si="17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15"/>
        <v>1782</v>
      </c>
      <c r="M336">
        <f t="shared" si="15"/>
        <v>-450</v>
      </c>
      <c r="N336">
        <f t="shared" si="16"/>
        <v>-76083</v>
      </c>
      <c r="O336" t="str">
        <f t="shared" si="17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15"/>
        <v>1782</v>
      </c>
      <c r="M337">
        <f t="shared" si="15"/>
        <v>-405</v>
      </c>
      <c r="N337">
        <f t="shared" si="16"/>
        <v>-68465</v>
      </c>
      <c r="O337" t="str">
        <f t="shared" si="17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15"/>
        <v>1782</v>
      </c>
      <c r="M338">
        <f t="shared" si="15"/>
        <v>-360</v>
      </c>
      <c r="N338">
        <f t="shared" si="16"/>
        <v>-60805</v>
      </c>
      <c r="O338" t="str">
        <f t="shared" si="17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15"/>
        <v>1782</v>
      </c>
      <c r="M339">
        <f t="shared" si="15"/>
        <v>-315</v>
      </c>
      <c r="N339">
        <f t="shared" si="16"/>
        <v>-53103</v>
      </c>
      <c r="O339" t="str">
        <f t="shared" si="17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15"/>
        <v>1782</v>
      </c>
      <c r="M340">
        <f t="shared" si="15"/>
        <v>-270</v>
      </c>
      <c r="N340">
        <f t="shared" si="16"/>
        <v>-45358</v>
      </c>
      <c r="O340" t="str">
        <f t="shared" si="17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15"/>
        <v>1782</v>
      </c>
      <c r="M341">
        <f t="shared" si="15"/>
        <v>-225</v>
      </c>
      <c r="N341">
        <f t="shared" si="16"/>
        <v>-37572</v>
      </c>
      <c r="O341" t="str">
        <f t="shared" si="17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15"/>
        <v>1782</v>
      </c>
      <c r="M342">
        <f t="shared" si="15"/>
        <v>-180</v>
      </c>
      <c r="N342">
        <f t="shared" si="16"/>
        <v>-29745</v>
      </c>
      <c r="O342" t="str">
        <f t="shared" si="17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15"/>
        <v>1782</v>
      </c>
      <c r="M343">
        <f t="shared" si="15"/>
        <v>-135</v>
      </c>
      <c r="N343">
        <f t="shared" si="16"/>
        <v>-21875</v>
      </c>
      <c r="O343" t="str">
        <f t="shared" si="17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15"/>
        <v>1782</v>
      </c>
      <c r="M344">
        <f t="shared" si="15"/>
        <v>-90</v>
      </c>
      <c r="N344">
        <f t="shared" si="16"/>
        <v>-13963</v>
      </c>
      <c r="O344" t="str">
        <f t="shared" si="17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15"/>
        <v>1782</v>
      </c>
      <c r="M345">
        <f t="shared" si="15"/>
        <v>-45</v>
      </c>
      <c r="N345">
        <f t="shared" si="16"/>
        <v>-6009</v>
      </c>
      <c r="O345" t="str">
        <f t="shared" si="17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15"/>
        <v>1782</v>
      </c>
      <c r="M346">
        <f t="shared" si="15"/>
        <v>-9</v>
      </c>
      <c r="N346">
        <f t="shared" si="16"/>
        <v>0</v>
      </c>
      <c r="O346" t="str">
        <f t="shared" si="17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15"/>
        <v>1782</v>
      </c>
      <c r="M347">
        <f t="shared" si="15"/>
        <v>9</v>
      </c>
      <c r="N347">
        <f t="shared" si="16"/>
        <v>3916</v>
      </c>
      <c r="O347" t="str">
        <f t="shared" si="17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15"/>
        <v>1782</v>
      </c>
      <c r="M348">
        <f t="shared" si="15"/>
        <v>45</v>
      </c>
      <c r="N348">
        <f t="shared" si="16"/>
        <v>10974</v>
      </c>
      <c r="O348" t="str">
        <f t="shared" si="17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15"/>
        <v>1782</v>
      </c>
      <c r="M349">
        <f t="shared" si="15"/>
        <v>90</v>
      </c>
      <c r="N349">
        <f t="shared" si="16"/>
        <v>19839</v>
      </c>
      <c r="O349" t="str">
        <f t="shared" si="17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15"/>
        <v>1782</v>
      </c>
      <c r="M350">
        <f t="shared" si="15"/>
        <v>135</v>
      </c>
      <c r="N350">
        <f t="shared" si="16"/>
        <v>28749</v>
      </c>
      <c r="O350" t="str">
        <f t="shared" si="17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15"/>
        <v>1782</v>
      </c>
      <c r="M351">
        <f t="shared" si="15"/>
        <v>180</v>
      </c>
      <c r="N351">
        <f t="shared" si="16"/>
        <v>37704</v>
      </c>
      <c r="O351" t="str">
        <f t="shared" si="17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15"/>
        <v>1782</v>
      </c>
      <c r="M352">
        <f t="shared" si="15"/>
        <v>225</v>
      </c>
      <c r="N352">
        <f t="shared" si="16"/>
        <v>46705</v>
      </c>
      <c r="O352" t="str">
        <f t="shared" si="17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15"/>
        <v>1782</v>
      </c>
      <c r="M353">
        <f t="shared" si="15"/>
        <v>270</v>
      </c>
      <c r="N353">
        <f t="shared" si="16"/>
        <v>55751</v>
      </c>
      <c r="O353" t="str">
        <f t="shared" si="17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15"/>
        <v>1782</v>
      </c>
      <c r="M354">
        <f t="shared" si="15"/>
        <v>315</v>
      </c>
      <c r="N354">
        <f t="shared" si="16"/>
        <v>64843</v>
      </c>
      <c r="O354" t="str">
        <f t="shared" si="17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15"/>
        <v>1782</v>
      </c>
      <c r="M355">
        <f t="shared" si="15"/>
        <v>360</v>
      </c>
      <c r="N355">
        <f t="shared" si="16"/>
        <v>73981</v>
      </c>
      <c r="O355" t="str">
        <f t="shared" si="17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15"/>
        <v>1782</v>
      </c>
      <c r="M356">
        <f t="shared" si="15"/>
        <v>405</v>
      </c>
      <c r="N356">
        <f t="shared" si="16"/>
        <v>83163</v>
      </c>
      <c r="O356" t="str">
        <f t="shared" si="17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15"/>
        <v>1782</v>
      </c>
      <c r="M357">
        <f t="shared" si="15"/>
        <v>450</v>
      </c>
      <c r="N357">
        <f t="shared" si="16"/>
        <v>92392</v>
      </c>
      <c r="O357" t="str">
        <f t="shared" si="17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15"/>
        <v>1782</v>
      </c>
      <c r="M358">
        <f t="shared" si="15"/>
        <v>495</v>
      </c>
      <c r="N358">
        <f t="shared" si="16"/>
        <v>101666</v>
      </c>
      <c r="O358" t="str">
        <f t="shared" si="17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15"/>
        <v>1782</v>
      </c>
      <c r="M359">
        <f t="shared" si="15"/>
        <v>540</v>
      </c>
      <c r="N359">
        <f t="shared" si="16"/>
        <v>110985</v>
      </c>
      <c r="O359" t="str">
        <f t="shared" si="17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15"/>
        <v>1782</v>
      </c>
      <c r="M360">
        <f t="shared" si="15"/>
        <v>585</v>
      </c>
      <c r="N360">
        <f t="shared" si="16"/>
        <v>120350</v>
      </c>
      <c r="O360" t="str">
        <f t="shared" si="17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15"/>
        <v>1782</v>
      </c>
      <c r="M361">
        <f t="shared" si="15"/>
        <v>630</v>
      </c>
      <c r="N361">
        <f t="shared" si="16"/>
        <v>129759.99999999999</v>
      </c>
      <c r="O361" t="str">
        <f t="shared" si="17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15"/>
        <v>1782</v>
      </c>
      <c r="M362">
        <f t="shared" si="15"/>
        <v>675</v>
      </c>
      <c r="N362">
        <f t="shared" si="16"/>
        <v>139216</v>
      </c>
      <c r="O362" t="str">
        <f t="shared" si="17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15"/>
        <v>1782</v>
      </c>
      <c r="M363">
        <f t="shared" si="15"/>
        <v>720</v>
      </c>
      <c r="N363">
        <f t="shared" si="16"/>
        <v>148717</v>
      </c>
      <c r="O363" t="str">
        <f t="shared" si="17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15"/>
        <v>1782</v>
      </c>
      <c r="M364">
        <f t="shared" si="15"/>
        <v>765</v>
      </c>
      <c r="N364">
        <f t="shared" si="16"/>
        <v>158264</v>
      </c>
      <c r="O364" t="str">
        <f t="shared" si="17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15"/>
        <v>1782</v>
      </c>
      <c r="M365">
        <f t="shared" si="15"/>
        <v>810</v>
      </c>
      <c r="N365">
        <f t="shared" si="16"/>
        <v>167856</v>
      </c>
      <c r="O365" t="str">
        <f t="shared" si="17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15"/>
        <v>1782</v>
      </c>
      <c r="M366">
        <f t="shared" si="15"/>
        <v>855</v>
      </c>
      <c r="N366">
        <f t="shared" si="16"/>
        <v>177494</v>
      </c>
      <c r="O366" t="str">
        <f t="shared" si="17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15"/>
        <v>1782</v>
      </c>
      <c r="M367">
        <f t="shared" si="15"/>
        <v>900</v>
      </c>
      <c r="N367">
        <f t="shared" si="16"/>
        <v>187177</v>
      </c>
      <c r="O367" t="str">
        <f t="shared" si="17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15"/>
        <v>1782</v>
      </c>
      <c r="M368">
        <f t="shared" si="15"/>
        <v>945</v>
      </c>
      <c r="N368">
        <f t="shared" si="16"/>
        <v>196906</v>
      </c>
      <c r="O368" t="str">
        <f t="shared" si="17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15"/>
        <v>1782</v>
      </c>
      <c r="M369">
        <f t="shared" si="15"/>
        <v>990</v>
      </c>
      <c r="N369">
        <f t="shared" si="16"/>
        <v>206680</v>
      </c>
      <c r="O369" t="str">
        <f t="shared" si="17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15"/>
        <v>2079</v>
      </c>
      <c r="M370">
        <f t="shared" si="15"/>
        <v>-990</v>
      </c>
      <c r="N370">
        <f t="shared" si="16"/>
        <v>-190505</v>
      </c>
      <c r="O370" t="str">
        <f t="shared" si="17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15"/>
        <v>2079</v>
      </c>
      <c r="M371">
        <f t="shared" si="15"/>
        <v>-945</v>
      </c>
      <c r="N371">
        <f t="shared" si="16"/>
        <v>-182275</v>
      </c>
      <c r="O371" t="str">
        <f t="shared" si="17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15"/>
        <v>2079</v>
      </c>
      <c r="M372">
        <f t="shared" si="15"/>
        <v>-900</v>
      </c>
      <c r="N372">
        <f t="shared" si="16"/>
        <v>-173991</v>
      </c>
      <c r="O372" t="str">
        <f t="shared" si="17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15"/>
        <v>2079</v>
      </c>
      <c r="M373">
        <f t="shared" si="15"/>
        <v>-855</v>
      </c>
      <c r="N373">
        <f t="shared" si="16"/>
        <v>-165656</v>
      </c>
      <c r="O373" t="str">
        <f t="shared" si="17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15"/>
        <v>2079</v>
      </c>
      <c r="M374">
        <f t="shared" si="15"/>
        <v>-810</v>
      </c>
      <c r="N374">
        <f t="shared" si="16"/>
        <v>-157267</v>
      </c>
      <c r="O374" t="str">
        <f t="shared" si="17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15"/>
        <v>2079</v>
      </c>
      <c r="M375">
        <f t="shared" si="15"/>
        <v>-765</v>
      </c>
      <c r="N375">
        <f t="shared" si="16"/>
        <v>-148827</v>
      </c>
      <c r="O375" t="str">
        <f t="shared" si="17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15"/>
        <v>2079</v>
      </c>
      <c r="M376">
        <f t="shared" si="15"/>
        <v>-720</v>
      </c>
      <c r="N376">
        <f t="shared" si="16"/>
        <v>-140333</v>
      </c>
      <c r="O376" t="str">
        <f t="shared" si="17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15"/>
        <v>2079</v>
      </c>
      <c r="M377">
        <f t="shared" si="15"/>
        <v>-675</v>
      </c>
      <c r="N377">
        <f t="shared" si="16"/>
        <v>-131787</v>
      </c>
      <c r="O377" t="str">
        <f t="shared" si="17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15"/>
        <v>2079</v>
      </c>
      <c r="M378">
        <f t="shared" si="15"/>
        <v>-630</v>
      </c>
      <c r="N378">
        <f t="shared" si="16"/>
        <v>-123189</v>
      </c>
      <c r="O378" t="str">
        <f t="shared" si="17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15"/>
        <v>2079</v>
      </c>
      <c r="M379">
        <f t="shared" si="15"/>
        <v>-585</v>
      </c>
      <c r="N379">
        <f t="shared" si="16"/>
        <v>-114538</v>
      </c>
      <c r="O379" t="str">
        <f t="shared" si="17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15"/>
        <v>2079</v>
      </c>
      <c r="M380">
        <f t="shared" si="15"/>
        <v>-540</v>
      </c>
      <c r="N380">
        <f t="shared" si="16"/>
        <v>-105835</v>
      </c>
      <c r="O380" t="str">
        <f t="shared" si="17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15"/>
        <v>2079</v>
      </c>
      <c r="M381">
        <f t="shared" si="15"/>
        <v>-495</v>
      </c>
      <c r="N381">
        <f t="shared" si="16"/>
        <v>-97079</v>
      </c>
      <c r="O381" t="str">
        <f t="shared" si="17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15"/>
        <v>2079</v>
      </c>
      <c r="M382">
        <f t="shared" si="15"/>
        <v>-450</v>
      </c>
      <c r="N382">
        <f t="shared" si="16"/>
        <v>-88270</v>
      </c>
      <c r="O382" t="str">
        <f t="shared" si="17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15"/>
        <v>2079</v>
      </c>
      <c r="M383">
        <f t="shared" si="15"/>
        <v>-405</v>
      </c>
      <c r="N383">
        <f t="shared" si="16"/>
        <v>-79409</v>
      </c>
      <c r="O383" t="str">
        <f t="shared" si="17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15"/>
        <v>2079</v>
      </c>
      <c r="M384">
        <f t="shared" si="15"/>
        <v>-360</v>
      </c>
      <c r="N384">
        <f t="shared" si="16"/>
        <v>-70495</v>
      </c>
      <c r="O384" t="str">
        <f t="shared" si="17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15"/>
        <v>2079</v>
      </c>
      <c r="M385">
        <f t="shared" si="15"/>
        <v>-315</v>
      </c>
      <c r="N385">
        <f t="shared" si="16"/>
        <v>-61529</v>
      </c>
      <c r="O385" t="str">
        <f t="shared" si="17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15"/>
        <v>2079</v>
      </c>
      <c r="M386">
        <f t="shared" si="15"/>
        <v>-270</v>
      </c>
      <c r="N386">
        <f t="shared" si="16"/>
        <v>-52510</v>
      </c>
      <c r="O386" t="str">
        <f t="shared" si="17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M450" si="18">A387</f>
        <v>2079</v>
      </c>
      <c r="M387">
        <f t="shared" si="18"/>
        <v>-225</v>
      </c>
      <c r="N387">
        <f t="shared" ref="N387:N450" si="19">C387*1000</f>
        <v>-43439</v>
      </c>
      <c r="O387" t="str">
        <f t="shared" ref="O387:O450" si="20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18"/>
        <v>2079</v>
      </c>
      <c r="M388">
        <f t="shared" si="18"/>
        <v>-180</v>
      </c>
      <c r="N388">
        <f t="shared" si="19"/>
        <v>-34315</v>
      </c>
      <c r="O388" t="str">
        <f t="shared" si="20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18"/>
        <v>2079</v>
      </c>
      <c r="M389">
        <f t="shared" si="18"/>
        <v>-135</v>
      </c>
      <c r="N389">
        <f t="shared" si="19"/>
        <v>-25139</v>
      </c>
      <c r="O389" t="str">
        <f t="shared" si="20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18"/>
        <v>2079</v>
      </c>
      <c r="M390">
        <f t="shared" si="18"/>
        <v>-90</v>
      </c>
      <c r="N390">
        <f t="shared" si="19"/>
        <v>-15910</v>
      </c>
      <c r="O390" t="str">
        <f t="shared" si="20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18"/>
        <v>2079</v>
      </c>
      <c r="M391">
        <f t="shared" si="18"/>
        <v>-45</v>
      </c>
      <c r="N391">
        <f t="shared" si="19"/>
        <v>-6629</v>
      </c>
      <c r="O391" t="str">
        <f t="shared" si="20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18"/>
        <v>2079</v>
      </c>
      <c r="M392">
        <f t="shared" si="18"/>
        <v>-9</v>
      </c>
      <c r="N392">
        <f t="shared" si="19"/>
        <v>0</v>
      </c>
      <c r="O392" t="str">
        <f t="shared" si="20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18"/>
        <v>2079</v>
      </c>
      <c r="M393">
        <f t="shared" si="18"/>
        <v>9</v>
      </c>
      <c r="N393">
        <f t="shared" si="19"/>
        <v>4987</v>
      </c>
      <c r="O393" t="str">
        <f t="shared" si="20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18"/>
        <v>2079</v>
      </c>
      <c r="M394">
        <f t="shared" si="18"/>
        <v>45</v>
      </c>
      <c r="N394">
        <f t="shared" si="19"/>
        <v>13218</v>
      </c>
      <c r="O394" t="str">
        <f t="shared" si="20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18"/>
        <v>2079</v>
      </c>
      <c r="M395">
        <f t="shared" si="18"/>
        <v>90</v>
      </c>
      <c r="N395">
        <f t="shared" si="19"/>
        <v>23557</v>
      </c>
      <c r="O395" t="str">
        <f t="shared" si="20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18"/>
        <v>2079</v>
      </c>
      <c r="M396">
        <f t="shared" si="18"/>
        <v>135</v>
      </c>
      <c r="N396">
        <f t="shared" si="19"/>
        <v>33954</v>
      </c>
      <c r="O396" t="str">
        <f t="shared" si="20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18"/>
        <v>2079</v>
      </c>
      <c r="M397">
        <f t="shared" si="18"/>
        <v>180</v>
      </c>
      <c r="N397">
        <f t="shared" si="19"/>
        <v>44407</v>
      </c>
      <c r="O397" t="str">
        <f t="shared" si="20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18"/>
        <v>2079</v>
      </c>
      <c r="M398">
        <f t="shared" si="18"/>
        <v>225</v>
      </c>
      <c r="N398">
        <f t="shared" si="19"/>
        <v>54918</v>
      </c>
      <c r="O398" t="str">
        <f t="shared" si="20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18"/>
        <v>2079</v>
      </c>
      <c r="M399">
        <f t="shared" si="18"/>
        <v>270</v>
      </c>
      <c r="N399">
        <f t="shared" si="19"/>
        <v>65486.000000000007</v>
      </c>
      <c r="O399" t="str">
        <f t="shared" si="20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18"/>
        <v>2079</v>
      </c>
      <c r="M400">
        <f t="shared" si="18"/>
        <v>315</v>
      </c>
      <c r="N400">
        <f t="shared" si="19"/>
        <v>76110</v>
      </c>
      <c r="O400" t="str">
        <f t="shared" si="20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18"/>
        <v>2079</v>
      </c>
      <c r="M401">
        <f t="shared" si="18"/>
        <v>360</v>
      </c>
      <c r="N401">
        <f t="shared" si="19"/>
        <v>86792</v>
      </c>
      <c r="O401" t="str">
        <f t="shared" si="20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18"/>
        <v>2079</v>
      </c>
      <c r="M402">
        <f t="shared" si="18"/>
        <v>405</v>
      </c>
      <c r="N402">
        <f t="shared" si="19"/>
        <v>97531</v>
      </c>
      <c r="O402" t="str">
        <f t="shared" si="20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18"/>
        <v>2079</v>
      </c>
      <c r="M403">
        <f t="shared" si="18"/>
        <v>450</v>
      </c>
      <c r="N403">
        <f t="shared" si="19"/>
        <v>108326</v>
      </c>
      <c r="O403" t="str">
        <f t="shared" si="20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18"/>
        <v>2079</v>
      </c>
      <c r="M404">
        <f t="shared" si="18"/>
        <v>495</v>
      </c>
      <c r="N404">
        <f t="shared" si="19"/>
        <v>119179</v>
      </c>
      <c r="O404" t="str">
        <f t="shared" si="20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18"/>
        <v>2079</v>
      </c>
      <c r="M405">
        <f t="shared" si="18"/>
        <v>540</v>
      </c>
      <c r="N405">
        <f t="shared" si="19"/>
        <v>130089</v>
      </c>
      <c r="O405" t="str">
        <f t="shared" si="20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18"/>
        <v>2079</v>
      </c>
      <c r="M406">
        <f t="shared" si="18"/>
        <v>585</v>
      </c>
      <c r="N406">
        <f t="shared" si="19"/>
        <v>141055</v>
      </c>
      <c r="O406" t="str">
        <f t="shared" si="20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18"/>
        <v>2079</v>
      </c>
      <c r="M407">
        <f t="shared" si="18"/>
        <v>630</v>
      </c>
      <c r="N407">
        <f t="shared" si="19"/>
        <v>152079</v>
      </c>
      <c r="O407" t="str">
        <f t="shared" si="20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18"/>
        <v>2079</v>
      </c>
      <c r="M408">
        <f t="shared" si="18"/>
        <v>675</v>
      </c>
      <c r="N408">
        <f t="shared" si="19"/>
        <v>163160</v>
      </c>
      <c r="O408" t="str">
        <f t="shared" si="20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18"/>
        <v>2079</v>
      </c>
      <c r="M409">
        <f t="shared" si="18"/>
        <v>720</v>
      </c>
      <c r="N409">
        <f t="shared" si="19"/>
        <v>174297</v>
      </c>
      <c r="O409" t="str">
        <f t="shared" si="20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18"/>
        <v>2079</v>
      </c>
      <c r="M410">
        <f t="shared" si="18"/>
        <v>765</v>
      </c>
      <c r="N410">
        <f t="shared" si="19"/>
        <v>185492</v>
      </c>
      <c r="O410" t="str">
        <f t="shared" si="20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18"/>
        <v>2079</v>
      </c>
      <c r="M411">
        <f t="shared" si="18"/>
        <v>810</v>
      </c>
      <c r="N411">
        <f t="shared" si="19"/>
        <v>196744</v>
      </c>
      <c r="O411" t="str">
        <f t="shared" si="20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18"/>
        <v>2079</v>
      </c>
      <c r="M412">
        <f t="shared" si="18"/>
        <v>855</v>
      </c>
      <c r="N412">
        <f t="shared" si="19"/>
        <v>208052</v>
      </c>
      <c r="O412" t="str">
        <f t="shared" si="20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18"/>
        <v>2079</v>
      </c>
      <c r="M413">
        <f t="shared" si="18"/>
        <v>900</v>
      </c>
      <c r="N413">
        <f t="shared" si="19"/>
        <v>219418</v>
      </c>
      <c r="O413" t="str">
        <f t="shared" si="20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18"/>
        <v>2079</v>
      </c>
      <c r="M414">
        <f t="shared" si="18"/>
        <v>945</v>
      </c>
      <c r="N414">
        <f t="shared" si="19"/>
        <v>230841</v>
      </c>
      <c r="O414" t="str">
        <f t="shared" si="20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18"/>
        <v>2079</v>
      </c>
      <c r="M415">
        <f t="shared" si="18"/>
        <v>990</v>
      </c>
      <c r="N415">
        <f t="shared" si="19"/>
        <v>242320</v>
      </c>
      <c r="O415" t="str">
        <f t="shared" si="20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18"/>
        <v>2376</v>
      </c>
      <c r="M416">
        <f t="shared" si="18"/>
        <v>-990</v>
      </c>
      <c r="N416">
        <f t="shared" si="19"/>
        <v>-216225</v>
      </c>
      <c r="O416" t="str">
        <f t="shared" si="20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18"/>
        <v>2376</v>
      </c>
      <c r="M417">
        <f t="shared" si="18"/>
        <v>-945</v>
      </c>
      <c r="N417">
        <f t="shared" si="19"/>
        <v>-206913</v>
      </c>
      <c r="O417" t="str">
        <f t="shared" si="20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18"/>
        <v>2376</v>
      </c>
      <c r="M418">
        <f t="shared" si="18"/>
        <v>-900</v>
      </c>
      <c r="N418">
        <f t="shared" si="19"/>
        <v>-197537</v>
      </c>
      <c r="O418" t="str">
        <f t="shared" si="20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18"/>
        <v>2376</v>
      </c>
      <c r="M419">
        <f t="shared" si="18"/>
        <v>-855</v>
      </c>
      <c r="N419">
        <f t="shared" si="19"/>
        <v>-188096</v>
      </c>
      <c r="O419" t="str">
        <f t="shared" si="20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18"/>
        <v>2376</v>
      </c>
      <c r="M420">
        <f t="shared" si="18"/>
        <v>-810</v>
      </c>
      <c r="N420">
        <f t="shared" si="19"/>
        <v>-178591</v>
      </c>
      <c r="O420" t="str">
        <f t="shared" si="20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18"/>
        <v>2376</v>
      </c>
      <c r="M421">
        <f t="shared" si="18"/>
        <v>-765</v>
      </c>
      <c r="N421">
        <f t="shared" si="19"/>
        <v>-169020</v>
      </c>
      <c r="O421" t="str">
        <f t="shared" si="20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18"/>
        <v>2376</v>
      </c>
      <c r="M422">
        <f t="shared" si="18"/>
        <v>-720</v>
      </c>
      <c r="N422">
        <f t="shared" si="19"/>
        <v>-159385</v>
      </c>
      <c r="O422" t="str">
        <f t="shared" si="20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18"/>
        <v>2376</v>
      </c>
      <c r="M423">
        <f t="shared" si="18"/>
        <v>-675</v>
      </c>
      <c r="N423">
        <f t="shared" si="19"/>
        <v>-149685</v>
      </c>
      <c r="O423" t="str">
        <f t="shared" si="20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18"/>
        <v>2376</v>
      </c>
      <c r="M424">
        <f t="shared" si="18"/>
        <v>-630</v>
      </c>
      <c r="N424">
        <f t="shared" si="19"/>
        <v>-139920</v>
      </c>
      <c r="O424" t="str">
        <f t="shared" si="20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18"/>
        <v>2376</v>
      </c>
      <c r="M425">
        <f t="shared" si="18"/>
        <v>-585</v>
      </c>
      <c r="N425">
        <f t="shared" si="19"/>
        <v>-130091.00000000001</v>
      </c>
      <c r="O425" t="str">
        <f t="shared" si="20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18"/>
        <v>2376</v>
      </c>
      <c r="M426">
        <f t="shared" si="18"/>
        <v>-540</v>
      </c>
      <c r="N426">
        <f t="shared" si="19"/>
        <v>-120197</v>
      </c>
      <c r="O426" t="str">
        <f t="shared" si="20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18"/>
        <v>2376</v>
      </c>
      <c r="M427">
        <f t="shared" si="18"/>
        <v>-495</v>
      </c>
      <c r="N427">
        <f t="shared" si="19"/>
        <v>-110238</v>
      </c>
      <c r="O427" t="str">
        <f t="shared" si="20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18"/>
        <v>2376</v>
      </c>
      <c r="M428">
        <f t="shared" si="18"/>
        <v>-450</v>
      </c>
      <c r="N428">
        <f t="shared" si="19"/>
        <v>-100214</v>
      </c>
      <c r="O428" t="str">
        <f t="shared" si="20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18"/>
        <v>2376</v>
      </c>
      <c r="M429">
        <f t="shared" si="18"/>
        <v>-405</v>
      </c>
      <c r="N429">
        <f t="shared" si="19"/>
        <v>-90125</v>
      </c>
      <c r="O429" t="str">
        <f t="shared" si="20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18"/>
        <v>2376</v>
      </c>
      <c r="M430">
        <f t="shared" si="18"/>
        <v>-360</v>
      </c>
      <c r="N430">
        <f t="shared" si="19"/>
        <v>-79972</v>
      </c>
      <c r="O430" t="str">
        <f t="shared" si="20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18"/>
        <v>2376</v>
      </c>
      <c r="M431">
        <f t="shared" si="18"/>
        <v>-315</v>
      </c>
      <c r="N431">
        <f t="shared" si="19"/>
        <v>-69754</v>
      </c>
      <c r="O431" t="str">
        <f t="shared" si="20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18"/>
        <v>2376</v>
      </c>
      <c r="M432">
        <f t="shared" si="18"/>
        <v>-270</v>
      </c>
      <c r="N432">
        <f t="shared" si="19"/>
        <v>-59471</v>
      </c>
      <c r="O432" t="str">
        <f t="shared" si="20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18"/>
        <v>2376</v>
      </c>
      <c r="M433">
        <f t="shared" si="18"/>
        <v>-225</v>
      </c>
      <c r="N433">
        <f t="shared" si="19"/>
        <v>-49123</v>
      </c>
      <c r="O433" t="str">
        <f t="shared" si="20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18"/>
        <v>2376</v>
      </c>
      <c r="M434">
        <f t="shared" si="18"/>
        <v>-180</v>
      </c>
      <c r="N434">
        <f t="shared" si="19"/>
        <v>-38711</v>
      </c>
      <c r="O434" t="str">
        <f t="shared" si="20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18"/>
        <v>2376</v>
      </c>
      <c r="M435">
        <f t="shared" si="18"/>
        <v>-135</v>
      </c>
      <c r="N435">
        <f t="shared" si="19"/>
        <v>-28234</v>
      </c>
      <c r="O435" t="str">
        <f t="shared" si="20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18"/>
        <v>2376</v>
      </c>
      <c r="M436">
        <f t="shared" si="18"/>
        <v>-90</v>
      </c>
      <c r="N436">
        <f t="shared" si="19"/>
        <v>-17692</v>
      </c>
      <c r="O436" t="str">
        <f t="shared" si="20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18"/>
        <v>2376</v>
      </c>
      <c r="M437">
        <f t="shared" si="18"/>
        <v>-45</v>
      </c>
      <c r="N437">
        <f t="shared" si="19"/>
        <v>-7086</v>
      </c>
      <c r="O437" t="str">
        <f t="shared" si="20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18"/>
        <v>2376</v>
      </c>
      <c r="M438">
        <f t="shared" si="18"/>
        <v>-9</v>
      </c>
      <c r="N438">
        <f t="shared" si="19"/>
        <v>0</v>
      </c>
      <c r="O438" t="str">
        <f t="shared" si="20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18"/>
        <v>2376</v>
      </c>
      <c r="M439">
        <f t="shared" si="18"/>
        <v>9</v>
      </c>
      <c r="N439">
        <f t="shared" si="19"/>
        <v>6235</v>
      </c>
      <c r="O439" t="str">
        <f t="shared" si="20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18"/>
        <v>2376</v>
      </c>
      <c r="M440">
        <f t="shared" si="18"/>
        <v>45</v>
      </c>
      <c r="N440">
        <f t="shared" si="19"/>
        <v>15638</v>
      </c>
      <c r="O440" t="str">
        <f t="shared" si="20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18"/>
        <v>2376</v>
      </c>
      <c r="M441">
        <f t="shared" si="18"/>
        <v>90</v>
      </c>
      <c r="N441">
        <f t="shared" si="19"/>
        <v>27455</v>
      </c>
      <c r="O441" t="str">
        <f t="shared" si="20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18"/>
        <v>2376</v>
      </c>
      <c r="M442">
        <f t="shared" si="18"/>
        <v>135</v>
      </c>
      <c r="N442">
        <f t="shared" si="19"/>
        <v>39343</v>
      </c>
      <c r="O442" t="str">
        <f t="shared" si="20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18"/>
        <v>2376</v>
      </c>
      <c r="M443">
        <f t="shared" si="18"/>
        <v>180</v>
      </c>
      <c r="N443">
        <f t="shared" si="19"/>
        <v>51301</v>
      </c>
      <c r="O443" t="str">
        <f t="shared" si="20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18"/>
        <v>2376</v>
      </c>
      <c r="M444">
        <f t="shared" si="18"/>
        <v>225</v>
      </c>
      <c r="N444">
        <f t="shared" si="19"/>
        <v>63329</v>
      </c>
      <c r="O444" t="str">
        <f t="shared" si="20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18"/>
        <v>2376</v>
      </c>
      <c r="M445">
        <f t="shared" si="18"/>
        <v>270</v>
      </c>
      <c r="N445">
        <f t="shared" si="19"/>
        <v>75428</v>
      </c>
      <c r="O445" t="str">
        <f t="shared" si="20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18"/>
        <v>2376</v>
      </c>
      <c r="M446">
        <f t="shared" si="18"/>
        <v>315</v>
      </c>
      <c r="N446">
        <f t="shared" si="19"/>
        <v>87596</v>
      </c>
      <c r="O446" t="str">
        <f t="shared" si="20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18"/>
        <v>2376</v>
      </c>
      <c r="M447">
        <f t="shared" si="18"/>
        <v>360</v>
      </c>
      <c r="N447">
        <f t="shared" si="19"/>
        <v>99836</v>
      </c>
      <c r="O447" t="str">
        <f t="shared" si="20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18"/>
        <v>2376</v>
      </c>
      <c r="M448">
        <f t="shared" si="18"/>
        <v>405</v>
      </c>
      <c r="N448">
        <f t="shared" si="19"/>
        <v>112145</v>
      </c>
      <c r="O448" t="str">
        <f t="shared" si="20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18"/>
        <v>2376</v>
      </c>
      <c r="M449">
        <f t="shared" si="18"/>
        <v>450</v>
      </c>
      <c r="N449">
        <f t="shared" si="19"/>
        <v>124524</v>
      </c>
      <c r="O449" t="str">
        <f t="shared" si="20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18"/>
        <v>2376</v>
      </c>
      <c r="M450">
        <f t="shared" si="18"/>
        <v>495</v>
      </c>
      <c r="N450">
        <f t="shared" si="19"/>
        <v>136974</v>
      </c>
      <c r="O450" t="str">
        <f t="shared" si="20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M514" si="21">A451</f>
        <v>2376</v>
      </c>
      <c r="M451">
        <f t="shared" si="21"/>
        <v>540</v>
      </c>
      <c r="N451">
        <f t="shared" ref="N451:N514" si="22">C451*1000</f>
        <v>149494</v>
      </c>
      <c r="O451" t="str">
        <f t="shared" ref="O451:O514" si="23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1"/>
        <v>2376</v>
      </c>
      <c r="M452">
        <f t="shared" si="21"/>
        <v>585</v>
      </c>
      <c r="N452">
        <f t="shared" si="22"/>
        <v>162085</v>
      </c>
      <c r="O452" t="str">
        <f t="shared" si="23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1"/>
        <v>2376</v>
      </c>
      <c r="M453">
        <f t="shared" si="21"/>
        <v>630</v>
      </c>
      <c r="N453">
        <f t="shared" si="22"/>
        <v>174745</v>
      </c>
      <c r="O453" t="str">
        <f t="shared" si="23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1"/>
        <v>2376</v>
      </c>
      <c r="M454">
        <f t="shared" si="21"/>
        <v>675</v>
      </c>
      <c r="N454">
        <f t="shared" si="22"/>
        <v>187476</v>
      </c>
      <c r="O454" t="str">
        <f t="shared" si="23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1"/>
        <v>2376</v>
      </c>
      <c r="M455">
        <f t="shared" si="21"/>
        <v>720</v>
      </c>
      <c r="N455">
        <f t="shared" si="22"/>
        <v>200277</v>
      </c>
      <c r="O455" t="str">
        <f t="shared" si="23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1"/>
        <v>2376</v>
      </c>
      <c r="M456">
        <f t="shared" si="21"/>
        <v>765</v>
      </c>
      <c r="N456">
        <f t="shared" si="22"/>
        <v>213149</v>
      </c>
      <c r="O456" t="str">
        <f t="shared" si="23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1"/>
        <v>2376</v>
      </c>
      <c r="M457">
        <f t="shared" si="21"/>
        <v>810</v>
      </c>
      <c r="N457">
        <f t="shared" si="22"/>
        <v>226091</v>
      </c>
      <c r="O457" t="str">
        <f t="shared" si="23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1"/>
        <v>2376</v>
      </c>
      <c r="M458">
        <f t="shared" si="21"/>
        <v>855</v>
      </c>
      <c r="N458">
        <f t="shared" si="22"/>
        <v>239103</v>
      </c>
      <c r="O458" t="str">
        <f t="shared" si="23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1"/>
        <v>2376</v>
      </c>
      <c r="M459">
        <f t="shared" si="21"/>
        <v>900</v>
      </c>
      <c r="N459">
        <f t="shared" si="22"/>
        <v>252185</v>
      </c>
      <c r="O459" t="str">
        <f t="shared" si="23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1"/>
        <v>2376</v>
      </c>
      <c r="M460">
        <f t="shared" si="21"/>
        <v>945</v>
      </c>
      <c r="N460">
        <f t="shared" si="22"/>
        <v>265338</v>
      </c>
      <c r="O460" t="str">
        <f t="shared" si="23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1"/>
        <v>2376</v>
      </c>
      <c r="M461">
        <f t="shared" si="21"/>
        <v>990</v>
      </c>
      <c r="N461">
        <f t="shared" si="22"/>
        <v>278560</v>
      </c>
      <c r="O461" t="str">
        <f t="shared" si="23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1"/>
        <v>2673</v>
      </c>
      <c r="M462">
        <f t="shared" si="21"/>
        <v>-990</v>
      </c>
      <c r="N462">
        <f t="shared" si="22"/>
        <v>-241372</v>
      </c>
      <c r="O462" t="str">
        <f t="shared" si="23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1"/>
        <v>2673</v>
      </c>
      <c r="M463">
        <f t="shared" si="21"/>
        <v>-945</v>
      </c>
      <c r="N463">
        <f t="shared" si="22"/>
        <v>-231015</v>
      </c>
      <c r="O463" t="str">
        <f t="shared" si="23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1"/>
        <v>2673</v>
      </c>
      <c r="M464">
        <f t="shared" si="21"/>
        <v>-900</v>
      </c>
      <c r="N464">
        <f t="shared" si="22"/>
        <v>-220579</v>
      </c>
      <c r="O464" t="str">
        <f t="shared" si="23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1"/>
        <v>2673</v>
      </c>
      <c r="M465">
        <f t="shared" si="21"/>
        <v>-855</v>
      </c>
      <c r="N465">
        <f t="shared" si="22"/>
        <v>-210064</v>
      </c>
      <c r="O465" t="str">
        <f t="shared" si="23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1"/>
        <v>2673</v>
      </c>
      <c r="M466">
        <f t="shared" si="21"/>
        <v>-810</v>
      </c>
      <c r="N466">
        <f t="shared" si="22"/>
        <v>-199471</v>
      </c>
      <c r="O466" t="str">
        <f t="shared" si="23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1"/>
        <v>2673</v>
      </c>
      <c r="M467">
        <f t="shared" si="21"/>
        <v>-765</v>
      </c>
      <c r="N467">
        <f t="shared" si="22"/>
        <v>-188799</v>
      </c>
      <c r="O467" t="str">
        <f t="shared" si="23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1"/>
        <v>2673</v>
      </c>
      <c r="M468">
        <f t="shared" si="21"/>
        <v>-720</v>
      </c>
      <c r="N468">
        <f t="shared" si="22"/>
        <v>-178049</v>
      </c>
      <c r="O468" t="str">
        <f t="shared" si="23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1"/>
        <v>2673</v>
      </c>
      <c r="M469">
        <f t="shared" si="21"/>
        <v>-675</v>
      </c>
      <c r="N469">
        <f t="shared" si="22"/>
        <v>-167220</v>
      </c>
      <c r="O469" t="str">
        <f t="shared" si="23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1"/>
        <v>2673</v>
      </c>
      <c r="M470">
        <f t="shared" si="21"/>
        <v>-630</v>
      </c>
      <c r="N470">
        <f t="shared" si="22"/>
        <v>-156312</v>
      </c>
      <c r="O470" t="str">
        <f t="shared" si="23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1"/>
        <v>2673</v>
      </c>
      <c r="M471">
        <f t="shared" si="21"/>
        <v>-585</v>
      </c>
      <c r="N471">
        <f t="shared" si="22"/>
        <v>-145326</v>
      </c>
      <c r="O471" t="str">
        <f t="shared" si="23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1"/>
        <v>2673</v>
      </c>
      <c r="M472">
        <f t="shared" si="21"/>
        <v>-540</v>
      </c>
      <c r="N472">
        <f t="shared" si="22"/>
        <v>-134261</v>
      </c>
      <c r="O472" t="str">
        <f t="shared" si="23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1"/>
        <v>2673</v>
      </c>
      <c r="M473">
        <f t="shared" si="21"/>
        <v>-495</v>
      </c>
      <c r="N473">
        <f t="shared" si="22"/>
        <v>-123117</v>
      </c>
      <c r="O473" t="str">
        <f t="shared" si="23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1"/>
        <v>2673</v>
      </c>
      <c r="M474">
        <f t="shared" si="21"/>
        <v>-450</v>
      </c>
      <c r="N474">
        <f t="shared" si="22"/>
        <v>-111895</v>
      </c>
      <c r="O474" t="str">
        <f t="shared" si="23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1"/>
        <v>2673</v>
      </c>
      <c r="M475">
        <f t="shared" si="21"/>
        <v>-405</v>
      </c>
      <c r="N475">
        <f t="shared" si="22"/>
        <v>-100595</v>
      </c>
      <c r="O475" t="str">
        <f t="shared" si="23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1"/>
        <v>2673</v>
      </c>
      <c r="M476">
        <f t="shared" si="21"/>
        <v>-360</v>
      </c>
      <c r="N476">
        <f t="shared" si="22"/>
        <v>-89215</v>
      </c>
      <c r="O476" t="str">
        <f t="shared" si="23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1"/>
        <v>2673</v>
      </c>
      <c r="M477">
        <f t="shared" si="21"/>
        <v>-315</v>
      </c>
      <c r="N477">
        <f t="shared" si="22"/>
        <v>-77757</v>
      </c>
      <c r="O477" t="str">
        <f t="shared" si="23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1"/>
        <v>2673</v>
      </c>
      <c r="M478">
        <f t="shared" si="21"/>
        <v>-270</v>
      </c>
      <c r="N478">
        <f t="shared" si="22"/>
        <v>-66221</v>
      </c>
      <c r="O478" t="str">
        <f t="shared" si="23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1"/>
        <v>2673</v>
      </c>
      <c r="M479">
        <f t="shared" si="21"/>
        <v>-225</v>
      </c>
      <c r="N479">
        <f t="shared" si="22"/>
        <v>-54606</v>
      </c>
      <c r="O479" t="str">
        <f t="shared" si="23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1"/>
        <v>2673</v>
      </c>
      <c r="M480">
        <f t="shared" si="21"/>
        <v>-180</v>
      </c>
      <c r="N480">
        <f t="shared" si="22"/>
        <v>-42912</v>
      </c>
      <c r="O480" t="str">
        <f t="shared" si="23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1"/>
        <v>2673</v>
      </c>
      <c r="M481">
        <f t="shared" si="21"/>
        <v>-135</v>
      </c>
      <c r="N481">
        <f t="shared" si="22"/>
        <v>-31140</v>
      </c>
      <c r="O481" t="str">
        <f t="shared" si="23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1"/>
        <v>2673</v>
      </c>
      <c r="M482">
        <f t="shared" si="21"/>
        <v>-90</v>
      </c>
      <c r="N482">
        <f t="shared" si="22"/>
        <v>-19289</v>
      </c>
      <c r="O482" t="str">
        <f t="shared" si="23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1"/>
        <v>2673</v>
      </c>
      <c r="M483">
        <f t="shared" si="21"/>
        <v>-45</v>
      </c>
      <c r="N483">
        <f t="shared" si="22"/>
        <v>-7360</v>
      </c>
      <c r="O483" t="str">
        <f t="shared" si="23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1"/>
        <v>2673</v>
      </c>
      <c r="M484">
        <f t="shared" si="21"/>
        <v>-9</v>
      </c>
      <c r="N484">
        <f t="shared" si="22"/>
        <v>0</v>
      </c>
      <c r="O484" t="str">
        <f t="shared" si="23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1"/>
        <v>2673</v>
      </c>
      <c r="M485">
        <f t="shared" si="21"/>
        <v>9</v>
      </c>
      <c r="N485">
        <f t="shared" si="22"/>
        <v>7679</v>
      </c>
      <c r="O485" t="str">
        <f t="shared" si="23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1"/>
        <v>2673</v>
      </c>
      <c r="M486">
        <f t="shared" si="21"/>
        <v>45</v>
      </c>
      <c r="N486">
        <f t="shared" si="22"/>
        <v>18256</v>
      </c>
      <c r="O486" t="str">
        <f t="shared" si="23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1"/>
        <v>2673</v>
      </c>
      <c r="M487">
        <f t="shared" si="21"/>
        <v>90</v>
      </c>
      <c r="N487">
        <f t="shared" si="22"/>
        <v>31554</v>
      </c>
      <c r="O487" t="str">
        <f t="shared" si="23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1"/>
        <v>2673</v>
      </c>
      <c r="M488">
        <f t="shared" si="21"/>
        <v>135</v>
      </c>
      <c r="N488">
        <f t="shared" si="22"/>
        <v>44937</v>
      </c>
      <c r="O488" t="str">
        <f t="shared" si="23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1"/>
        <v>2673</v>
      </c>
      <c r="M489">
        <f t="shared" si="21"/>
        <v>180</v>
      </c>
      <c r="N489">
        <f t="shared" si="22"/>
        <v>58406</v>
      </c>
      <c r="O489" t="str">
        <f t="shared" si="23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1"/>
        <v>2673</v>
      </c>
      <c r="M490">
        <f t="shared" si="21"/>
        <v>225</v>
      </c>
      <c r="N490">
        <f t="shared" si="22"/>
        <v>71959</v>
      </c>
      <c r="O490" t="str">
        <f t="shared" si="23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1"/>
        <v>2673</v>
      </c>
      <c r="M491">
        <f t="shared" si="21"/>
        <v>270</v>
      </c>
      <c r="N491">
        <f t="shared" si="22"/>
        <v>85598</v>
      </c>
      <c r="O491" t="str">
        <f t="shared" si="23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1"/>
        <v>2673</v>
      </c>
      <c r="M492">
        <f t="shared" si="21"/>
        <v>315</v>
      </c>
      <c r="N492">
        <f t="shared" si="22"/>
        <v>99323</v>
      </c>
      <c r="O492" t="str">
        <f t="shared" si="23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1"/>
        <v>2673</v>
      </c>
      <c r="M493">
        <f t="shared" si="21"/>
        <v>360</v>
      </c>
      <c r="N493">
        <f t="shared" si="22"/>
        <v>113132</v>
      </c>
      <c r="O493" t="str">
        <f t="shared" si="23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1"/>
        <v>2673</v>
      </c>
      <c r="M494">
        <f t="shared" si="21"/>
        <v>405</v>
      </c>
      <c r="N494">
        <f t="shared" si="22"/>
        <v>127027</v>
      </c>
      <c r="O494" t="str">
        <f t="shared" si="23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1"/>
        <v>2673</v>
      </c>
      <c r="M495">
        <f t="shared" si="21"/>
        <v>450</v>
      </c>
      <c r="N495">
        <f t="shared" si="22"/>
        <v>141007</v>
      </c>
      <c r="O495" t="str">
        <f t="shared" si="23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1"/>
        <v>2673</v>
      </c>
      <c r="M496">
        <f t="shared" si="21"/>
        <v>495</v>
      </c>
      <c r="N496">
        <f t="shared" si="22"/>
        <v>155072</v>
      </c>
      <c r="O496" t="str">
        <f t="shared" si="23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1"/>
        <v>2673</v>
      </c>
      <c r="M497">
        <f t="shared" si="21"/>
        <v>540</v>
      </c>
      <c r="N497">
        <f t="shared" si="22"/>
        <v>169223</v>
      </c>
      <c r="O497" t="str">
        <f t="shared" si="23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1"/>
        <v>2673</v>
      </c>
      <c r="M498">
        <f t="shared" si="21"/>
        <v>585</v>
      </c>
      <c r="N498">
        <f t="shared" si="22"/>
        <v>183459</v>
      </c>
      <c r="O498" t="str">
        <f t="shared" si="23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1"/>
        <v>2673</v>
      </c>
      <c r="M499">
        <f t="shared" si="21"/>
        <v>630</v>
      </c>
      <c r="N499">
        <f t="shared" si="22"/>
        <v>197780</v>
      </c>
      <c r="O499" t="str">
        <f t="shared" si="23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1"/>
        <v>2673</v>
      </c>
      <c r="M500">
        <f t="shared" si="21"/>
        <v>675</v>
      </c>
      <c r="N500">
        <f t="shared" si="22"/>
        <v>212187</v>
      </c>
      <c r="O500" t="str">
        <f t="shared" si="23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1"/>
        <v>2673</v>
      </c>
      <c r="M501">
        <f t="shared" si="21"/>
        <v>720</v>
      </c>
      <c r="N501">
        <f t="shared" si="22"/>
        <v>226679</v>
      </c>
      <c r="O501" t="str">
        <f t="shared" si="23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1"/>
        <v>2673</v>
      </c>
      <c r="M502">
        <f t="shared" si="21"/>
        <v>765</v>
      </c>
      <c r="N502">
        <f t="shared" si="22"/>
        <v>241256</v>
      </c>
      <c r="O502" t="str">
        <f t="shared" si="23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1"/>
        <v>2673</v>
      </c>
      <c r="M503">
        <f t="shared" si="21"/>
        <v>810</v>
      </c>
      <c r="N503">
        <f t="shared" si="22"/>
        <v>255918</v>
      </c>
      <c r="O503" t="str">
        <f t="shared" si="23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1"/>
        <v>2673</v>
      </c>
      <c r="M504">
        <f t="shared" si="21"/>
        <v>855</v>
      </c>
      <c r="N504">
        <f t="shared" si="22"/>
        <v>270666</v>
      </c>
      <c r="O504" t="str">
        <f t="shared" si="23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1"/>
        <v>2673</v>
      </c>
      <c r="M505">
        <f t="shared" si="21"/>
        <v>900</v>
      </c>
      <c r="N505">
        <f t="shared" si="22"/>
        <v>285499</v>
      </c>
      <c r="O505" t="str">
        <f t="shared" si="23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1"/>
        <v>2673</v>
      </c>
      <c r="M506">
        <f t="shared" si="21"/>
        <v>945</v>
      </c>
      <c r="N506">
        <f t="shared" si="22"/>
        <v>300417</v>
      </c>
      <c r="O506" t="str">
        <f t="shared" si="23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1"/>
        <v>2673</v>
      </c>
      <c r="M507">
        <f t="shared" si="21"/>
        <v>990</v>
      </c>
      <c r="N507">
        <f t="shared" si="22"/>
        <v>315421</v>
      </c>
      <c r="O507" t="str">
        <f t="shared" si="23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1"/>
        <v>2970</v>
      </c>
      <c r="M508">
        <f t="shared" si="21"/>
        <v>-990</v>
      </c>
      <c r="N508">
        <f t="shared" si="22"/>
        <v>-265929</v>
      </c>
      <c r="O508" t="str">
        <f t="shared" si="23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1"/>
        <v>2970</v>
      </c>
      <c r="M509">
        <f t="shared" si="21"/>
        <v>-945</v>
      </c>
      <c r="N509">
        <f t="shared" si="22"/>
        <v>-254560</v>
      </c>
      <c r="O509" t="str">
        <f t="shared" si="23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1"/>
        <v>2970</v>
      </c>
      <c r="M510">
        <f t="shared" si="21"/>
        <v>-900</v>
      </c>
      <c r="N510">
        <f t="shared" si="22"/>
        <v>-243097</v>
      </c>
      <c r="O510" t="str">
        <f t="shared" si="23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1"/>
        <v>2970</v>
      </c>
      <c r="M511">
        <f t="shared" si="21"/>
        <v>-855</v>
      </c>
      <c r="N511">
        <f t="shared" si="22"/>
        <v>-231540</v>
      </c>
      <c r="O511" t="str">
        <f t="shared" si="23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1"/>
        <v>2970</v>
      </c>
      <c r="M512">
        <f t="shared" si="21"/>
        <v>-810</v>
      </c>
      <c r="N512">
        <f t="shared" si="22"/>
        <v>-219889</v>
      </c>
      <c r="O512" t="str">
        <f t="shared" si="23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1"/>
        <v>2970</v>
      </c>
      <c r="M513">
        <f t="shared" si="21"/>
        <v>-765</v>
      </c>
      <c r="N513">
        <f t="shared" si="22"/>
        <v>-208144</v>
      </c>
      <c r="O513" t="str">
        <f t="shared" si="23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1"/>
        <v>2970</v>
      </c>
      <c r="M514">
        <f t="shared" si="21"/>
        <v>-720</v>
      </c>
      <c r="N514">
        <f t="shared" si="22"/>
        <v>-196305</v>
      </c>
      <c r="O514" t="str">
        <f t="shared" si="23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M578" si="24">A515</f>
        <v>2970</v>
      </c>
      <c r="M515">
        <f t="shared" si="24"/>
        <v>-675</v>
      </c>
      <c r="N515">
        <f t="shared" ref="N515:N578" si="25">C515*1000</f>
        <v>-184372</v>
      </c>
      <c r="O515" t="str">
        <f t="shared" ref="O515:O578" si="26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24"/>
        <v>2970</v>
      </c>
      <c r="M516">
        <f t="shared" si="24"/>
        <v>-630</v>
      </c>
      <c r="N516">
        <f t="shared" si="25"/>
        <v>-172344</v>
      </c>
      <c r="O516" t="str">
        <f t="shared" si="26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24"/>
        <v>2970</v>
      </c>
      <c r="M517">
        <f t="shared" si="24"/>
        <v>-585</v>
      </c>
      <c r="N517">
        <f t="shared" si="25"/>
        <v>-160223</v>
      </c>
      <c r="O517" t="str">
        <f t="shared" si="26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24"/>
        <v>2970</v>
      </c>
      <c r="M518">
        <f t="shared" si="24"/>
        <v>-540</v>
      </c>
      <c r="N518">
        <f t="shared" si="25"/>
        <v>-148008</v>
      </c>
      <c r="O518" t="str">
        <f t="shared" si="26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24"/>
        <v>2970</v>
      </c>
      <c r="M519">
        <f t="shared" si="24"/>
        <v>-495</v>
      </c>
      <c r="N519">
        <f t="shared" si="25"/>
        <v>-135699</v>
      </c>
      <c r="O519" t="str">
        <f t="shared" si="26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24"/>
        <v>2970</v>
      </c>
      <c r="M520">
        <f t="shared" si="24"/>
        <v>-450</v>
      </c>
      <c r="N520">
        <f t="shared" si="25"/>
        <v>-123295</v>
      </c>
      <c r="O520" t="str">
        <f t="shared" si="26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24"/>
        <v>2970</v>
      </c>
      <c r="M521">
        <f t="shared" si="24"/>
        <v>-405</v>
      </c>
      <c r="N521">
        <f t="shared" si="25"/>
        <v>-110798</v>
      </c>
      <c r="O521" t="str">
        <f t="shared" si="26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24"/>
        <v>2970</v>
      </c>
      <c r="M522">
        <f t="shared" si="24"/>
        <v>-360</v>
      </c>
      <c r="N522">
        <f t="shared" si="25"/>
        <v>-98206</v>
      </c>
      <c r="O522" t="str">
        <f t="shared" si="26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24"/>
        <v>2970</v>
      </c>
      <c r="M523">
        <f t="shared" si="24"/>
        <v>-315</v>
      </c>
      <c r="N523">
        <f t="shared" si="25"/>
        <v>-85521</v>
      </c>
      <c r="O523" t="str">
        <f t="shared" si="26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24"/>
        <v>2970</v>
      </c>
      <c r="M524">
        <f t="shared" si="24"/>
        <v>-270</v>
      </c>
      <c r="N524">
        <f t="shared" si="25"/>
        <v>-72741</v>
      </c>
      <c r="O524" t="str">
        <f t="shared" si="26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24"/>
        <v>2970</v>
      </c>
      <c r="M525">
        <f t="shared" si="24"/>
        <v>-225</v>
      </c>
      <c r="N525">
        <f t="shared" si="25"/>
        <v>-59867</v>
      </c>
      <c r="O525" t="str">
        <f t="shared" si="26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24"/>
        <v>2970</v>
      </c>
      <c r="M526">
        <f t="shared" si="24"/>
        <v>-180</v>
      </c>
      <c r="N526">
        <f t="shared" si="25"/>
        <v>-46900</v>
      </c>
      <c r="O526" t="str">
        <f t="shared" si="26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24"/>
        <v>2970</v>
      </c>
      <c r="M527">
        <f t="shared" si="24"/>
        <v>-135</v>
      </c>
      <c r="N527">
        <f t="shared" si="25"/>
        <v>-33838</v>
      </c>
      <c r="O527" t="str">
        <f t="shared" si="26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24"/>
        <v>2970</v>
      </c>
      <c r="M528">
        <f t="shared" si="24"/>
        <v>-90</v>
      </c>
      <c r="N528">
        <f t="shared" si="25"/>
        <v>-20682</v>
      </c>
      <c r="O528" t="str">
        <f t="shared" si="26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24"/>
        <v>2970</v>
      </c>
      <c r="M529">
        <f t="shared" si="24"/>
        <v>-45</v>
      </c>
      <c r="N529">
        <f t="shared" si="25"/>
        <v>-7432</v>
      </c>
      <c r="O529" t="str">
        <f t="shared" si="26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24"/>
        <v>2970</v>
      </c>
      <c r="M530">
        <f t="shared" si="24"/>
        <v>-9</v>
      </c>
      <c r="N530">
        <f t="shared" si="25"/>
        <v>0</v>
      </c>
      <c r="O530" t="str">
        <f t="shared" si="26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24"/>
        <v>2970</v>
      </c>
      <c r="M531">
        <f t="shared" si="24"/>
        <v>9</v>
      </c>
      <c r="N531">
        <f t="shared" si="25"/>
        <v>9342</v>
      </c>
      <c r="O531" t="str">
        <f t="shared" si="26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24"/>
        <v>2970</v>
      </c>
      <c r="M532">
        <f t="shared" si="24"/>
        <v>45</v>
      </c>
      <c r="N532">
        <f t="shared" si="25"/>
        <v>21094</v>
      </c>
      <c r="O532" t="str">
        <f t="shared" si="26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24"/>
        <v>2970</v>
      </c>
      <c r="M533">
        <f t="shared" si="24"/>
        <v>90</v>
      </c>
      <c r="N533">
        <f t="shared" si="25"/>
        <v>35874</v>
      </c>
      <c r="O533" t="str">
        <f t="shared" si="26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24"/>
        <v>2970</v>
      </c>
      <c r="M534">
        <f t="shared" si="24"/>
        <v>135</v>
      </c>
      <c r="N534">
        <f t="shared" si="25"/>
        <v>50757</v>
      </c>
      <c r="O534" t="str">
        <f t="shared" si="26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24"/>
        <v>2970</v>
      </c>
      <c r="M535">
        <f t="shared" si="24"/>
        <v>180</v>
      </c>
      <c r="N535">
        <f t="shared" si="25"/>
        <v>65742</v>
      </c>
      <c r="O535" t="str">
        <f t="shared" si="26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24"/>
        <v>2970</v>
      </c>
      <c r="M536">
        <f t="shared" si="24"/>
        <v>225</v>
      </c>
      <c r="N536">
        <f t="shared" si="25"/>
        <v>80829</v>
      </c>
      <c r="O536" t="str">
        <f t="shared" si="26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24"/>
        <v>2970</v>
      </c>
      <c r="M537">
        <f t="shared" si="24"/>
        <v>270</v>
      </c>
      <c r="N537">
        <f t="shared" si="25"/>
        <v>96018</v>
      </c>
      <c r="O537" t="str">
        <f t="shared" si="26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24"/>
        <v>2970</v>
      </c>
      <c r="M538">
        <f t="shared" si="24"/>
        <v>315</v>
      </c>
      <c r="N538">
        <f t="shared" si="25"/>
        <v>111310</v>
      </c>
      <c r="O538" t="str">
        <f t="shared" si="26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24"/>
        <v>2970</v>
      </c>
      <c r="M539">
        <f t="shared" si="24"/>
        <v>360</v>
      </c>
      <c r="N539">
        <f t="shared" si="25"/>
        <v>126703</v>
      </c>
      <c r="O539" t="str">
        <f t="shared" si="26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24"/>
        <v>2970</v>
      </c>
      <c r="M540">
        <f t="shared" si="24"/>
        <v>405</v>
      </c>
      <c r="N540">
        <f t="shared" si="25"/>
        <v>142198</v>
      </c>
      <c r="O540" t="str">
        <f t="shared" si="26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24"/>
        <v>2970</v>
      </c>
      <c r="M541">
        <f t="shared" si="24"/>
        <v>450</v>
      </c>
      <c r="N541">
        <f t="shared" si="25"/>
        <v>157795</v>
      </c>
      <c r="O541" t="str">
        <f t="shared" si="26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24"/>
        <v>2970</v>
      </c>
      <c r="M542">
        <f t="shared" si="24"/>
        <v>495</v>
      </c>
      <c r="N542">
        <f t="shared" si="25"/>
        <v>173495</v>
      </c>
      <c r="O542" t="str">
        <f t="shared" si="26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24"/>
        <v>2970</v>
      </c>
      <c r="M543">
        <f t="shared" si="24"/>
        <v>540</v>
      </c>
      <c r="N543">
        <f t="shared" si="25"/>
        <v>189296</v>
      </c>
      <c r="O543" t="str">
        <f t="shared" si="26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24"/>
        <v>2970</v>
      </c>
      <c r="M544">
        <f t="shared" si="24"/>
        <v>585</v>
      </c>
      <c r="N544">
        <f t="shared" si="25"/>
        <v>205199</v>
      </c>
      <c r="O544" t="str">
        <f t="shared" si="26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24"/>
        <v>2970</v>
      </c>
      <c r="M545">
        <f t="shared" si="24"/>
        <v>630</v>
      </c>
      <c r="N545">
        <f t="shared" si="25"/>
        <v>221205</v>
      </c>
      <c r="O545" t="str">
        <f t="shared" si="26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24"/>
        <v>2970</v>
      </c>
      <c r="M546">
        <f t="shared" si="24"/>
        <v>675</v>
      </c>
      <c r="N546">
        <f t="shared" si="25"/>
        <v>237313</v>
      </c>
      <c r="O546" t="str">
        <f t="shared" si="26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24"/>
        <v>2970</v>
      </c>
      <c r="M547">
        <f t="shared" si="24"/>
        <v>720</v>
      </c>
      <c r="N547">
        <f t="shared" si="25"/>
        <v>253522</v>
      </c>
      <c r="O547" t="str">
        <f t="shared" si="26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24"/>
        <v>2970</v>
      </c>
      <c r="M548">
        <f t="shared" si="24"/>
        <v>765</v>
      </c>
      <c r="N548">
        <f t="shared" si="25"/>
        <v>269834</v>
      </c>
      <c r="O548" t="str">
        <f t="shared" si="26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24"/>
        <v>2970</v>
      </c>
      <c r="M549">
        <f t="shared" si="24"/>
        <v>810</v>
      </c>
      <c r="N549">
        <f t="shared" si="25"/>
        <v>286248</v>
      </c>
      <c r="O549" t="str">
        <f t="shared" si="26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24"/>
        <v>2970</v>
      </c>
      <c r="M550">
        <f t="shared" si="24"/>
        <v>855</v>
      </c>
      <c r="N550">
        <f t="shared" si="25"/>
        <v>302763</v>
      </c>
      <c r="O550" t="str">
        <f t="shared" si="26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24"/>
        <v>2970</v>
      </c>
      <c r="M551">
        <f t="shared" si="24"/>
        <v>900</v>
      </c>
      <c r="N551">
        <f t="shared" si="25"/>
        <v>319381</v>
      </c>
      <c r="O551" t="str">
        <f t="shared" si="26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24"/>
        <v>2970</v>
      </c>
      <c r="M552">
        <f t="shared" si="24"/>
        <v>945</v>
      </c>
      <c r="N552">
        <f t="shared" si="25"/>
        <v>336101</v>
      </c>
      <c r="O552" t="str">
        <f t="shared" si="26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24"/>
        <v>2970</v>
      </c>
      <c r="M553">
        <f t="shared" si="24"/>
        <v>990</v>
      </c>
      <c r="N553">
        <f t="shared" si="25"/>
        <v>352923</v>
      </c>
      <c r="O553" t="str">
        <f t="shared" si="26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24"/>
        <v>3267</v>
      </c>
      <c r="M554">
        <f t="shared" si="24"/>
        <v>-990</v>
      </c>
      <c r="N554">
        <f t="shared" si="25"/>
        <v>-289874</v>
      </c>
      <c r="O554" t="str">
        <f t="shared" si="26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24"/>
        <v>3267</v>
      </c>
      <c r="M555">
        <f t="shared" si="24"/>
        <v>-945</v>
      </c>
      <c r="N555">
        <f t="shared" si="25"/>
        <v>-277529</v>
      </c>
      <c r="O555" t="str">
        <f t="shared" si="26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24"/>
        <v>3267</v>
      </c>
      <c r="M556">
        <f t="shared" si="24"/>
        <v>-900</v>
      </c>
      <c r="N556">
        <f t="shared" si="25"/>
        <v>-265072</v>
      </c>
      <c r="O556" t="str">
        <f t="shared" si="26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24"/>
        <v>3267</v>
      </c>
      <c r="M557">
        <f t="shared" si="24"/>
        <v>-855</v>
      </c>
      <c r="N557">
        <f t="shared" si="25"/>
        <v>-252504</v>
      </c>
      <c r="O557" t="str">
        <f t="shared" si="26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24"/>
        <v>3267</v>
      </c>
      <c r="M558">
        <f t="shared" si="24"/>
        <v>-810</v>
      </c>
      <c r="N558">
        <f t="shared" si="25"/>
        <v>-239825</v>
      </c>
      <c r="O558" t="str">
        <f t="shared" si="26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24"/>
        <v>3267</v>
      </c>
      <c r="M559">
        <f t="shared" si="24"/>
        <v>-765</v>
      </c>
      <c r="N559">
        <f t="shared" si="25"/>
        <v>-227035</v>
      </c>
      <c r="O559" t="str">
        <f t="shared" si="26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24"/>
        <v>3267</v>
      </c>
      <c r="M560">
        <f t="shared" si="24"/>
        <v>-720</v>
      </c>
      <c r="N560">
        <f t="shared" si="25"/>
        <v>-214134</v>
      </c>
      <c r="O560" t="str">
        <f t="shared" si="26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24"/>
        <v>3267</v>
      </c>
      <c r="M561">
        <f t="shared" si="24"/>
        <v>-675</v>
      </c>
      <c r="N561">
        <f t="shared" si="25"/>
        <v>-201122</v>
      </c>
      <c r="O561" t="str">
        <f t="shared" si="26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24"/>
        <v>3267</v>
      </c>
      <c r="M562">
        <f t="shared" si="24"/>
        <v>-630</v>
      </c>
      <c r="N562">
        <f t="shared" si="25"/>
        <v>-187999</v>
      </c>
      <c r="O562" t="str">
        <f t="shared" si="26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24"/>
        <v>3267</v>
      </c>
      <c r="M563">
        <f t="shared" si="24"/>
        <v>-585</v>
      </c>
      <c r="N563">
        <f t="shared" si="25"/>
        <v>-174764</v>
      </c>
      <c r="O563" t="str">
        <f t="shared" si="26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24"/>
        <v>3267</v>
      </c>
      <c r="M564">
        <f t="shared" si="24"/>
        <v>-540</v>
      </c>
      <c r="N564">
        <f t="shared" si="25"/>
        <v>-161419</v>
      </c>
      <c r="O564" t="str">
        <f t="shared" si="26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24"/>
        <v>3267</v>
      </c>
      <c r="M565">
        <f t="shared" si="24"/>
        <v>-495</v>
      </c>
      <c r="N565">
        <f t="shared" si="25"/>
        <v>-147962</v>
      </c>
      <c r="O565" t="str">
        <f t="shared" si="26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24"/>
        <v>3267</v>
      </c>
      <c r="M566">
        <f t="shared" si="24"/>
        <v>-450</v>
      </c>
      <c r="N566">
        <f t="shared" si="25"/>
        <v>-134394</v>
      </c>
      <c r="O566" t="str">
        <f t="shared" si="26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24"/>
        <v>3267</v>
      </c>
      <c r="M567">
        <f t="shared" si="24"/>
        <v>-405</v>
      </c>
      <c r="N567">
        <f t="shared" si="25"/>
        <v>-120715</v>
      </c>
      <c r="O567" t="str">
        <f t="shared" si="26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24"/>
        <v>3267</v>
      </c>
      <c r="M568">
        <f t="shared" si="24"/>
        <v>-360</v>
      </c>
      <c r="N568">
        <f t="shared" si="25"/>
        <v>-106925</v>
      </c>
      <c r="O568" t="str">
        <f t="shared" si="26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24"/>
        <v>3267</v>
      </c>
      <c r="M569">
        <f t="shared" si="24"/>
        <v>-315</v>
      </c>
      <c r="N569">
        <f t="shared" si="25"/>
        <v>-93024</v>
      </c>
      <c r="O569" t="str">
        <f t="shared" si="26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24"/>
        <v>3267</v>
      </c>
      <c r="M570">
        <f t="shared" si="24"/>
        <v>-270</v>
      </c>
      <c r="N570">
        <f t="shared" si="25"/>
        <v>-79012</v>
      </c>
      <c r="O570" t="str">
        <f t="shared" si="26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24"/>
        <v>3267</v>
      </c>
      <c r="M571">
        <f t="shared" si="24"/>
        <v>-225</v>
      </c>
      <c r="N571">
        <f t="shared" si="25"/>
        <v>-64888.000000000007</v>
      </c>
      <c r="O571" t="str">
        <f t="shared" si="26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24"/>
        <v>3267</v>
      </c>
      <c r="M572">
        <f t="shared" si="24"/>
        <v>-180</v>
      </c>
      <c r="N572">
        <f t="shared" si="25"/>
        <v>-50654</v>
      </c>
      <c r="O572" t="str">
        <f t="shared" si="26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24"/>
        <v>3267</v>
      </c>
      <c r="M573">
        <f t="shared" si="24"/>
        <v>-135</v>
      </c>
      <c r="N573">
        <f t="shared" si="25"/>
        <v>-36308</v>
      </c>
      <c r="O573" t="str">
        <f t="shared" si="26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24"/>
        <v>3267</v>
      </c>
      <c r="M574">
        <f t="shared" si="24"/>
        <v>-90</v>
      </c>
      <c r="N574">
        <f t="shared" si="25"/>
        <v>-21851</v>
      </c>
      <c r="O574" t="str">
        <f t="shared" si="26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24"/>
        <v>3267</v>
      </c>
      <c r="M575">
        <f t="shared" si="24"/>
        <v>-45</v>
      </c>
      <c r="N575">
        <f t="shared" si="25"/>
        <v>-7283</v>
      </c>
      <c r="O575" t="str">
        <f t="shared" si="26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24"/>
        <v>3267</v>
      </c>
      <c r="M576">
        <f t="shared" si="24"/>
        <v>-9</v>
      </c>
      <c r="N576">
        <f t="shared" si="25"/>
        <v>0</v>
      </c>
      <c r="O576" t="str">
        <f t="shared" si="26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24"/>
        <v>3267</v>
      </c>
      <c r="M577">
        <f t="shared" si="24"/>
        <v>9</v>
      </c>
      <c r="N577">
        <f t="shared" si="25"/>
        <v>11244</v>
      </c>
      <c r="O577" t="str">
        <f t="shared" si="26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24"/>
        <v>3267</v>
      </c>
      <c r="M578">
        <f t="shared" si="24"/>
        <v>45</v>
      </c>
      <c r="N578">
        <f t="shared" si="25"/>
        <v>24171</v>
      </c>
      <c r="O578" t="str">
        <f t="shared" si="26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M642" si="27">A579</f>
        <v>3267</v>
      </c>
      <c r="M579">
        <f t="shared" si="27"/>
        <v>90</v>
      </c>
      <c r="N579">
        <f t="shared" ref="N579:N642" si="28">C579*1000</f>
        <v>40437</v>
      </c>
      <c r="O579" t="str">
        <f t="shared" ref="O579:O642" si="2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27"/>
        <v>3267</v>
      </c>
      <c r="M580">
        <f t="shared" si="27"/>
        <v>135</v>
      </c>
      <c r="N580">
        <f t="shared" si="28"/>
        <v>56824</v>
      </c>
      <c r="O580" t="str">
        <f t="shared" si="2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27"/>
        <v>3267</v>
      </c>
      <c r="M581">
        <f t="shared" si="27"/>
        <v>180</v>
      </c>
      <c r="N581">
        <f t="shared" si="28"/>
        <v>73332</v>
      </c>
      <c r="O581" t="str">
        <f t="shared" si="2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27"/>
        <v>3267</v>
      </c>
      <c r="M582">
        <f t="shared" si="27"/>
        <v>225</v>
      </c>
      <c r="N582">
        <f t="shared" si="28"/>
        <v>89960</v>
      </c>
      <c r="O582" t="str">
        <f t="shared" si="2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27"/>
        <v>3267</v>
      </c>
      <c r="M583">
        <f t="shared" si="27"/>
        <v>270</v>
      </c>
      <c r="N583">
        <f t="shared" si="28"/>
        <v>106709</v>
      </c>
      <c r="O583" t="str">
        <f t="shared" si="2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27"/>
        <v>3267</v>
      </c>
      <c r="M584">
        <f t="shared" si="27"/>
        <v>315</v>
      </c>
      <c r="N584">
        <f t="shared" si="28"/>
        <v>123579</v>
      </c>
      <c r="O584" t="str">
        <f t="shared" si="2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27"/>
        <v>3267</v>
      </c>
      <c r="M585">
        <f t="shared" si="27"/>
        <v>360</v>
      </c>
      <c r="N585">
        <f t="shared" si="28"/>
        <v>140569</v>
      </c>
      <c r="O585" t="str">
        <f t="shared" si="2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27"/>
        <v>3267</v>
      </c>
      <c r="M586">
        <f t="shared" si="27"/>
        <v>405</v>
      </c>
      <c r="N586">
        <f t="shared" si="28"/>
        <v>157679</v>
      </c>
      <c r="O586" t="str">
        <f t="shared" si="2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27"/>
        <v>3267</v>
      </c>
      <c r="M587">
        <f t="shared" si="27"/>
        <v>450</v>
      </c>
      <c r="N587">
        <f t="shared" si="28"/>
        <v>174910</v>
      </c>
      <c r="O587" t="str">
        <f t="shared" si="2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27"/>
        <v>3267</v>
      </c>
      <c r="M588">
        <f t="shared" si="27"/>
        <v>495</v>
      </c>
      <c r="N588">
        <f t="shared" si="28"/>
        <v>192262</v>
      </c>
      <c r="O588" t="str">
        <f t="shared" si="2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27"/>
        <v>3267</v>
      </c>
      <c r="M589">
        <f t="shared" si="27"/>
        <v>540</v>
      </c>
      <c r="N589">
        <f t="shared" si="28"/>
        <v>209734</v>
      </c>
      <c r="O589" t="str">
        <f t="shared" si="2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27"/>
        <v>3267</v>
      </c>
      <c r="M590">
        <f t="shared" si="27"/>
        <v>585</v>
      </c>
      <c r="N590">
        <f t="shared" si="28"/>
        <v>227327</v>
      </c>
      <c r="O590" t="str">
        <f t="shared" si="2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27"/>
        <v>3267</v>
      </c>
      <c r="M591">
        <f t="shared" si="27"/>
        <v>630</v>
      </c>
      <c r="N591">
        <f t="shared" si="28"/>
        <v>245040</v>
      </c>
      <c r="O591" t="str">
        <f t="shared" si="2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27"/>
        <v>3267</v>
      </c>
      <c r="M592">
        <f t="shared" si="27"/>
        <v>675</v>
      </c>
      <c r="N592">
        <f t="shared" si="28"/>
        <v>262874</v>
      </c>
      <c r="O592" t="str">
        <f t="shared" si="2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27"/>
        <v>3267</v>
      </c>
      <c r="M593">
        <f t="shared" si="27"/>
        <v>720</v>
      </c>
      <c r="N593">
        <f t="shared" si="28"/>
        <v>280829</v>
      </c>
      <c r="O593" t="str">
        <f t="shared" si="2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27"/>
        <v>3267</v>
      </c>
      <c r="M594">
        <f t="shared" si="27"/>
        <v>765</v>
      </c>
      <c r="N594">
        <f t="shared" si="28"/>
        <v>298904</v>
      </c>
      <c r="O594" t="str">
        <f t="shared" si="2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27"/>
        <v>3267</v>
      </c>
      <c r="M595">
        <f t="shared" si="27"/>
        <v>810</v>
      </c>
      <c r="N595">
        <f t="shared" si="28"/>
        <v>317099</v>
      </c>
      <c r="O595" t="str">
        <f t="shared" si="2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27"/>
        <v>3267</v>
      </c>
      <c r="M596">
        <f t="shared" si="27"/>
        <v>855</v>
      </c>
      <c r="N596">
        <f t="shared" si="28"/>
        <v>335415</v>
      </c>
      <c r="O596" t="str">
        <f t="shared" si="2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27"/>
        <v>3267</v>
      </c>
      <c r="M597">
        <f t="shared" si="27"/>
        <v>900</v>
      </c>
      <c r="N597">
        <f t="shared" si="28"/>
        <v>353852</v>
      </c>
      <c r="O597" t="str">
        <f t="shared" si="2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27"/>
        <v>3267</v>
      </c>
      <c r="M598">
        <f t="shared" si="27"/>
        <v>945</v>
      </c>
      <c r="N598">
        <f t="shared" si="28"/>
        <v>372410</v>
      </c>
      <c r="O598" t="str">
        <f t="shared" si="2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27"/>
        <v>3267</v>
      </c>
      <c r="M599">
        <f t="shared" si="27"/>
        <v>990</v>
      </c>
      <c r="N599">
        <f t="shared" si="28"/>
        <v>391087</v>
      </c>
      <c r="O599" t="str">
        <f t="shared" si="2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27"/>
        <v>3564</v>
      </c>
      <c r="M600">
        <f t="shared" si="27"/>
        <v>-990</v>
      </c>
      <c r="N600">
        <f t="shared" si="28"/>
        <v>-313190</v>
      </c>
      <c r="O600" t="str">
        <f t="shared" si="2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27"/>
        <v>3564</v>
      </c>
      <c r="M601">
        <f t="shared" si="27"/>
        <v>-945</v>
      </c>
      <c r="N601">
        <f t="shared" si="28"/>
        <v>-299903</v>
      </c>
      <c r="O601" t="str">
        <f t="shared" si="2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27"/>
        <v>3564</v>
      </c>
      <c r="M602">
        <f t="shared" si="27"/>
        <v>-900</v>
      </c>
      <c r="N602">
        <f t="shared" si="28"/>
        <v>-286485</v>
      </c>
      <c r="O602" t="str">
        <f t="shared" si="2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27"/>
        <v>3564</v>
      </c>
      <c r="M603">
        <f t="shared" si="27"/>
        <v>-855</v>
      </c>
      <c r="N603">
        <f t="shared" si="28"/>
        <v>-272938</v>
      </c>
      <c r="O603" t="str">
        <f t="shared" si="2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27"/>
        <v>3564</v>
      </c>
      <c r="M604">
        <f t="shared" si="27"/>
        <v>-810</v>
      </c>
      <c r="N604">
        <f t="shared" si="28"/>
        <v>-259261.00000000003</v>
      </c>
      <c r="O604" t="str">
        <f t="shared" si="2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27"/>
        <v>3564</v>
      </c>
      <c r="M605">
        <f t="shared" si="27"/>
        <v>-765</v>
      </c>
      <c r="N605">
        <f t="shared" si="28"/>
        <v>-245454</v>
      </c>
      <c r="O605" t="str">
        <f t="shared" si="2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27"/>
        <v>3564</v>
      </c>
      <c r="M606">
        <f t="shared" si="27"/>
        <v>-720</v>
      </c>
      <c r="N606">
        <f t="shared" si="28"/>
        <v>-231518</v>
      </c>
      <c r="O606" t="str">
        <f t="shared" si="2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27"/>
        <v>3564</v>
      </c>
      <c r="M607">
        <f t="shared" si="27"/>
        <v>-675</v>
      </c>
      <c r="N607">
        <f t="shared" si="28"/>
        <v>-217451</v>
      </c>
      <c r="O607" t="str">
        <f t="shared" si="2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27"/>
        <v>3564</v>
      </c>
      <c r="M608">
        <f t="shared" si="27"/>
        <v>-630</v>
      </c>
      <c r="N608">
        <f t="shared" si="28"/>
        <v>-203255</v>
      </c>
      <c r="O608" t="str">
        <f t="shared" si="2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27"/>
        <v>3564</v>
      </c>
      <c r="M609">
        <f t="shared" si="27"/>
        <v>-585</v>
      </c>
      <c r="N609">
        <f t="shared" si="28"/>
        <v>-188929</v>
      </c>
      <c r="O609" t="str">
        <f t="shared" si="2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27"/>
        <v>3564</v>
      </c>
      <c r="M610">
        <f t="shared" si="27"/>
        <v>-540</v>
      </c>
      <c r="N610">
        <f t="shared" si="28"/>
        <v>-174474</v>
      </c>
      <c r="O610" t="str">
        <f t="shared" si="2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27"/>
        <v>3564</v>
      </c>
      <c r="M611">
        <f t="shared" si="27"/>
        <v>-495</v>
      </c>
      <c r="N611">
        <f t="shared" si="28"/>
        <v>-159888</v>
      </c>
      <c r="O611" t="str">
        <f t="shared" si="2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27"/>
        <v>3564</v>
      </c>
      <c r="M612">
        <f t="shared" si="27"/>
        <v>-450</v>
      </c>
      <c r="N612">
        <f t="shared" si="28"/>
        <v>-145173</v>
      </c>
      <c r="O612" t="str">
        <f t="shared" si="2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27"/>
        <v>3564</v>
      </c>
      <c r="M613">
        <f t="shared" si="27"/>
        <v>-405</v>
      </c>
      <c r="N613">
        <f t="shared" si="28"/>
        <v>-130328</v>
      </c>
      <c r="O613" t="str">
        <f t="shared" si="2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27"/>
        <v>3564</v>
      </c>
      <c r="M614">
        <f t="shared" si="27"/>
        <v>-360</v>
      </c>
      <c r="N614">
        <f t="shared" si="28"/>
        <v>-115353</v>
      </c>
      <c r="O614" t="str">
        <f t="shared" si="2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27"/>
        <v>3564</v>
      </c>
      <c r="M615">
        <f t="shared" si="27"/>
        <v>-315</v>
      </c>
      <c r="N615">
        <f t="shared" si="28"/>
        <v>-100248</v>
      </c>
      <c r="O615" t="str">
        <f t="shared" si="2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27"/>
        <v>3564</v>
      </c>
      <c r="M616">
        <f t="shared" si="27"/>
        <v>-270</v>
      </c>
      <c r="N616">
        <f t="shared" si="28"/>
        <v>-85013</v>
      </c>
      <c r="O616" t="str">
        <f t="shared" si="2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27"/>
        <v>3564</v>
      </c>
      <c r="M617">
        <f t="shared" si="27"/>
        <v>-225</v>
      </c>
      <c r="N617">
        <f t="shared" si="28"/>
        <v>-69649</v>
      </c>
      <c r="O617" t="str">
        <f t="shared" si="2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27"/>
        <v>3564</v>
      </c>
      <c r="M618">
        <f t="shared" si="27"/>
        <v>-180</v>
      </c>
      <c r="N618">
        <f t="shared" si="28"/>
        <v>-54155</v>
      </c>
      <c r="O618" t="str">
        <f t="shared" si="2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27"/>
        <v>3564</v>
      </c>
      <c r="M619">
        <f t="shared" si="27"/>
        <v>-135</v>
      </c>
      <c r="N619">
        <f t="shared" si="28"/>
        <v>-38531</v>
      </c>
      <c r="O619" t="str">
        <f t="shared" si="2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27"/>
        <v>3564</v>
      </c>
      <c r="M620">
        <f t="shared" si="27"/>
        <v>-90</v>
      </c>
      <c r="N620">
        <f t="shared" si="28"/>
        <v>-22777</v>
      </c>
      <c r="O620" t="str">
        <f t="shared" si="2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27"/>
        <v>3564</v>
      </c>
      <c r="M621">
        <f t="shared" si="27"/>
        <v>-45</v>
      </c>
      <c r="N621">
        <f t="shared" si="28"/>
        <v>-6894</v>
      </c>
      <c r="O621" t="str">
        <f t="shared" si="2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27"/>
        <v>3564</v>
      </c>
      <c r="M622">
        <f t="shared" si="27"/>
        <v>-9</v>
      </c>
      <c r="N622">
        <f t="shared" si="28"/>
        <v>0</v>
      </c>
      <c r="O622" t="str">
        <f t="shared" si="2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27"/>
        <v>3564</v>
      </c>
      <c r="M623">
        <f t="shared" si="27"/>
        <v>9</v>
      </c>
      <c r="N623">
        <f t="shared" si="28"/>
        <v>13407</v>
      </c>
      <c r="O623" t="str">
        <f t="shared" si="2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27"/>
        <v>3564</v>
      </c>
      <c r="M624">
        <f t="shared" si="27"/>
        <v>45</v>
      </c>
      <c r="N624">
        <f t="shared" si="28"/>
        <v>27509</v>
      </c>
      <c r="O624" t="str">
        <f t="shared" si="2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27"/>
        <v>3564</v>
      </c>
      <c r="M625">
        <f t="shared" si="27"/>
        <v>90</v>
      </c>
      <c r="N625">
        <f t="shared" si="28"/>
        <v>45264</v>
      </c>
      <c r="O625" t="str">
        <f t="shared" si="2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27"/>
        <v>3564</v>
      </c>
      <c r="M626">
        <f t="shared" si="27"/>
        <v>135</v>
      </c>
      <c r="N626">
        <f t="shared" si="28"/>
        <v>63160</v>
      </c>
      <c r="O626" t="str">
        <f t="shared" si="2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27"/>
        <v>3564</v>
      </c>
      <c r="M627">
        <f t="shared" si="27"/>
        <v>180</v>
      </c>
      <c r="N627">
        <f t="shared" si="28"/>
        <v>81196</v>
      </c>
      <c r="O627" t="str">
        <f t="shared" si="2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27"/>
        <v>3564</v>
      </c>
      <c r="M628">
        <f t="shared" si="27"/>
        <v>225</v>
      </c>
      <c r="N628">
        <f t="shared" si="28"/>
        <v>99373</v>
      </c>
      <c r="O628" t="str">
        <f t="shared" si="2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27"/>
        <v>3564</v>
      </c>
      <c r="M629">
        <f t="shared" si="27"/>
        <v>270</v>
      </c>
      <c r="N629">
        <f t="shared" si="28"/>
        <v>117692</v>
      </c>
      <c r="O629" t="str">
        <f t="shared" si="2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27"/>
        <v>3564</v>
      </c>
      <c r="M630">
        <f t="shared" si="27"/>
        <v>315</v>
      </c>
      <c r="N630">
        <f t="shared" si="28"/>
        <v>136151</v>
      </c>
      <c r="O630" t="str">
        <f t="shared" si="2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27"/>
        <v>3564</v>
      </c>
      <c r="M631">
        <f t="shared" si="27"/>
        <v>360</v>
      </c>
      <c r="N631">
        <f t="shared" si="28"/>
        <v>154750</v>
      </c>
      <c r="O631" t="str">
        <f t="shared" si="2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27"/>
        <v>3564</v>
      </c>
      <c r="M632">
        <f t="shared" si="27"/>
        <v>405</v>
      </c>
      <c r="N632">
        <f t="shared" si="28"/>
        <v>173491</v>
      </c>
      <c r="O632" t="str">
        <f t="shared" si="2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27"/>
        <v>3564</v>
      </c>
      <c r="M633">
        <f t="shared" si="27"/>
        <v>450</v>
      </c>
      <c r="N633">
        <f t="shared" si="28"/>
        <v>192372</v>
      </c>
      <c r="O633" t="str">
        <f t="shared" si="2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27"/>
        <v>3564</v>
      </c>
      <c r="M634">
        <f t="shared" si="27"/>
        <v>495</v>
      </c>
      <c r="N634">
        <f t="shared" si="28"/>
        <v>211395</v>
      </c>
      <c r="O634" t="str">
        <f t="shared" si="2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27"/>
        <v>3564</v>
      </c>
      <c r="M635">
        <f t="shared" si="27"/>
        <v>540</v>
      </c>
      <c r="N635">
        <f t="shared" si="28"/>
        <v>230558</v>
      </c>
      <c r="O635" t="str">
        <f t="shared" si="2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27"/>
        <v>3564</v>
      </c>
      <c r="M636">
        <f t="shared" si="27"/>
        <v>585</v>
      </c>
      <c r="N636">
        <f t="shared" si="28"/>
        <v>249862</v>
      </c>
      <c r="O636" t="str">
        <f t="shared" si="2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27"/>
        <v>3564</v>
      </c>
      <c r="M637">
        <f t="shared" si="27"/>
        <v>630</v>
      </c>
      <c r="N637">
        <f t="shared" si="28"/>
        <v>269307</v>
      </c>
      <c r="O637" t="str">
        <f t="shared" si="2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27"/>
        <v>3564</v>
      </c>
      <c r="M638">
        <f t="shared" si="27"/>
        <v>675</v>
      </c>
      <c r="N638">
        <f t="shared" si="28"/>
        <v>288892</v>
      </c>
      <c r="O638" t="str">
        <f t="shared" si="2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27"/>
        <v>3564</v>
      </c>
      <c r="M639">
        <f t="shared" si="27"/>
        <v>720</v>
      </c>
      <c r="N639">
        <f t="shared" si="28"/>
        <v>308619</v>
      </c>
      <c r="O639" t="str">
        <f t="shared" si="2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27"/>
        <v>3564</v>
      </c>
      <c r="M640">
        <f t="shared" si="27"/>
        <v>765</v>
      </c>
      <c r="N640">
        <f t="shared" si="28"/>
        <v>328486</v>
      </c>
      <c r="O640" t="str">
        <f t="shared" si="2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27"/>
        <v>3564</v>
      </c>
      <c r="M641">
        <f t="shared" si="27"/>
        <v>810</v>
      </c>
      <c r="N641">
        <f t="shared" si="28"/>
        <v>348494</v>
      </c>
      <c r="O641" t="str">
        <f t="shared" si="2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27"/>
        <v>3564</v>
      </c>
      <c r="M642">
        <f t="shared" si="27"/>
        <v>855</v>
      </c>
      <c r="N642">
        <f t="shared" si="28"/>
        <v>368643</v>
      </c>
      <c r="O642" t="str">
        <f t="shared" si="2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M706" si="30">A643</f>
        <v>3564</v>
      </c>
      <c r="M643">
        <f t="shared" si="30"/>
        <v>900</v>
      </c>
      <c r="N643">
        <f t="shared" ref="N643:N706" si="31">C643*1000</f>
        <v>388933</v>
      </c>
      <c r="O643" t="str">
        <f t="shared" ref="O643:O706" si="32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30"/>
        <v>3564</v>
      </c>
      <c r="M644">
        <f t="shared" si="30"/>
        <v>945</v>
      </c>
      <c r="N644">
        <f t="shared" si="31"/>
        <v>409364</v>
      </c>
      <c r="O644" t="str">
        <f t="shared" si="32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30"/>
        <v>3564</v>
      </c>
      <c r="M645">
        <f t="shared" si="30"/>
        <v>990</v>
      </c>
      <c r="N645">
        <f t="shared" si="31"/>
        <v>429935</v>
      </c>
      <c r="O645" t="str">
        <f t="shared" si="32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30"/>
        <v>3861</v>
      </c>
      <c r="M646">
        <f t="shared" si="30"/>
        <v>-990</v>
      </c>
      <c r="N646">
        <f t="shared" si="31"/>
        <v>-335857</v>
      </c>
      <c r="O646" t="str">
        <f t="shared" si="32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30"/>
        <v>3861</v>
      </c>
      <c r="M647">
        <f t="shared" si="30"/>
        <v>-945</v>
      </c>
      <c r="N647">
        <f t="shared" si="31"/>
        <v>-321662</v>
      </c>
      <c r="O647" t="str">
        <f t="shared" si="32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30"/>
        <v>3861</v>
      </c>
      <c r="M648">
        <f t="shared" si="30"/>
        <v>-900</v>
      </c>
      <c r="N648">
        <f t="shared" si="31"/>
        <v>-307317</v>
      </c>
      <c r="O648" t="str">
        <f t="shared" si="32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30"/>
        <v>3861</v>
      </c>
      <c r="M649">
        <f t="shared" si="30"/>
        <v>-855</v>
      </c>
      <c r="N649">
        <f t="shared" si="31"/>
        <v>-292822</v>
      </c>
      <c r="O649" t="str">
        <f t="shared" si="32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30"/>
        <v>3861</v>
      </c>
      <c r="M650">
        <f t="shared" si="30"/>
        <v>-810</v>
      </c>
      <c r="N650">
        <f t="shared" si="31"/>
        <v>-278177</v>
      </c>
      <c r="O650" t="str">
        <f t="shared" si="32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30"/>
        <v>3861</v>
      </c>
      <c r="M651">
        <f t="shared" si="30"/>
        <v>-765</v>
      </c>
      <c r="N651">
        <f t="shared" si="31"/>
        <v>-263381</v>
      </c>
      <c r="O651" t="str">
        <f t="shared" si="32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30"/>
        <v>3861</v>
      </c>
      <c r="M652">
        <f t="shared" si="30"/>
        <v>-720</v>
      </c>
      <c r="N652">
        <f t="shared" si="31"/>
        <v>-248436</v>
      </c>
      <c r="O652" t="str">
        <f t="shared" si="32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30"/>
        <v>3861</v>
      </c>
      <c r="M653">
        <f t="shared" si="30"/>
        <v>-675</v>
      </c>
      <c r="N653">
        <f t="shared" si="31"/>
        <v>-233340</v>
      </c>
      <c r="O653" t="str">
        <f t="shared" si="32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30"/>
        <v>3861</v>
      </c>
      <c r="M654">
        <f t="shared" si="30"/>
        <v>-630</v>
      </c>
      <c r="N654">
        <f t="shared" si="31"/>
        <v>-218095</v>
      </c>
      <c r="O654" t="str">
        <f t="shared" si="32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30"/>
        <v>3861</v>
      </c>
      <c r="M655">
        <f t="shared" si="30"/>
        <v>-585</v>
      </c>
      <c r="N655">
        <f t="shared" si="31"/>
        <v>-202699</v>
      </c>
      <c r="O655" t="str">
        <f t="shared" si="32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30"/>
        <v>3861</v>
      </c>
      <c r="M656">
        <f t="shared" si="30"/>
        <v>-540</v>
      </c>
      <c r="N656">
        <f t="shared" si="31"/>
        <v>-187153</v>
      </c>
      <c r="O656" t="str">
        <f t="shared" si="32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30"/>
        <v>3861</v>
      </c>
      <c r="M657">
        <f t="shared" si="30"/>
        <v>-495</v>
      </c>
      <c r="N657">
        <f t="shared" si="31"/>
        <v>-171457</v>
      </c>
      <c r="O657" t="str">
        <f t="shared" si="32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30"/>
        <v>3861</v>
      </c>
      <c r="M658">
        <f t="shared" si="30"/>
        <v>-450</v>
      </c>
      <c r="N658">
        <f t="shared" si="31"/>
        <v>-155612</v>
      </c>
      <c r="O658" t="str">
        <f t="shared" si="32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30"/>
        <v>3861</v>
      </c>
      <c r="M659">
        <f t="shared" si="30"/>
        <v>-405</v>
      </c>
      <c r="N659">
        <f t="shared" si="31"/>
        <v>-139616</v>
      </c>
      <c r="O659" t="str">
        <f t="shared" si="32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30"/>
        <v>3861</v>
      </c>
      <c r="M660">
        <f t="shared" si="30"/>
        <v>-360</v>
      </c>
      <c r="N660">
        <f t="shared" si="31"/>
        <v>-123470</v>
      </c>
      <c r="O660" t="str">
        <f t="shared" si="32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30"/>
        <v>3861</v>
      </c>
      <c r="M661">
        <f t="shared" si="30"/>
        <v>-315</v>
      </c>
      <c r="N661">
        <f t="shared" si="31"/>
        <v>-107173</v>
      </c>
      <c r="O661" t="str">
        <f t="shared" si="32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30"/>
        <v>3861</v>
      </c>
      <c r="M662">
        <f t="shared" si="30"/>
        <v>-270</v>
      </c>
      <c r="N662">
        <f t="shared" si="31"/>
        <v>-90727</v>
      </c>
      <c r="O662" t="str">
        <f t="shared" si="32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30"/>
        <v>3861</v>
      </c>
      <c r="M663">
        <f t="shared" si="30"/>
        <v>-225</v>
      </c>
      <c r="N663">
        <f t="shared" si="31"/>
        <v>-74131</v>
      </c>
      <c r="O663" t="str">
        <f t="shared" si="32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30"/>
        <v>3861</v>
      </c>
      <c r="M664">
        <f t="shared" si="30"/>
        <v>-180</v>
      </c>
      <c r="N664">
        <f t="shared" si="31"/>
        <v>-57384</v>
      </c>
      <c r="O664" t="str">
        <f t="shared" si="32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30"/>
        <v>3861</v>
      </c>
      <c r="M665">
        <f t="shared" si="30"/>
        <v>-135</v>
      </c>
      <c r="N665">
        <f t="shared" si="31"/>
        <v>-40488</v>
      </c>
      <c r="O665" t="str">
        <f t="shared" si="32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30"/>
        <v>3861</v>
      </c>
      <c r="M666">
        <f t="shared" si="30"/>
        <v>-90</v>
      </c>
      <c r="N666">
        <f t="shared" si="31"/>
        <v>-23441</v>
      </c>
      <c r="O666" t="str">
        <f t="shared" si="32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30"/>
        <v>3861</v>
      </c>
      <c r="M667">
        <f t="shared" si="30"/>
        <v>-45</v>
      </c>
      <c r="N667">
        <f t="shared" si="31"/>
        <v>-6245</v>
      </c>
      <c r="O667" t="str">
        <f t="shared" si="32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30"/>
        <v>3861</v>
      </c>
      <c r="M668">
        <f t="shared" si="30"/>
        <v>-9</v>
      </c>
      <c r="N668">
        <f t="shared" si="31"/>
        <v>0</v>
      </c>
      <c r="O668" t="str">
        <f t="shared" si="32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30"/>
        <v>3861</v>
      </c>
      <c r="M669">
        <f t="shared" si="30"/>
        <v>9</v>
      </c>
      <c r="N669">
        <f t="shared" si="31"/>
        <v>15850</v>
      </c>
      <c r="O669" t="str">
        <f t="shared" si="32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30"/>
        <v>3861</v>
      </c>
      <c r="M670">
        <f t="shared" si="30"/>
        <v>45</v>
      </c>
      <c r="N670">
        <f t="shared" si="31"/>
        <v>31129</v>
      </c>
      <c r="O670" t="str">
        <f t="shared" si="32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30"/>
        <v>3861</v>
      </c>
      <c r="M671">
        <f t="shared" si="30"/>
        <v>90</v>
      </c>
      <c r="N671">
        <f t="shared" si="31"/>
        <v>50375</v>
      </c>
      <c r="O671" t="str">
        <f t="shared" si="32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30"/>
        <v>3861</v>
      </c>
      <c r="M672">
        <f t="shared" si="30"/>
        <v>135</v>
      </c>
      <c r="N672">
        <f t="shared" si="31"/>
        <v>69784</v>
      </c>
      <c r="O672" t="str">
        <f t="shared" si="32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30"/>
        <v>3861</v>
      </c>
      <c r="M673">
        <f t="shared" si="30"/>
        <v>180</v>
      </c>
      <c r="N673">
        <f t="shared" si="31"/>
        <v>89355</v>
      </c>
      <c r="O673" t="str">
        <f t="shared" si="32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30"/>
        <v>3861</v>
      </c>
      <c r="M674">
        <f t="shared" si="30"/>
        <v>225</v>
      </c>
      <c r="N674">
        <f t="shared" si="31"/>
        <v>109089</v>
      </c>
      <c r="O674" t="str">
        <f t="shared" si="32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30"/>
        <v>3861</v>
      </c>
      <c r="M675">
        <f t="shared" si="30"/>
        <v>270</v>
      </c>
      <c r="N675">
        <f t="shared" si="31"/>
        <v>128985.99999999999</v>
      </c>
      <c r="O675" t="str">
        <f t="shared" si="32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30"/>
        <v>3861</v>
      </c>
      <c r="M676">
        <f t="shared" si="30"/>
        <v>315</v>
      </c>
      <c r="N676">
        <f t="shared" si="31"/>
        <v>149046</v>
      </c>
      <c r="O676" t="str">
        <f t="shared" si="32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30"/>
        <v>3861</v>
      </c>
      <c r="M677">
        <f t="shared" si="30"/>
        <v>360</v>
      </c>
      <c r="N677">
        <f t="shared" si="31"/>
        <v>169269</v>
      </c>
      <c r="O677" t="str">
        <f t="shared" si="32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30"/>
        <v>3861</v>
      </c>
      <c r="M678">
        <f t="shared" si="30"/>
        <v>405</v>
      </c>
      <c r="N678">
        <f t="shared" si="31"/>
        <v>189655</v>
      </c>
      <c r="O678" t="str">
        <f t="shared" si="32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30"/>
        <v>3861</v>
      </c>
      <c r="M679">
        <f t="shared" si="30"/>
        <v>450</v>
      </c>
      <c r="N679">
        <f t="shared" si="31"/>
        <v>210203</v>
      </c>
      <c r="O679" t="str">
        <f t="shared" si="32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30"/>
        <v>3861</v>
      </c>
      <c r="M680">
        <f t="shared" si="30"/>
        <v>495</v>
      </c>
      <c r="N680">
        <f t="shared" si="31"/>
        <v>230915</v>
      </c>
      <c r="O680" t="str">
        <f t="shared" si="32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30"/>
        <v>3861</v>
      </c>
      <c r="M681">
        <f t="shared" si="30"/>
        <v>540</v>
      </c>
      <c r="N681">
        <f t="shared" si="31"/>
        <v>251789</v>
      </c>
      <c r="O681" t="str">
        <f t="shared" si="32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30"/>
        <v>3861</v>
      </c>
      <c r="M682">
        <f t="shared" si="30"/>
        <v>585</v>
      </c>
      <c r="N682">
        <f t="shared" si="31"/>
        <v>272826</v>
      </c>
      <c r="O682" t="str">
        <f t="shared" si="32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30"/>
        <v>3861</v>
      </c>
      <c r="M683">
        <f t="shared" si="30"/>
        <v>630</v>
      </c>
      <c r="N683">
        <f t="shared" si="31"/>
        <v>294026</v>
      </c>
      <c r="O683" t="str">
        <f t="shared" si="32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30"/>
        <v>3861</v>
      </c>
      <c r="M684">
        <f t="shared" si="30"/>
        <v>675</v>
      </c>
      <c r="N684">
        <f t="shared" si="31"/>
        <v>315389</v>
      </c>
      <c r="O684" t="str">
        <f t="shared" si="32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30"/>
        <v>3861</v>
      </c>
      <c r="M685">
        <f t="shared" si="30"/>
        <v>720</v>
      </c>
      <c r="N685">
        <f t="shared" si="31"/>
        <v>336914</v>
      </c>
      <c r="O685" t="str">
        <f t="shared" si="32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30"/>
        <v>3861</v>
      </c>
      <c r="M686">
        <f t="shared" si="30"/>
        <v>765</v>
      </c>
      <c r="N686">
        <f t="shared" si="31"/>
        <v>358603</v>
      </c>
      <c r="O686" t="str">
        <f t="shared" si="32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30"/>
        <v>3861</v>
      </c>
      <c r="M687">
        <f t="shared" si="30"/>
        <v>810</v>
      </c>
      <c r="N687">
        <f t="shared" si="31"/>
        <v>380454</v>
      </c>
      <c r="O687" t="str">
        <f t="shared" si="32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30"/>
        <v>3861</v>
      </c>
      <c r="M688">
        <f t="shared" si="30"/>
        <v>855</v>
      </c>
      <c r="N688">
        <f t="shared" si="31"/>
        <v>402468</v>
      </c>
      <c r="O688" t="str">
        <f t="shared" si="32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30"/>
        <v>3861</v>
      </c>
      <c r="M689">
        <f t="shared" si="30"/>
        <v>900</v>
      </c>
      <c r="N689">
        <f t="shared" si="31"/>
        <v>424645</v>
      </c>
      <c r="O689" t="str">
        <f t="shared" si="32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30"/>
        <v>3861</v>
      </c>
      <c r="M690">
        <f t="shared" si="30"/>
        <v>945</v>
      </c>
      <c r="N690">
        <f t="shared" si="31"/>
        <v>446985</v>
      </c>
      <c r="O690" t="str">
        <f t="shared" si="32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30"/>
        <v>3861</v>
      </c>
      <c r="M691">
        <f t="shared" si="30"/>
        <v>990</v>
      </c>
      <c r="N691">
        <f t="shared" si="31"/>
        <v>469488</v>
      </c>
      <c r="O691" t="str">
        <f t="shared" si="32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30"/>
        <v>4158</v>
      </c>
      <c r="M692">
        <f t="shared" si="30"/>
        <v>-990</v>
      </c>
      <c r="N692">
        <f t="shared" si="31"/>
        <v>-357855</v>
      </c>
      <c r="O692" t="str">
        <f t="shared" si="32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30"/>
        <v>4158</v>
      </c>
      <c r="M693">
        <f t="shared" si="30"/>
        <v>-945</v>
      </c>
      <c r="N693">
        <f t="shared" si="31"/>
        <v>-342788</v>
      </c>
      <c r="O693" t="str">
        <f t="shared" si="32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30"/>
        <v>4158</v>
      </c>
      <c r="M694">
        <f t="shared" si="30"/>
        <v>-900</v>
      </c>
      <c r="N694">
        <f t="shared" si="31"/>
        <v>-327548</v>
      </c>
      <c r="O694" t="str">
        <f t="shared" si="32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30"/>
        <v>4158</v>
      </c>
      <c r="M695">
        <f t="shared" si="30"/>
        <v>-855</v>
      </c>
      <c r="N695">
        <f t="shared" si="31"/>
        <v>-312136</v>
      </c>
      <c r="O695" t="str">
        <f t="shared" si="32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30"/>
        <v>4158</v>
      </c>
      <c r="M696">
        <f t="shared" si="30"/>
        <v>-810</v>
      </c>
      <c r="N696">
        <f t="shared" si="31"/>
        <v>-296552</v>
      </c>
      <c r="O696" t="str">
        <f t="shared" si="32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30"/>
        <v>4158</v>
      </c>
      <c r="M697">
        <f t="shared" si="30"/>
        <v>-765</v>
      </c>
      <c r="N697">
        <f t="shared" si="31"/>
        <v>-280797</v>
      </c>
      <c r="O697" t="str">
        <f t="shared" si="32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30"/>
        <v>4158</v>
      </c>
      <c r="M698">
        <f t="shared" si="30"/>
        <v>-720</v>
      </c>
      <c r="N698">
        <f t="shared" si="31"/>
        <v>-264869</v>
      </c>
      <c r="O698" t="str">
        <f t="shared" si="32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30"/>
        <v>4158</v>
      </c>
      <c r="M699">
        <f t="shared" si="30"/>
        <v>-675</v>
      </c>
      <c r="N699">
        <f t="shared" si="31"/>
        <v>-248769</v>
      </c>
      <c r="O699" t="str">
        <f t="shared" si="32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30"/>
        <v>4158</v>
      </c>
      <c r="M700">
        <f t="shared" si="30"/>
        <v>-630</v>
      </c>
      <c r="N700">
        <f t="shared" si="31"/>
        <v>-232498</v>
      </c>
      <c r="O700" t="str">
        <f t="shared" si="32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30"/>
        <v>4158</v>
      </c>
      <c r="M701">
        <f t="shared" si="30"/>
        <v>-585</v>
      </c>
      <c r="N701">
        <f t="shared" si="31"/>
        <v>-216054</v>
      </c>
      <c r="O701" t="str">
        <f t="shared" si="32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30"/>
        <v>4158</v>
      </c>
      <c r="M702">
        <f t="shared" si="30"/>
        <v>-540</v>
      </c>
      <c r="N702">
        <f t="shared" si="31"/>
        <v>-199439</v>
      </c>
      <c r="O702" t="str">
        <f t="shared" si="32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30"/>
        <v>4158</v>
      </c>
      <c r="M703">
        <f t="shared" si="30"/>
        <v>-495</v>
      </c>
      <c r="N703">
        <f t="shared" si="31"/>
        <v>-182651</v>
      </c>
      <c r="O703" t="str">
        <f t="shared" si="32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30"/>
        <v>4158</v>
      </c>
      <c r="M704">
        <f t="shared" si="30"/>
        <v>-450</v>
      </c>
      <c r="N704">
        <f t="shared" si="31"/>
        <v>-165691</v>
      </c>
      <c r="O704" t="str">
        <f t="shared" si="32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30"/>
        <v>4158</v>
      </c>
      <c r="M705">
        <f t="shared" si="30"/>
        <v>-405</v>
      </c>
      <c r="N705">
        <f t="shared" si="31"/>
        <v>-148560</v>
      </c>
      <c r="O705" t="str">
        <f t="shared" si="32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30"/>
        <v>4158</v>
      </c>
      <c r="M706">
        <f t="shared" si="30"/>
        <v>-360</v>
      </c>
      <c r="N706">
        <f t="shared" si="31"/>
        <v>-131256</v>
      </c>
      <c r="O706" t="str">
        <f t="shared" si="32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M770" si="33">A707</f>
        <v>4158</v>
      </c>
      <c r="M707">
        <f t="shared" si="33"/>
        <v>-315</v>
      </c>
      <c r="N707">
        <f t="shared" ref="N707:N770" si="34">C707*1000</f>
        <v>-113781</v>
      </c>
      <c r="O707" t="str">
        <f t="shared" ref="O707:O770" si="35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33"/>
        <v>4158</v>
      </c>
      <c r="M708">
        <f t="shared" si="33"/>
        <v>-270</v>
      </c>
      <c r="N708">
        <f t="shared" si="34"/>
        <v>-96134</v>
      </c>
      <c r="O708" t="str">
        <f t="shared" si="35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33"/>
        <v>4158</v>
      </c>
      <c r="M709">
        <f t="shared" si="33"/>
        <v>-225</v>
      </c>
      <c r="N709">
        <f t="shared" si="34"/>
        <v>-78314</v>
      </c>
      <c r="O709" t="str">
        <f t="shared" si="35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33"/>
        <v>4158</v>
      </c>
      <c r="M710">
        <f t="shared" si="33"/>
        <v>-180</v>
      </c>
      <c r="N710">
        <f t="shared" si="34"/>
        <v>-60323</v>
      </c>
      <c r="O710" t="str">
        <f t="shared" si="35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33"/>
        <v>4158</v>
      </c>
      <c r="M711">
        <f t="shared" si="33"/>
        <v>-135</v>
      </c>
      <c r="N711">
        <f t="shared" si="34"/>
        <v>-42159</v>
      </c>
      <c r="O711" t="str">
        <f t="shared" si="35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33"/>
        <v>4158</v>
      </c>
      <c r="M712">
        <f t="shared" si="33"/>
        <v>-90</v>
      </c>
      <c r="N712">
        <f t="shared" si="34"/>
        <v>-23824</v>
      </c>
      <c r="O712" t="str">
        <f t="shared" si="35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33"/>
        <v>4158</v>
      </c>
      <c r="M713">
        <f t="shared" si="33"/>
        <v>-45</v>
      </c>
      <c r="N713">
        <f t="shared" si="34"/>
        <v>-5316</v>
      </c>
      <c r="O713" t="str">
        <f t="shared" si="35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33"/>
        <v>4158</v>
      </c>
      <c r="M714">
        <f t="shared" si="33"/>
        <v>-9</v>
      </c>
      <c r="N714">
        <f t="shared" si="34"/>
        <v>0</v>
      </c>
      <c r="O714" t="str">
        <f t="shared" si="35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33"/>
        <v>4158</v>
      </c>
      <c r="M715">
        <f t="shared" si="33"/>
        <v>9</v>
      </c>
      <c r="N715">
        <f t="shared" si="34"/>
        <v>18595</v>
      </c>
      <c r="O715" t="str">
        <f t="shared" si="35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33"/>
        <v>4158</v>
      </c>
      <c r="M716">
        <f t="shared" si="33"/>
        <v>45</v>
      </c>
      <c r="N716">
        <f t="shared" si="34"/>
        <v>35052</v>
      </c>
      <c r="O716" t="str">
        <f t="shared" si="35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33"/>
        <v>4158</v>
      </c>
      <c r="M717">
        <f t="shared" si="33"/>
        <v>90</v>
      </c>
      <c r="N717">
        <f t="shared" si="34"/>
        <v>55792</v>
      </c>
      <c r="O717" t="str">
        <f t="shared" si="35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33"/>
        <v>4158</v>
      </c>
      <c r="M718">
        <f t="shared" si="33"/>
        <v>135</v>
      </c>
      <c r="N718">
        <f t="shared" si="34"/>
        <v>76718</v>
      </c>
      <c r="O718" t="str">
        <f t="shared" si="35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33"/>
        <v>4158</v>
      </c>
      <c r="M719">
        <f t="shared" si="33"/>
        <v>180</v>
      </c>
      <c r="N719">
        <f t="shared" si="34"/>
        <v>97830</v>
      </c>
      <c r="O719" t="str">
        <f t="shared" si="35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33"/>
        <v>4158</v>
      </c>
      <c r="M720">
        <f t="shared" si="33"/>
        <v>225</v>
      </c>
      <c r="N720">
        <f t="shared" si="34"/>
        <v>119129</v>
      </c>
      <c r="O720" t="str">
        <f t="shared" si="35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33"/>
        <v>4158</v>
      </c>
      <c r="M721">
        <f t="shared" si="33"/>
        <v>270</v>
      </c>
      <c r="N721">
        <f t="shared" si="34"/>
        <v>140615</v>
      </c>
      <c r="O721" t="str">
        <f t="shared" si="35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33"/>
        <v>4158</v>
      </c>
      <c r="M722">
        <f t="shared" si="33"/>
        <v>315</v>
      </c>
      <c r="N722">
        <f t="shared" si="34"/>
        <v>162287</v>
      </c>
      <c r="O722" t="str">
        <f t="shared" si="35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33"/>
        <v>4158</v>
      </c>
      <c r="M723">
        <f t="shared" si="33"/>
        <v>360</v>
      </c>
      <c r="N723">
        <f t="shared" si="34"/>
        <v>184146</v>
      </c>
      <c r="O723" t="str">
        <f t="shared" si="35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33"/>
        <v>4158</v>
      </c>
      <c r="M724">
        <f t="shared" si="33"/>
        <v>405</v>
      </c>
      <c r="N724">
        <f t="shared" si="34"/>
        <v>206192</v>
      </c>
      <c r="O724" t="str">
        <f t="shared" si="35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33"/>
        <v>4158</v>
      </c>
      <c r="M725">
        <f t="shared" si="33"/>
        <v>450</v>
      </c>
      <c r="N725">
        <f t="shared" si="34"/>
        <v>228424</v>
      </c>
      <c r="O725" t="str">
        <f t="shared" si="35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33"/>
        <v>4158</v>
      </c>
      <c r="M726">
        <f t="shared" si="33"/>
        <v>495</v>
      </c>
      <c r="N726">
        <f t="shared" si="34"/>
        <v>250843</v>
      </c>
      <c r="O726" t="str">
        <f t="shared" si="35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33"/>
        <v>4158</v>
      </c>
      <c r="M727">
        <f t="shared" si="33"/>
        <v>540</v>
      </c>
      <c r="N727">
        <f t="shared" si="34"/>
        <v>273448</v>
      </c>
      <c r="O727" t="str">
        <f t="shared" si="35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33"/>
        <v>4158</v>
      </c>
      <c r="M728">
        <f t="shared" si="33"/>
        <v>585</v>
      </c>
      <c r="N728">
        <f t="shared" si="34"/>
        <v>296240</v>
      </c>
      <c r="O728" t="str">
        <f t="shared" si="35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33"/>
        <v>4158</v>
      </c>
      <c r="M729">
        <f t="shared" si="33"/>
        <v>630</v>
      </c>
      <c r="N729">
        <f t="shared" si="34"/>
        <v>319219</v>
      </c>
      <c r="O729" t="str">
        <f t="shared" si="35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33"/>
        <v>4158</v>
      </c>
      <c r="M730">
        <f t="shared" si="33"/>
        <v>675</v>
      </c>
      <c r="N730">
        <f t="shared" si="34"/>
        <v>342384</v>
      </c>
      <c r="O730" t="str">
        <f t="shared" si="35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33"/>
        <v>4158</v>
      </c>
      <c r="M731">
        <f t="shared" si="33"/>
        <v>720</v>
      </c>
      <c r="N731">
        <f t="shared" si="34"/>
        <v>365736</v>
      </c>
      <c r="O731" t="str">
        <f t="shared" si="35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33"/>
        <v>4158</v>
      </c>
      <c r="M732">
        <f t="shared" si="33"/>
        <v>765</v>
      </c>
      <c r="N732">
        <f t="shared" si="34"/>
        <v>389274</v>
      </c>
      <c r="O732" t="str">
        <f t="shared" si="35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33"/>
        <v>4158</v>
      </c>
      <c r="M733">
        <f t="shared" si="33"/>
        <v>810</v>
      </c>
      <c r="N733">
        <f t="shared" si="34"/>
        <v>412999</v>
      </c>
      <c r="O733" t="str">
        <f t="shared" si="35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33"/>
        <v>4158</v>
      </c>
      <c r="M734">
        <f t="shared" si="33"/>
        <v>855</v>
      </c>
      <c r="N734">
        <f t="shared" si="34"/>
        <v>436911</v>
      </c>
      <c r="O734" t="str">
        <f t="shared" si="35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33"/>
        <v>4158</v>
      </c>
      <c r="M735">
        <f t="shared" si="33"/>
        <v>900</v>
      </c>
      <c r="N735">
        <f t="shared" si="34"/>
        <v>461009</v>
      </c>
      <c r="O735" t="str">
        <f t="shared" si="35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33"/>
        <v>4158</v>
      </c>
      <c r="M736">
        <f t="shared" si="33"/>
        <v>945</v>
      </c>
      <c r="N736">
        <f t="shared" si="34"/>
        <v>485294</v>
      </c>
      <c r="O736" t="str">
        <f t="shared" si="35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33"/>
        <v>4158</v>
      </c>
      <c r="M737">
        <f t="shared" si="33"/>
        <v>990</v>
      </c>
      <c r="N737">
        <f t="shared" si="34"/>
        <v>509766</v>
      </c>
      <c r="O737" t="str">
        <f t="shared" si="35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33"/>
        <v>4455</v>
      </c>
      <c r="M738">
        <f t="shared" si="33"/>
        <v>-990</v>
      </c>
      <c r="N738">
        <f t="shared" si="34"/>
        <v>-379166</v>
      </c>
      <c r="O738" t="str">
        <f t="shared" si="35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33"/>
        <v>4455</v>
      </c>
      <c r="M739">
        <f t="shared" si="33"/>
        <v>-945</v>
      </c>
      <c r="N739">
        <f t="shared" si="34"/>
        <v>-363260</v>
      </c>
      <c r="O739" t="str">
        <f t="shared" si="35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33"/>
        <v>4455</v>
      </c>
      <c r="M740">
        <f t="shared" si="33"/>
        <v>-900</v>
      </c>
      <c r="N740">
        <f t="shared" si="34"/>
        <v>-347158</v>
      </c>
      <c r="O740" t="str">
        <f t="shared" si="35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33"/>
        <v>4455</v>
      </c>
      <c r="M741">
        <f t="shared" si="33"/>
        <v>-855</v>
      </c>
      <c r="N741">
        <f t="shared" si="34"/>
        <v>-330862</v>
      </c>
      <c r="O741" t="str">
        <f t="shared" si="35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33"/>
        <v>4455</v>
      </c>
      <c r="M742">
        <f t="shared" si="33"/>
        <v>-810</v>
      </c>
      <c r="N742">
        <f t="shared" si="34"/>
        <v>-314369</v>
      </c>
      <c r="O742" t="str">
        <f t="shared" si="35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33"/>
        <v>4455</v>
      </c>
      <c r="M743">
        <f t="shared" si="33"/>
        <v>-765</v>
      </c>
      <c r="N743">
        <f t="shared" si="34"/>
        <v>-297681</v>
      </c>
      <c r="O743" t="str">
        <f t="shared" si="35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33"/>
        <v>4455</v>
      </c>
      <c r="M744">
        <f t="shared" si="33"/>
        <v>-720</v>
      </c>
      <c r="N744">
        <f t="shared" si="34"/>
        <v>-280798</v>
      </c>
      <c r="O744" t="str">
        <f t="shared" si="35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33"/>
        <v>4455</v>
      </c>
      <c r="M745">
        <f t="shared" si="33"/>
        <v>-675</v>
      </c>
      <c r="N745">
        <f t="shared" si="34"/>
        <v>-263719</v>
      </c>
      <c r="O745" t="str">
        <f t="shared" si="35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33"/>
        <v>4455</v>
      </c>
      <c r="M746">
        <f t="shared" si="33"/>
        <v>-630</v>
      </c>
      <c r="N746">
        <f t="shared" si="34"/>
        <v>-246445</v>
      </c>
      <c r="O746" t="str">
        <f t="shared" si="35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33"/>
        <v>4455</v>
      </c>
      <c r="M747">
        <f t="shared" si="33"/>
        <v>-585</v>
      </c>
      <c r="N747">
        <f t="shared" si="34"/>
        <v>-228975</v>
      </c>
      <c r="O747" t="str">
        <f t="shared" si="35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33"/>
        <v>4455</v>
      </c>
      <c r="M748">
        <f t="shared" si="33"/>
        <v>-540</v>
      </c>
      <c r="N748">
        <f t="shared" si="34"/>
        <v>-211310</v>
      </c>
      <c r="O748" t="str">
        <f t="shared" si="35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33"/>
        <v>4455</v>
      </c>
      <c r="M749">
        <f t="shared" si="33"/>
        <v>-495</v>
      </c>
      <c r="N749">
        <f t="shared" si="34"/>
        <v>-193449</v>
      </c>
      <c r="O749" t="str">
        <f t="shared" si="35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33"/>
        <v>4455</v>
      </c>
      <c r="M750">
        <f t="shared" si="33"/>
        <v>-450</v>
      </c>
      <c r="N750">
        <f t="shared" si="34"/>
        <v>-175393</v>
      </c>
      <c r="O750" t="str">
        <f t="shared" si="35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33"/>
        <v>4455</v>
      </c>
      <c r="M751">
        <f t="shared" si="33"/>
        <v>-405</v>
      </c>
      <c r="N751">
        <f t="shared" si="34"/>
        <v>-157141</v>
      </c>
      <c r="O751" t="str">
        <f t="shared" si="35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33"/>
        <v>4455</v>
      </c>
      <c r="M752">
        <f t="shared" si="33"/>
        <v>-360</v>
      </c>
      <c r="N752">
        <f t="shared" si="34"/>
        <v>-138694</v>
      </c>
      <c r="O752" t="str">
        <f t="shared" si="35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33"/>
        <v>4455</v>
      </c>
      <c r="M753">
        <f t="shared" si="33"/>
        <v>-315</v>
      </c>
      <c r="N753">
        <f t="shared" si="34"/>
        <v>-120051</v>
      </c>
      <c r="O753" t="str">
        <f t="shared" si="35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33"/>
        <v>4455</v>
      </c>
      <c r="M754">
        <f t="shared" si="33"/>
        <v>-270</v>
      </c>
      <c r="N754">
        <f t="shared" si="34"/>
        <v>-101213</v>
      </c>
      <c r="O754" t="str">
        <f t="shared" si="35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33"/>
        <v>4455</v>
      </c>
      <c r="M755">
        <f t="shared" si="33"/>
        <v>-225</v>
      </c>
      <c r="N755">
        <f t="shared" si="34"/>
        <v>-82179</v>
      </c>
      <c r="O755" t="str">
        <f t="shared" si="35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33"/>
        <v>4455</v>
      </c>
      <c r="M756">
        <f t="shared" si="33"/>
        <v>-180</v>
      </c>
      <c r="N756">
        <f t="shared" si="34"/>
        <v>-62950</v>
      </c>
      <c r="O756" t="str">
        <f t="shared" si="35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33"/>
        <v>4455</v>
      </c>
      <c r="M757">
        <f t="shared" si="33"/>
        <v>-135</v>
      </c>
      <c r="N757">
        <f t="shared" si="34"/>
        <v>-43525</v>
      </c>
      <c r="O757" t="str">
        <f t="shared" si="35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33"/>
        <v>4455</v>
      </c>
      <c r="M758">
        <f t="shared" si="33"/>
        <v>-90</v>
      </c>
      <c r="N758">
        <f t="shared" si="34"/>
        <v>-23905</v>
      </c>
      <c r="O758" t="str">
        <f t="shared" si="35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33"/>
        <v>4455</v>
      </c>
      <c r="M759">
        <f t="shared" si="33"/>
        <v>-45</v>
      </c>
      <c r="N759">
        <f t="shared" si="34"/>
        <v>-4090</v>
      </c>
      <c r="O759" t="str">
        <f t="shared" si="35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33"/>
        <v>4455</v>
      </c>
      <c r="M760">
        <f t="shared" si="33"/>
        <v>-9</v>
      </c>
      <c r="N760">
        <f t="shared" si="34"/>
        <v>0</v>
      </c>
      <c r="O760" t="str">
        <f t="shared" si="35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33"/>
        <v>4455</v>
      </c>
      <c r="M761">
        <f t="shared" si="33"/>
        <v>9</v>
      </c>
      <c r="N761">
        <f t="shared" si="34"/>
        <v>21664</v>
      </c>
      <c r="O761" t="str">
        <f t="shared" si="35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33"/>
        <v>4455</v>
      </c>
      <c r="M762">
        <f t="shared" si="33"/>
        <v>45</v>
      </c>
      <c r="N762">
        <f t="shared" si="34"/>
        <v>39299</v>
      </c>
      <c r="O762" t="str">
        <f t="shared" si="35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33"/>
        <v>4455</v>
      </c>
      <c r="M763">
        <f t="shared" si="33"/>
        <v>90</v>
      </c>
      <c r="N763">
        <f t="shared" si="34"/>
        <v>61535</v>
      </c>
      <c r="O763" t="str">
        <f t="shared" si="35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33"/>
        <v>4455</v>
      </c>
      <c r="M764">
        <f t="shared" si="33"/>
        <v>135</v>
      </c>
      <c r="N764">
        <f t="shared" si="34"/>
        <v>83982</v>
      </c>
      <c r="O764" t="str">
        <f t="shared" si="35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33"/>
        <v>4455</v>
      </c>
      <c r="M765">
        <f t="shared" si="33"/>
        <v>180</v>
      </c>
      <c r="N765">
        <f t="shared" si="34"/>
        <v>106642</v>
      </c>
      <c r="O765" t="str">
        <f t="shared" si="35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33"/>
        <v>4455</v>
      </c>
      <c r="M766">
        <f t="shared" si="33"/>
        <v>225</v>
      </c>
      <c r="N766">
        <f t="shared" si="34"/>
        <v>129514.00000000001</v>
      </c>
      <c r="O766" t="str">
        <f t="shared" si="35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33"/>
        <v>4455</v>
      </c>
      <c r="M767">
        <f t="shared" si="33"/>
        <v>270</v>
      </c>
      <c r="N767">
        <f t="shared" si="34"/>
        <v>152598</v>
      </c>
      <c r="O767" t="str">
        <f t="shared" si="35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33"/>
        <v>4455</v>
      </c>
      <c r="M768">
        <f t="shared" si="33"/>
        <v>315</v>
      </c>
      <c r="N768">
        <f t="shared" si="34"/>
        <v>175894</v>
      </c>
      <c r="O768" t="str">
        <f t="shared" si="35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33"/>
        <v>4455</v>
      </c>
      <c r="M769">
        <f t="shared" si="33"/>
        <v>360</v>
      </c>
      <c r="N769">
        <f t="shared" si="34"/>
        <v>199402</v>
      </c>
      <c r="O769" t="str">
        <f t="shared" si="35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33"/>
        <v>4455</v>
      </c>
      <c r="M770">
        <f t="shared" si="33"/>
        <v>405</v>
      </c>
      <c r="N770">
        <f t="shared" si="34"/>
        <v>223122</v>
      </c>
      <c r="O770" t="str">
        <f t="shared" si="35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M834" si="36">A771</f>
        <v>4455</v>
      </c>
      <c r="M771">
        <f t="shared" si="36"/>
        <v>450</v>
      </c>
      <c r="N771">
        <f t="shared" ref="N771:N834" si="37">C771*1000</f>
        <v>247055</v>
      </c>
      <c r="O771" t="str">
        <f t="shared" ref="O771:O834" si="38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36"/>
        <v>4455</v>
      </c>
      <c r="M772">
        <f t="shared" si="36"/>
        <v>495</v>
      </c>
      <c r="N772">
        <f t="shared" si="37"/>
        <v>271200</v>
      </c>
      <c r="O772" t="str">
        <f t="shared" si="38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36"/>
        <v>4455</v>
      </c>
      <c r="M773">
        <f t="shared" si="36"/>
        <v>540</v>
      </c>
      <c r="N773">
        <f t="shared" si="37"/>
        <v>295556</v>
      </c>
      <c r="O773" t="str">
        <f t="shared" si="38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36"/>
        <v>4455</v>
      </c>
      <c r="M774">
        <f t="shared" si="36"/>
        <v>585</v>
      </c>
      <c r="N774">
        <f t="shared" si="37"/>
        <v>320125</v>
      </c>
      <c r="O774" t="str">
        <f t="shared" si="38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36"/>
        <v>4455</v>
      </c>
      <c r="M775">
        <f t="shared" si="36"/>
        <v>630</v>
      </c>
      <c r="N775">
        <f t="shared" si="37"/>
        <v>344906</v>
      </c>
      <c r="O775" t="str">
        <f t="shared" si="38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36"/>
        <v>4455</v>
      </c>
      <c r="M776">
        <f t="shared" si="36"/>
        <v>675</v>
      </c>
      <c r="N776">
        <f t="shared" si="37"/>
        <v>369899</v>
      </c>
      <c r="O776" t="str">
        <f t="shared" si="38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36"/>
        <v>4455</v>
      </c>
      <c r="M777">
        <f t="shared" si="36"/>
        <v>720</v>
      </c>
      <c r="N777">
        <f t="shared" si="37"/>
        <v>395104</v>
      </c>
      <c r="O777" t="str">
        <f t="shared" si="38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36"/>
        <v>4455</v>
      </c>
      <c r="M778">
        <f t="shared" si="36"/>
        <v>765</v>
      </c>
      <c r="N778">
        <f t="shared" si="37"/>
        <v>420522</v>
      </c>
      <c r="O778" t="str">
        <f t="shared" si="38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36"/>
        <v>4455</v>
      </c>
      <c r="M779">
        <f t="shared" si="36"/>
        <v>810</v>
      </c>
      <c r="N779">
        <f t="shared" si="37"/>
        <v>446151</v>
      </c>
      <c r="O779" t="str">
        <f t="shared" si="38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36"/>
        <v>4455</v>
      </c>
      <c r="M780">
        <f t="shared" si="36"/>
        <v>855</v>
      </c>
      <c r="N780">
        <f t="shared" si="37"/>
        <v>471993</v>
      </c>
      <c r="O780" t="str">
        <f t="shared" si="38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36"/>
        <v>4455</v>
      </c>
      <c r="M781">
        <f t="shared" si="36"/>
        <v>900</v>
      </c>
      <c r="N781">
        <f t="shared" si="37"/>
        <v>498046</v>
      </c>
      <c r="O781" t="str">
        <f t="shared" si="38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36"/>
        <v>4455</v>
      </c>
      <c r="M782">
        <f t="shared" si="36"/>
        <v>945</v>
      </c>
      <c r="N782">
        <f t="shared" si="37"/>
        <v>524312</v>
      </c>
      <c r="O782" t="str">
        <f t="shared" si="38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36"/>
        <v>4455</v>
      </c>
      <c r="M783">
        <f t="shared" si="36"/>
        <v>990</v>
      </c>
      <c r="N783">
        <f t="shared" si="37"/>
        <v>550790</v>
      </c>
      <c r="O783" t="str">
        <f t="shared" si="38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36"/>
        <v>4752</v>
      </c>
      <c r="M784">
        <f t="shared" si="36"/>
        <v>-990</v>
      </c>
      <c r="N784">
        <f t="shared" si="37"/>
        <v>-399769</v>
      </c>
      <c r="O784" t="str">
        <f t="shared" si="38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36"/>
        <v>4752</v>
      </c>
      <c r="M785">
        <f t="shared" si="36"/>
        <v>-945</v>
      </c>
      <c r="N785">
        <f t="shared" si="37"/>
        <v>-383059</v>
      </c>
      <c r="O785" t="str">
        <f t="shared" si="38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36"/>
        <v>4752</v>
      </c>
      <c r="M786">
        <f t="shared" si="36"/>
        <v>-900</v>
      </c>
      <c r="N786">
        <f t="shared" si="37"/>
        <v>-366129</v>
      </c>
      <c r="O786" t="str">
        <f t="shared" si="38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36"/>
        <v>4752</v>
      </c>
      <c r="M787">
        <f t="shared" si="36"/>
        <v>-855</v>
      </c>
      <c r="N787">
        <f t="shared" si="37"/>
        <v>-348979</v>
      </c>
      <c r="O787" t="str">
        <f t="shared" si="38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36"/>
        <v>4752</v>
      </c>
      <c r="M788">
        <f t="shared" si="36"/>
        <v>-810</v>
      </c>
      <c r="N788">
        <f t="shared" si="37"/>
        <v>-331608</v>
      </c>
      <c r="O788" t="str">
        <f t="shared" si="38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36"/>
        <v>4752</v>
      </c>
      <c r="M789">
        <f t="shared" si="36"/>
        <v>-765</v>
      </c>
      <c r="N789">
        <f t="shared" si="37"/>
        <v>-314016</v>
      </c>
      <c r="O789" t="str">
        <f t="shared" si="38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36"/>
        <v>4752</v>
      </c>
      <c r="M790">
        <f t="shared" si="36"/>
        <v>-720</v>
      </c>
      <c r="N790">
        <f t="shared" si="37"/>
        <v>-296204</v>
      </c>
      <c r="O790" t="str">
        <f t="shared" si="38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36"/>
        <v>4752</v>
      </c>
      <c r="M791">
        <f t="shared" si="36"/>
        <v>-675</v>
      </c>
      <c r="N791">
        <f t="shared" si="37"/>
        <v>-278171</v>
      </c>
      <c r="O791" t="str">
        <f t="shared" si="38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36"/>
        <v>4752</v>
      </c>
      <c r="M792">
        <f t="shared" si="36"/>
        <v>-630</v>
      </c>
      <c r="N792">
        <f t="shared" si="37"/>
        <v>-259916.99999999997</v>
      </c>
      <c r="O792" t="str">
        <f t="shared" si="38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36"/>
        <v>4752</v>
      </c>
      <c r="M793">
        <f t="shared" si="36"/>
        <v>-585</v>
      </c>
      <c r="N793">
        <f t="shared" si="37"/>
        <v>-241443</v>
      </c>
      <c r="O793" t="str">
        <f t="shared" si="38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36"/>
        <v>4752</v>
      </c>
      <c r="M794">
        <f t="shared" si="36"/>
        <v>-540</v>
      </c>
      <c r="N794">
        <f t="shared" si="37"/>
        <v>-222748</v>
      </c>
      <c r="O794" t="str">
        <f t="shared" si="38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36"/>
        <v>4752</v>
      </c>
      <c r="M795">
        <f t="shared" si="36"/>
        <v>-495</v>
      </c>
      <c r="N795">
        <f t="shared" si="37"/>
        <v>-203833</v>
      </c>
      <c r="O795" t="str">
        <f t="shared" si="38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36"/>
        <v>4752</v>
      </c>
      <c r="M796">
        <f t="shared" si="36"/>
        <v>-450</v>
      </c>
      <c r="N796">
        <f t="shared" si="37"/>
        <v>-184697</v>
      </c>
      <c r="O796" t="str">
        <f t="shared" si="38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36"/>
        <v>4752</v>
      </c>
      <c r="M797">
        <f t="shared" si="36"/>
        <v>-405</v>
      </c>
      <c r="N797">
        <f t="shared" si="37"/>
        <v>-165340</v>
      </c>
      <c r="O797" t="str">
        <f t="shared" si="38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36"/>
        <v>4752</v>
      </c>
      <c r="M798">
        <f t="shared" si="36"/>
        <v>-360</v>
      </c>
      <c r="N798">
        <f t="shared" si="37"/>
        <v>-145763</v>
      </c>
      <c r="O798" t="str">
        <f t="shared" si="38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36"/>
        <v>4752</v>
      </c>
      <c r="M799">
        <f t="shared" si="36"/>
        <v>-315</v>
      </c>
      <c r="N799">
        <f t="shared" si="37"/>
        <v>-125965</v>
      </c>
      <c r="O799" t="str">
        <f t="shared" si="38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36"/>
        <v>4752</v>
      </c>
      <c r="M800">
        <f t="shared" si="36"/>
        <v>-270</v>
      </c>
      <c r="N800">
        <f t="shared" si="37"/>
        <v>-105947</v>
      </c>
      <c r="O800" t="str">
        <f t="shared" si="38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36"/>
        <v>4752</v>
      </c>
      <c r="M801">
        <f t="shared" si="36"/>
        <v>-225</v>
      </c>
      <c r="N801">
        <f t="shared" si="37"/>
        <v>-85707</v>
      </c>
      <c r="O801" t="str">
        <f t="shared" si="38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36"/>
        <v>4752</v>
      </c>
      <c r="M802">
        <f t="shared" si="36"/>
        <v>-180</v>
      </c>
      <c r="N802">
        <f t="shared" si="37"/>
        <v>-65248.000000000007</v>
      </c>
      <c r="O802" t="str">
        <f t="shared" si="38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36"/>
        <v>4752</v>
      </c>
      <c r="M803">
        <f t="shared" si="36"/>
        <v>-135</v>
      </c>
      <c r="N803">
        <f t="shared" si="37"/>
        <v>-44567</v>
      </c>
      <c r="O803" t="str">
        <f t="shared" si="38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36"/>
        <v>4752</v>
      </c>
      <c r="M804">
        <f t="shared" si="36"/>
        <v>-90</v>
      </c>
      <c r="N804">
        <f t="shared" si="37"/>
        <v>-23666</v>
      </c>
      <c r="O804" t="str">
        <f t="shared" si="38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36"/>
        <v>4752</v>
      </c>
      <c r="M805">
        <f t="shared" si="36"/>
        <v>-45</v>
      </c>
      <c r="N805">
        <f t="shared" si="37"/>
        <v>-2545</v>
      </c>
      <c r="O805" t="str">
        <f t="shared" si="38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36"/>
        <v>4752</v>
      </c>
      <c r="M806">
        <f t="shared" si="36"/>
        <v>-9</v>
      </c>
      <c r="N806">
        <f t="shared" si="37"/>
        <v>0</v>
      </c>
      <c r="O806" t="str">
        <f t="shared" si="38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36"/>
        <v>4752</v>
      </c>
      <c r="M807">
        <f t="shared" si="36"/>
        <v>9</v>
      </c>
      <c r="N807">
        <f t="shared" si="37"/>
        <v>25076</v>
      </c>
      <c r="O807" t="str">
        <f t="shared" si="38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36"/>
        <v>4752</v>
      </c>
      <c r="M808">
        <f t="shared" si="36"/>
        <v>45</v>
      </c>
      <c r="N808">
        <f t="shared" si="37"/>
        <v>43891</v>
      </c>
      <c r="O808" t="str">
        <f t="shared" si="38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36"/>
        <v>4752</v>
      </c>
      <c r="M809">
        <f t="shared" si="36"/>
        <v>90</v>
      </c>
      <c r="N809">
        <f t="shared" si="37"/>
        <v>67626</v>
      </c>
      <c r="O809" t="str">
        <f t="shared" si="38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36"/>
        <v>4752</v>
      </c>
      <c r="M810">
        <f t="shared" si="36"/>
        <v>135</v>
      </c>
      <c r="N810">
        <f t="shared" si="37"/>
        <v>91599</v>
      </c>
      <c r="O810" t="str">
        <f t="shared" si="38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36"/>
        <v>4752</v>
      </c>
      <c r="M811">
        <f t="shared" si="36"/>
        <v>180</v>
      </c>
      <c r="N811">
        <f t="shared" si="37"/>
        <v>115812</v>
      </c>
      <c r="O811" t="str">
        <f t="shared" si="38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36"/>
        <v>4752</v>
      </c>
      <c r="M812">
        <f t="shared" si="36"/>
        <v>225</v>
      </c>
      <c r="N812">
        <f t="shared" si="37"/>
        <v>140265</v>
      </c>
      <c r="O812" t="str">
        <f t="shared" si="38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36"/>
        <v>4752</v>
      </c>
      <c r="M813">
        <f t="shared" si="36"/>
        <v>270</v>
      </c>
      <c r="N813">
        <f t="shared" si="37"/>
        <v>164956</v>
      </c>
      <c r="O813" t="str">
        <f t="shared" si="38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36"/>
        <v>4752</v>
      </c>
      <c r="M814">
        <f t="shared" si="36"/>
        <v>315</v>
      </c>
      <c r="N814">
        <f t="shared" si="37"/>
        <v>189888</v>
      </c>
      <c r="O814" t="str">
        <f t="shared" si="38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36"/>
        <v>4752</v>
      </c>
      <c r="M815">
        <f t="shared" si="36"/>
        <v>360</v>
      </c>
      <c r="N815">
        <f t="shared" si="37"/>
        <v>215058</v>
      </c>
      <c r="O815" t="str">
        <f t="shared" si="38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36"/>
        <v>4752</v>
      </c>
      <c r="M816">
        <f t="shared" si="36"/>
        <v>405</v>
      </c>
      <c r="N816">
        <f t="shared" si="37"/>
        <v>240468</v>
      </c>
      <c r="O816" t="str">
        <f t="shared" si="38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36"/>
        <v>4752</v>
      </c>
      <c r="M817">
        <f t="shared" si="36"/>
        <v>450</v>
      </c>
      <c r="N817">
        <f t="shared" si="37"/>
        <v>266118</v>
      </c>
      <c r="O817" t="str">
        <f t="shared" si="38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36"/>
        <v>4752</v>
      </c>
      <c r="M818">
        <f t="shared" si="36"/>
        <v>495</v>
      </c>
      <c r="N818">
        <f t="shared" si="37"/>
        <v>292006</v>
      </c>
      <c r="O818" t="str">
        <f t="shared" si="38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36"/>
        <v>4752</v>
      </c>
      <c r="M819">
        <f t="shared" si="36"/>
        <v>540</v>
      </c>
      <c r="N819">
        <f t="shared" si="37"/>
        <v>318134</v>
      </c>
      <c r="O819" t="str">
        <f t="shared" si="38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36"/>
        <v>4752</v>
      </c>
      <c r="M820">
        <f t="shared" si="36"/>
        <v>585</v>
      </c>
      <c r="N820">
        <f t="shared" si="37"/>
        <v>344502</v>
      </c>
      <c r="O820" t="str">
        <f t="shared" si="38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36"/>
        <v>4752</v>
      </c>
      <c r="M821">
        <f t="shared" si="36"/>
        <v>630</v>
      </c>
      <c r="N821">
        <f t="shared" si="37"/>
        <v>371109</v>
      </c>
      <c r="O821" t="str">
        <f t="shared" si="38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36"/>
        <v>4752</v>
      </c>
      <c r="M822">
        <f t="shared" si="36"/>
        <v>675</v>
      </c>
      <c r="N822">
        <f t="shared" si="37"/>
        <v>397955</v>
      </c>
      <c r="O822" t="str">
        <f t="shared" si="38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36"/>
        <v>4752</v>
      </c>
      <c r="M823">
        <f t="shared" si="36"/>
        <v>720</v>
      </c>
      <c r="N823">
        <f t="shared" si="37"/>
        <v>425041</v>
      </c>
      <c r="O823" t="str">
        <f t="shared" si="38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36"/>
        <v>4752</v>
      </c>
      <c r="M824">
        <f t="shared" si="36"/>
        <v>765</v>
      </c>
      <c r="N824">
        <f t="shared" si="37"/>
        <v>452366</v>
      </c>
      <c r="O824" t="str">
        <f t="shared" si="38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36"/>
        <v>4752</v>
      </c>
      <c r="M825">
        <f t="shared" si="36"/>
        <v>810</v>
      </c>
      <c r="N825">
        <f t="shared" si="37"/>
        <v>479930</v>
      </c>
      <c r="O825" t="str">
        <f t="shared" si="38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36"/>
        <v>4752</v>
      </c>
      <c r="M826">
        <f t="shared" si="36"/>
        <v>855</v>
      </c>
      <c r="N826">
        <f t="shared" si="37"/>
        <v>507734</v>
      </c>
      <c r="O826" t="str">
        <f t="shared" si="38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36"/>
        <v>4752</v>
      </c>
      <c r="M827">
        <f t="shared" si="36"/>
        <v>900</v>
      </c>
      <c r="N827">
        <f t="shared" si="37"/>
        <v>535777</v>
      </c>
      <c r="O827" t="str">
        <f t="shared" si="38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36"/>
        <v>4752</v>
      </c>
      <c r="M828">
        <f t="shared" si="36"/>
        <v>945</v>
      </c>
      <c r="N828">
        <f t="shared" si="37"/>
        <v>564060</v>
      </c>
      <c r="O828" t="str">
        <f t="shared" si="38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36"/>
        <v>4752</v>
      </c>
      <c r="M829">
        <f t="shared" si="36"/>
        <v>990</v>
      </c>
      <c r="N829">
        <f t="shared" si="37"/>
        <v>592582</v>
      </c>
      <c r="O829" t="str">
        <f t="shared" si="38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36"/>
        <v>5049</v>
      </c>
      <c r="M830">
        <f t="shared" si="36"/>
        <v>-990</v>
      </c>
      <c r="N830">
        <f t="shared" si="37"/>
        <v>-419645</v>
      </c>
      <c r="O830" t="str">
        <f t="shared" si="38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36"/>
        <v>5049</v>
      </c>
      <c r="M831">
        <f t="shared" si="36"/>
        <v>-945</v>
      </c>
      <c r="N831">
        <f t="shared" si="37"/>
        <v>-402167</v>
      </c>
      <c r="O831" t="str">
        <f t="shared" si="38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36"/>
        <v>5049</v>
      </c>
      <c r="M832">
        <f t="shared" si="36"/>
        <v>-900</v>
      </c>
      <c r="N832">
        <f t="shared" si="37"/>
        <v>-384442</v>
      </c>
      <c r="O832" t="str">
        <f t="shared" si="38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36"/>
        <v>5049</v>
      </c>
      <c r="M833">
        <f t="shared" si="36"/>
        <v>-855</v>
      </c>
      <c r="N833">
        <f t="shared" si="37"/>
        <v>-366469</v>
      </c>
      <c r="O833" t="str">
        <f t="shared" si="38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36"/>
        <v>5049</v>
      </c>
      <c r="M834">
        <f t="shared" si="36"/>
        <v>-810</v>
      </c>
      <c r="N834">
        <f t="shared" si="37"/>
        <v>-348249</v>
      </c>
      <c r="O834" t="str">
        <f t="shared" si="38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M898" si="39">A835</f>
        <v>5049</v>
      </c>
      <c r="M835">
        <f t="shared" si="39"/>
        <v>-765</v>
      </c>
      <c r="N835">
        <f t="shared" ref="N835:N898" si="40">C835*1000</f>
        <v>-329781</v>
      </c>
      <c r="O835" t="str">
        <f t="shared" ref="O835:O898" si="41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39"/>
        <v>5049</v>
      </c>
      <c r="M836">
        <f t="shared" si="39"/>
        <v>-720</v>
      </c>
      <c r="N836">
        <f t="shared" si="40"/>
        <v>-311067</v>
      </c>
      <c r="O836" t="str">
        <f t="shared" si="41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39"/>
        <v>5049</v>
      </c>
      <c r="M837">
        <f t="shared" si="39"/>
        <v>-675</v>
      </c>
      <c r="N837">
        <f t="shared" si="40"/>
        <v>-292105</v>
      </c>
      <c r="O837" t="str">
        <f t="shared" si="41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39"/>
        <v>5049</v>
      </c>
      <c r="M838">
        <f t="shared" si="39"/>
        <v>-630</v>
      </c>
      <c r="N838">
        <f t="shared" si="40"/>
        <v>-272895</v>
      </c>
      <c r="O838" t="str">
        <f t="shared" si="41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39"/>
        <v>5049</v>
      </c>
      <c r="M839">
        <f t="shared" si="39"/>
        <v>-585</v>
      </c>
      <c r="N839">
        <f t="shared" si="40"/>
        <v>-253438</v>
      </c>
      <c r="O839" t="str">
        <f t="shared" si="41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39"/>
        <v>5049</v>
      </c>
      <c r="M840">
        <f t="shared" si="39"/>
        <v>-540</v>
      </c>
      <c r="N840">
        <f t="shared" si="40"/>
        <v>-233734</v>
      </c>
      <c r="O840" t="str">
        <f t="shared" si="41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39"/>
        <v>5049</v>
      </c>
      <c r="M841">
        <f t="shared" si="39"/>
        <v>-495</v>
      </c>
      <c r="N841">
        <f t="shared" si="40"/>
        <v>-213783</v>
      </c>
      <c r="O841" t="str">
        <f t="shared" si="41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39"/>
        <v>5049</v>
      </c>
      <c r="M842">
        <f t="shared" si="39"/>
        <v>-450</v>
      </c>
      <c r="N842">
        <f t="shared" si="40"/>
        <v>-193584</v>
      </c>
      <c r="O842" t="str">
        <f t="shared" si="41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39"/>
        <v>5049</v>
      </c>
      <c r="M843">
        <f t="shared" si="39"/>
        <v>-405</v>
      </c>
      <c r="N843">
        <f t="shared" si="40"/>
        <v>-173138</v>
      </c>
      <c r="O843" t="str">
        <f t="shared" si="41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39"/>
        <v>5049</v>
      </c>
      <c r="M844">
        <f t="shared" si="39"/>
        <v>-360</v>
      </c>
      <c r="N844">
        <f t="shared" si="40"/>
        <v>-152444</v>
      </c>
      <c r="O844" t="str">
        <f t="shared" si="41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39"/>
        <v>5049</v>
      </c>
      <c r="M845">
        <f t="shared" si="39"/>
        <v>-315</v>
      </c>
      <c r="N845">
        <f t="shared" si="40"/>
        <v>-131503</v>
      </c>
      <c r="O845" t="str">
        <f t="shared" si="41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39"/>
        <v>5049</v>
      </c>
      <c r="M846">
        <f t="shared" si="39"/>
        <v>-270</v>
      </c>
      <c r="N846">
        <f t="shared" si="40"/>
        <v>-110315</v>
      </c>
      <c r="O846" t="str">
        <f t="shared" si="41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39"/>
        <v>5049</v>
      </c>
      <c r="M847">
        <f t="shared" si="39"/>
        <v>-225</v>
      </c>
      <c r="N847">
        <f t="shared" si="40"/>
        <v>-88879</v>
      </c>
      <c r="O847" t="str">
        <f t="shared" si="41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39"/>
        <v>5049</v>
      </c>
      <c r="M848">
        <f t="shared" si="39"/>
        <v>-180</v>
      </c>
      <c r="N848">
        <f t="shared" si="40"/>
        <v>-67196</v>
      </c>
      <c r="O848" t="str">
        <f t="shared" si="41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39"/>
        <v>5049</v>
      </c>
      <c r="M849">
        <f t="shared" si="39"/>
        <v>-135</v>
      </c>
      <c r="N849">
        <f t="shared" si="40"/>
        <v>-45266</v>
      </c>
      <c r="O849" t="str">
        <f t="shared" si="41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39"/>
        <v>5049</v>
      </c>
      <c r="M850">
        <f t="shared" si="39"/>
        <v>-90</v>
      </c>
      <c r="N850">
        <f t="shared" si="40"/>
        <v>-23088</v>
      </c>
      <c r="O850" t="str">
        <f t="shared" si="41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39"/>
        <v>5049</v>
      </c>
      <c r="M851">
        <f t="shared" si="39"/>
        <v>-45</v>
      </c>
      <c r="N851">
        <f t="shared" si="40"/>
        <v>-663</v>
      </c>
      <c r="O851" t="str">
        <f t="shared" si="41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39"/>
        <v>5049</v>
      </c>
      <c r="M852">
        <f t="shared" si="39"/>
        <v>-9</v>
      </c>
      <c r="N852">
        <f t="shared" si="40"/>
        <v>0</v>
      </c>
      <c r="O852" t="str">
        <f t="shared" si="41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39"/>
        <v>5049</v>
      </c>
      <c r="M853">
        <f t="shared" si="39"/>
        <v>9</v>
      </c>
      <c r="N853">
        <f t="shared" si="40"/>
        <v>28854</v>
      </c>
      <c r="O853" t="str">
        <f t="shared" si="41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39"/>
        <v>5049</v>
      </c>
      <c r="M854">
        <f t="shared" si="39"/>
        <v>45</v>
      </c>
      <c r="N854">
        <f t="shared" si="40"/>
        <v>48849</v>
      </c>
      <c r="O854" t="str">
        <f t="shared" si="41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39"/>
        <v>5049</v>
      </c>
      <c r="M855">
        <f t="shared" si="39"/>
        <v>90</v>
      </c>
      <c r="N855">
        <f t="shared" si="40"/>
        <v>74085</v>
      </c>
      <c r="O855" t="str">
        <f t="shared" si="41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39"/>
        <v>5049</v>
      </c>
      <c r="M856">
        <f t="shared" si="39"/>
        <v>135</v>
      </c>
      <c r="N856">
        <f t="shared" si="40"/>
        <v>99589</v>
      </c>
      <c r="O856" t="str">
        <f t="shared" si="41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39"/>
        <v>5049</v>
      </c>
      <c r="M857">
        <f t="shared" si="39"/>
        <v>180</v>
      </c>
      <c r="N857">
        <f t="shared" si="40"/>
        <v>125362</v>
      </c>
      <c r="O857" t="str">
        <f t="shared" si="41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39"/>
        <v>5049</v>
      </c>
      <c r="M858">
        <f t="shared" si="39"/>
        <v>225</v>
      </c>
      <c r="N858">
        <f t="shared" si="40"/>
        <v>151402</v>
      </c>
      <c r="O858" t="str">
        <f t="shared" si="41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39"/>
        <v>5049</v>
      </c>
      <c r="M859">
        <f t="shared" si="39"/>
        <v>270</v>
      </c>
      <c r="N859">
        <f t="shared" si="40"/>
        <v>177712</v>
      </c>
      <c r="O859" t="str">
        <f t="shared" si="41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39"/>
        <v>5049</v>
      </c>
      <c r="M860">
        <f t="shared" si="39"/>
        <v>315</v>
      </c>
      <c r="N860">
        <f t="shared" si="40"/>
        <v>204289</v>
      </c>
      <c r="O860" t="str">
        <f t="shared" si="41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39"/>
        <v>5049</v>
      </c>
      <c r="M861">
        <f t="shared" si="39"/>
        <v>360</v>
      </c>
      <c r="N861">
        <f t="shared" si="40"/>
        <v>231135</v>
      </c>
      <c r="O861" t="str">
        <f t="shared" si="41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39"/>
        <v>5049</v>
      </c>
      <c r="M862">
        <f t="shared" si="39"/>
        <v>405</v>
      </c>
      <c r="N862">
        <f t="shared" si="40"/>
        <v>258250</v>
      </c>
      <c r="O862" t="str">
        <f t="shared" si="41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39"/>
        <v>5049</v>
      </c>
      <c r="M863">
        <f t="shared" si="39"/>
        <v>450</v>
      </c>
      <c r="N863">
        <f t="shared" si="40"/>
        <v>285633</v>
      </c>
      <c r="O863" t="str">
        <f t="shared" si="41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39"/>
        <v>5049</v>
      </c>
      <c r="M864">
        <f t="shared" si="39"/>
        <v>495</v>
      </c>
      <c r="N864">
        <f t="shared" si="40"/>
        <v>313284</v>
      </c>
      <c r="O864" t="str">
        <f t="shared" si="41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39"/>
        <v>5049</v>
      </c>
      <c r="M865">
        <f t="shared" si="39"/>
        <v>540</v>
      </c>
      <c r="N865">
        <f t="shared" si="40"/>
        <v>341203</v>
      </c>
      <c r="O865" t="str">
        <f t="shared" si="41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39"/>
        <v>5049</v>
      </c>
      <c r="M866">
        <f t="shared" si="39"/>
        <v>585</v>
      </c>
      <c r="N866">
        <f t="shared" si="40"/>
        <v>369392</v>
      </c>
      <c r="O866" t="str">
        <f t="shared" si="41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39"/>
        <v>5049</v>
      </c>
      <c r="M867">
        <f t="shared" si="39"/>
        <v>630</v>
      </c>
      <c r="N867">
        <f t="shared" si="40"/>
        <v>397848</v>
      </c>
      <c r="O867" t="str">
        <f t="shared" si="41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39"/>
        <v>5049</v>
      </c>
      <c r="M868">
        <f t="shared" si="39"/>
        <v>675</v>
      </c>
      <c r="N868">
        <f t="shared" si="40"/>
        <v>426573</v>
      </c>
      <c r="O868" t="str">
        <f t="shared" si="41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39"/>
        <v>5049</v>
      </c>
      <c r="M869">
        <f t="shared" si="39"/>
        <v>720</v>
      </c>
      <c r="N869">
        <f t="shared" si="40"/>
        <v>455566</v>
      </c>
      <c r="O869" t="str">
        <f t="shared" si="41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39"/>
        <v>5049</v>
      </c>
      <c r="M870">
        <f t="shared" si="39"/>
        <v>765</v>
      </c>
      <c r="N870">
        <f t="shared" si="40"/>
        <v>484828</v>
      </c>
      <c r="O870" t="str">
        <f t="shared" si="41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39"/>
        <v>5049</v>
      </c>
      <c r="M871">
        <f t="shared" si="39"/>
        <v>810</v>
      </c>
      <c r="N871">
        <f t="shared" si="40"/>
        <v>514357.99999999994</v>
      </c>
      <c r="O871" t="str">
        <f t="shared" si="41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39"/>
        <v>5049</v>
      </c>
      <c r="M872">
        <f t="shared" si="39"/>
        <v>855</v>
      </c>
      <c r="N872">
        <f t="shared" si="40"/>
        <v>544156</v>
      </c>
      <c r="O872" t="str">
        <f t="shared" si="41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39"/>
        <v>5049</v>
      </c>
      <c r="M873">
        <f t="shared" si="39"/>
        <v>900</v>
      </c>
      <c r="N873">
        <f t="shared" si="40"/>
        <v>574223</v>
      </c>
      <c r="O873" t="str">
        <f t="shared" si="41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39"/>
        <v>5049</v>
      </c>
      <c r="M874">
        <f t="shared" si="39"/>
        <v>945</v>
      </c>
      <c r="N874">
        <f t="shared" si="40"/>
        <v>604558</v>
      </c>
      <c r="O874" t="str">
        <f t="shared" si="41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39"/>
        <v>5049</v>
      </c>
      <c r="M875">
        <f t="shared" si="39"/>
        <v>990</v>
      </c>
      <c r="N875">
        <f t="shared" si="40"/>
        <v>635162</v>
      </c>
      <c r="O875" t="str">
        <f t="shared" si="41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39"/>
        <v>5346</v>
      </c>
      <c r="M876">
        <f t="shared" si="39"/>
        <v>-990</v>
      </c>
      <c r="N876">
        <f t="shared" si="40"/>
        <v>-438775</v>
      </c>
      <c r="O876" t="str">
        <f t="shared" si="41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39"/>
        <v>5346</v>
      </c>
      <c r="M877">
        <f t="shared" si="39"/>
        <v>-945</v>
      </c>
      <c r="N877">
        <f t="shared" si="40"/>
        <v>-420563</v>
      </c>
      <c r="O877" t="str">
        <f t="shared" si="41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39"/>
        <v>5346</v>
      </c>
      <c r="M878">
        <f t="shared" si="39"/>
        <v>-900</v>
      </c>
      <c r="N878">
        <f t="shared" si="40"/>
        <v>-402076</v>
      </c>
      <c r="O878" t="str">
        <f t="shared" si="41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39"/>
        <v>5346</v>
      </c>
      <c r="M879">
        <f t="shared" si="39"/>
        <v>-855</v>
      </c>
      <c r="N879">
        <f t="shared" si="40"/>
        <v>-383312</v>
      </c>
      <c r="O879" t="str">
        <f t="shared" si="41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39"/>
        <v>5346</v>
      </c>
      <c r="M880">
        <f t="shared" si="39"/>
        <v>-810</v>
      </c>
      <c r="N880">
        <f t="shared" si="40"/>
        <v>-364273</v>
      </c>
      <c r="O880" t="str">
        <f t="shared" si="41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39"/>
        <v>5346</v>
      </c>
      <c r="M881">
        <f t="shared" si="39"/>
        <v>-765</v>
      </c>
      <c r="N881">
        <f t="shared" si="40"/>
        <v>-344958</v>
      </c>
      <c r="O881" t="str">
        <f t="shared" si="41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39"/>
        <v>5346</v>
      </c>
      <c r="M882">
        <f t="shared" si="39"/>
        <v>-720</v>
      </c>
      <c r="N882">
        <f t="shared" si="40"/>
        <v>-325367</v>
      </c>
      <c r="O882" t="str">
        <f t="shared" si="41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39"/>
        <v>5346</v>
      </c>
      <c r="M883">
        <f t="shared" si="39"/>
        <v>-675</v>
      </c>
      <c r="N883">
        <f t="shared" si="40"/>
        <v>-305501</v>
      </c>
      <c r="O883" t="str">
        <f t="shared" si="41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39"/>
        <v>5346</v>
      </c>
      <c r="M884">
        <f t="shared" si="39"/>
        <v>-630</v>
      </c>
      <c r="N884">
        <f t="shared" si="40"/>
        <v>-285359</v>
      </c>
      <c r="O884" t="str">
        <f t="shared" si="41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39"/>
        <v>5346</v>
      </c>
      <c r="M885">
        <f t="shared" si="39"/>
        <v>-585</v>
      </c>
      <c r="N885">
        <f t="shared" si="40"/>
        <v>-264941</v>
      </c>
      <c r="O885" t="str">
        <f t="shared" si="41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39"/>
        <v>5346</v>
      </c>
      <c r="M886">
        <f t="shared" si="39"/>
        <v>-540</v>
      </c>
      <c r="N886">
        <f t="shared" si="40"/>
        <v>-244248</v>
      </c>
      <c r="O886" t="str">
        <f t="shared" si="41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39"/>
        <v>5346</v>
      </c>
      <c r="M887">
        <f t="shared" si="39"/>
        <v>-495</v>
      </c>
      <c r="N887">
        <f t="shared" si="40"/>
        <v>-223279</v>
      </c>
      <c r="O887" t="str">
        <f t="shared" si="41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39"/>
        <v>5346</v>
      </c>
      <c r="M888">
        <f t="shared" si="39"/>
        <v>-450</v>
      </c>
      <c r="N888">
        <f t="shared" si="40"/>
        <v>-202034</v>
      </c>
      <c r="O888" t="str">
        <f t="shared" si="41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39"/>
        <v>5346</v>
      </c>
      <c r="M889">
        <f t="shared" si="39"/>
        <v>-405</v>
      </c>
      <c r="N889">
        <f t="shared" si="40"/>
        <v>-180514</v>
      </c>
      <c r="O889" t="str">
        <f t="shared" si="41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39"/>
        <v>5346</v>
      </c>
      <c r="M890">
        <f t="shared" si="39"/>
        <v>-360</v>
      </c>
      <c r="N890">
        <f t="shared" si="40"/>
        <v>-158717</v>
      </c>
      <c r="O890" t="str">
        <f t="shared" si="41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39"/>
        <v>5346</v>
      </c>
      <c r="M891">
        <f t="shared" si="39"/>
        <v>-315</v>
      </c>
      <c r="N891">
        <f t="shared" si="40"/>
        <v>-136645</v>
      </c>
      <c r="O891" t="str">
        <f t="shared" si="41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39"/>
        <v>5346</v>
      </c>
      <c r="M892">
        <f t="shared" si="39"/>
        <v>-270</v>
      </c>
      <c r="N892">
        <f t="shared" si="40"/>
        <v>-114298</v>
      </c>
      <c r="O892" t="str">
        <f t="shared" si="41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39"/>
        <v>5346</v>
      </c>
      <c r="M893">
        <f t="shared" si="39"/>
        <v>-225</v>
      </c>
      <c r="N893">
        <f t="shared" si="40"/>
        <v>-91675</v>
      </c>
      <c r="O893" t="str">
        <f t="shared" si="41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39"/>
        <v>5346</v>
      </c>
      <c r="M894">
        <f t="shared" si="39"/>
        <v>-180</v>
      </c>
      <c r="N894">
        <f t="shared" si="40"/>
        <v>-68775</v>
      </c>
      <c r="O894" t="str">
        <f t="shared" si="41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39"/>
        <v>5346</v>
      </c>
      <c r="M895">
        <f t="shared" si="39"/>
        <v>-135</v>
      </c>
      <c r="N895">
        <f t="shared" si="40"/>
        <v>-45601</v>
      </c>
      <c r="O895" t="str">
        <f t="shared" si="41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39"/>
        <v>5346</v>
      </c>
      <c r="M896">
        <f t="shared" si="39"/>
        <v>-90</v>
      </c>
      <c r="N896">
        <f t="shared" si="40"/>
        <v>-22150</v>
      </c>
      <c r="O896" t="str">
        <f t="shared" si="41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39"/>
        <v>5346</v>
      </c>
      <c r="M897">
        <f t="shared" si="39"/>
        <v>-45</v>
      </c>
      <c r="N897">
        <f t="shared" si="40"/>
        <v>0</v>
      </c>
      <c r="O897" t="str">
        <f t="shared" si="41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39"/>
        <v>5346</v>
      </c>
      <c r="M898">
        <f t="shared" si="39"/>
        <v>-9</v>
      </c>
      <c r="N898">
        <f t="shared" si="40"/>
        <v>0</v>
      </c>
      <c r="O898" t="str">
        <f t="shared" si="41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M962" si="42">A899</f>
        <v>5346</v>
      </c>
      <c r="M899">
        <f t="shared" si="42"/>
        <v>9</v>
      </c>
      <c r="N899">
        <f t="shared" ref="N899:N962" si="43">C899*1000</f>
        <v>33018</v>
      </c>
      <c r="O899" t="str">
        <f t="shared" ref="O899:O962" si="44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42"/>
        <v>5346</v>
      </c>
      <c r="M900">
        <f t="shared" si="42"/>
        <v>45</v>
      </c>
      <c r="N900">
        <f t="shared" si="43"/>
        <v>54194</v>
      </c>
      <c r="O900" t="str">
        <f t="shared" si="44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42"/>
        <v>5346</v>
      </c>
      <c r="M901">
        <f t="shared" si="42"/>
        <v>90</v>
      </c>
      <c r="N901">
        <f t="shared" si="43"/>
        <v>80934</v>
      </c>
      <c r="O901" t="str">
        <f t="shared" si="44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42"/>
        <v>5346</v>
      </c>
      <c r="M902">
        <f t="shared" si="42"/>
        <v>135</v>
      </c>
      <c r="N902">
        <f t="shared" si="43"/>
        <v>107973</v>
      </c>
      <c r="O902" t="str">
        <f t="shared" si="44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42"/>
        <v>5346</v>
      </c>
      <c r="M903">
        <f t="shared" si="42"/>
        <v>180</v>
      </c>
      <c r="N903">
        <f t="shared" si="43"/>
        <v>135311</v>
      </c>
      <c r="O903" t="str">
        <f t="shared" si="44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42"/>
        <v>5346</v>
      </c>
      <c r="M904">
        <f t="shared" si="42"/>
        <v>225</v>
      </c>
      <c r="N904">
        <f t="shared" si="43"/>
        <v>162948</v>
      </c>
      <c r="O904" t="str">
        <f t="shared" si="44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42"/>
        <v>5346</v>
      </c>
      <c r="M905">
        <f t="shared" si="42"/>
        <v>270</v>
      </c>
      <c r="N905">
        <f t="shared" si="43"/>
        <v>190884</v>
      </c>
      <c r="O905" t="str">
        <f t="shared" si="44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42"/>
        <v>5346</v>
      </c>
      <c r="M906">
        <f t="shared" si="42"/>
        <v>315</v>
      </c>
      <c r="N906">
        <f t="shared" si="43"/>
        <v>219120</v>
      </c>
      <c r="O906" t="str">
        <f t="shared" si="44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42"/>
        <v>5346</v>
      </c>
      <c r="M907">
        <f t="shared" si="42"/>
        <v>360</v>
      </c>
      <c r="N907">
        <f t="shared" si="43"/>
        <v>247654</v>
      </c>
      <c r="O907" t="str">
        <f t="shared" si="44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42"/>
        <v>5346</v>
      </c>
      <c r="M908">
        <f t="shared" si="42"/>
        <v>405</v>
      </c>
      <c r="N908">
        <f t="shared" si="43"/>
        <v>276488</v>
      </c>
      <c r="O908" t="str">
        <f t="shared" si="44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42"/>
        <v>5346</v>
      </c>
      <c r="M909">
        <f t="shared" si="42"/>
        <v>450</v>
      </c>
      <c r="N909">
        <f t="shared" si="43"/>
        <v>305621</v>
      </c>
      <c r="O909" t="str">
        <f t="shared" si="44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42"/>
        <v>5346</v>
      </c>
      <c r="M910">
        <f t="shared" si="42"/>
        <v>495</v>
      </c>
      <c r="N910">
        <f t="shared" si="43"/>
        <v>335053</v>
      </c>
      <c r="O910" t="str">
        <f t="shared" si="44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42"/>
        <v>5346</v>
      </c>
      <c r="M911">
        <f t="shared" si="42"/>
        <v>540</v>
      </c>
      <c r="N911">
        <f t="shared" si="43"/>
        <v>364785</v>
      </c>
      <c r="O911" t="str">
        <f t="shared" si="44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42"/>
        <v>5346</v>
      </c>
      <c r="M912">
        <f t="shared" si="42"/>
        <v>585</v>
      </c>
      <c r="N912">
        <f t="shared" si="43"/>
        <v>394815</v>
      </c>
      <c r="O912" t="str">
        <f t="shared" si="44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42"/>
        <v>5346</v>
      </c>
      <c r="M913">
        <f t="shared" si="42"/>
        <v>630</v>
      </c>
      <c r="N913">
        <f t="shared" si="43"/>
        <v>425145</v>
      </c>
      <c r="O913" t="str">
        <f t="shared" si="44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42"/>
        <v>5346</v>
      </c>
      <c r="M914">
        <f t="shared" si="42"/>
        <v>675</v>
      </c>
      <c r="N914">
        <f t="shared" si="43"/>
        <v>455774</v>
      </c>
      <c r="O914" t="str">
        <f t="shared" si="44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42"/>
        <v>5346</v>
      </c>
      <c r="M915">
        <f t="shared" si="42"/>
        <v>720</v>
      </c>
      <c r="N915">
        <f t="shared" si="43"/>
        <v>486701</v>
      </c>
      <c r="O915" t="str">
        <f t="shared" si="44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42"/>
        <v>5346</v>
      </c>
      <c r="M916">
        <f t="shared" si="42"/>
        <v>765</v>
      </c>
      <c r="N916">
        <f t="shared" si="43"/>
        <v>517929</v>
      </c>
      <c r="O916" t="str">
        <f t="shared" si="44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42"/>
        <v>5346</v>
      </c>
      <c r="M917">
        <f t="shared" si="42"/>
        <v>810</v>
      </c>
      <c r="N917">
        <f t="shared" si="43"/>
        <v>549455</v>
      </c>
      <c r="O917" t="str">
        <f t="shared" si="44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42"/>
        <v>5346</v>
      </c>
      <c r="M918">
        <f t="shared" si="42"/>
        <v>855</v>
      </c>
      <c r="N918">
        <f t="shared" si="43"/>
        <v>581280</v>
      </c>
      <c r="O918" t="str">
        <f t="shared" si="44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42"/>
        <v>5346</v>
      </c>
      <c r="M919">
        <f t="shared" si="42"/>
        <v>900</v>
      </c>
      <c r="N919">
        <f t="shared" si="43"/>
        <v>613405</v>
      </c>
      <c r="O919" t="str">
        <f t="shared" si="44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42"/>
        <v>5346</v>
      </c>
      <c r="M920">
        <f t="shared" si="42"/>
        <v>945</v>
      </c>
      <c r="N920">
        <f t="shared" si="43"/>
        <v>645829</v>
      </c>
      <c r="O920" t="str">
        <f t="shared" si="44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42"/>
        <v>5346</v>
      </c>
      <c r="M921">
        <f t="shared" si="42"/>
        <v>990</v>
      </c>
      <c r="N921">
        <f t="shared" si="43"/>
        <v>678551</v>
      </c>
      <c r="O921" t="str">
        <f t="shared" si="44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42"/>
        <v>5643</v>
      </c>
      <c r="M922">
        <f t="shared" si="42"/>
        <v>-990</v>
      </c>
      <c r="N922">
        <f t="shared" si="43"/>
        <v>-457140</v>
      </c>
      <c r="O922" t="str">
        <f t="shared" si="44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42"/>
        <v>5643</v>
      </c>
      <c r="M923">
        <f t="shared" si="42"/>
        <v>-945</v>
      </c>
      <c r="N923">
        <f t="shared" si="43"/>
        <v>-438229</v>
      </c>
      <c r="O923" t="str">
        <f t="shared" si="44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42"/>
        <v>5643</v>
      </c>
      <c r="M924">
        <f t="shared" si="42"/>
        <v>-900</v>
      </c>
      <c r="N924">
        <f t="shared" si="43"/>
        <v>-419012</v>
      </c>
      <c r="O924" t="str">
        <f t="shared" si="44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42"/>
        <v>5643</v>
      </c>
      <c r="M925">
        <f t="shared" si="42"/>
        <v>-855</v>
      </c>
      <c r="N925">
        <f t="shared" si="43"/>
        <v>-399489</v>
      </c>
      <c r="O925" t="str">
        <f t="shared" si="44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42"/>
        <v>5643</v>
      </c>
      <c r="M926">
        <f t="shared" si="42"/>
        <v>-810</v>
      </c>
      <c r="N926">
        <f t="shared" si="43"/>
        <v>-379661</v>
      </c>
      <c r="O926" t="str">
        <f t="shared" si="44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42"/>
        <v>5643</v>
      </c>
      <c r="M927">
        <f t="shared" si="42"/>
        <v>-765</v>
      </c>
      <c r="N927">
        <f t="shared" si="43"/>
        <v>-359526</v>
      </c>
      <c r="O927" t="str">
        <f t="shared" si="44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42"/>
        <v>5643</v>
      </c>
      <c r="M928">
        <f t="shared" si="42"/>
        <v>-720</v>
      </c>
      <c r="N928">
        <f t="shared" si="43"/>
        <v>-339087</v>
      </c>
      <c r="O928" t="str">
        <f t="shared" si="44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42"/>
        <v>5643</v>
      </c>
      <c r="M929">
        <f t="shared" si="42"/>
        <v>-675</v>
      </c>
      <c r="N929">
        <f t="shared" si="43"/>
        <v>-318341</v>
      </c>
      <c r="O929" t="str">
        <f t="shared" si="44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42"/>
        <v>5643</v>
      </c>
      <c r="M930">
        <f t="shared" si="42"/>
        <v>-630</v>
      </c>
      <c r="N930">
        <f t="shared" si="43"/>
        <v>-297290</v>
      </c>
      <c r="O930" t="str">
        <f t="shared" si="44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42"/>
        <v>5643</v>
      </c>
      <c r="M931">
        <f t="shared" si="42"/>
        <v>-585</v>
      </c>
      <c r="N931">
        <f t="shared" si="43"/>
        <v>-275933</v>
      </c>
      <c r="O931" t="str">
        <f t="shared" si="44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42"/>
        <v>5643</v>
      </c>
      <c r="M932">
        <f t="shared" si="42"/>
        <v>-540</v>
      </c>
      <c r="N932">
        <f t="shared" si="43"/>
        <v>-254271</v>
      </c>
      <c r="O932" t="str">
        <f t="shared" si="44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42"/>
        <v>5643</v>
      </c>
      <c r="M933">
        <f t="shared" si="42"/>
        <v>-495</v>
      </c>
      <c r="N933">
        <f t="shared" si="43"/>
        <v>-232303</v>
      </c>
      <c r="O933" t="str">
        <f t="shared" si="44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42"/>
        <v>5643</v>
      </c>
      <c r="M934">
        <f t="shared" si="42"/>
        <v>-450</v>
      </c>
      <c r="N934">
        <f t="shared" si="43"/>
        <v>-210029</v>
      </c>
      <c r="O934" t="str">
        <f t="shared" si="44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42"/>
        <v>5643</v>
      </c>
      <c r="M935">
        <f t="shared" si="42"/>
        <v>-405</v>
      </c>
      <c r="N935">
        <f t="shared" si="43"/>
        <v>-187449</v>
      </c>
      <c r="O935" t="str">
        <f t="shared" si="44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42"/>
        <v>5643</v>
      </c>
      <c r="M936">
        <f t="shared" si="42"/>
        <v>-360</v>
      </c>
      <c r="N936">
        <f t="shared" si="43"/>
        <v>-164564</v>
      </c>
      <c r="O936" t="str">
        <f t="shared" si="44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42"/>
        <v>5643</v>
      </c>
      <c r="M937">
        <f t="shared" si="42"/>
        <v>-315</v>
      </c>
      <c r="N937">
        <f t="shared" si="43"/>
        <v>-141373</v>
      </c>
      <c r="O937" t="str">
        <f t="shared" si="44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42"/>
        <v>5643</v>
      </c>
      <c r="M938">
        <f t="shared" si="42"/>
        <v>-270</v>
      </c>
      <c r="N938">
        <f t="shared" si="43"/>
        <v>-117877</v>
      </c>
      <c r="O938" t="str">
        <f t="shared" si="44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42"/>
        <v>5643</v>
      </c>
      <c r="M939">
        <f t="shared" si="42"/>
        <v>-225</v>
      </c>
      <c r="N939">
        <f t="shared" si="43"/>
        <v>-94075</v>
      </c>
      <c r="O939" t="str">
        <f t="shared" si="44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42"/>
        <v>5643</v>
      </c>
      <c r="M940">
        <f t="shared" si="42"/>
        <v>-180</v>
      </c>
      <c r="N940">
        <f t="shared" si="43"/>
        <v>-69967</v>
      </c>
      <c r="O940" t="str">
        <f t="shared" si="44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42"/>
        <v>5643</v>
      </c>
      <c r="M941">
        <f t="shared" si="42"/>
        <v>-135</v>
      </c>
      <c r="N941">
        <f t="shared" si="43"/>
        <v>-45553</v>
      </c>
      <c r="O941" t="str">
        <f t="shared" si="44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42"/>
        <v>5643</v>
      </c>
      <c r="M942">
        <f t="shared" si="42"/>
        <v>-90</v>
      </c>
      <c r="N942">
        <f t="shared" si="43"/>
        <v>-20834</v>
      </c>
      <c r="O942" t="str">
        <f t="shared" si="44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42"/>
        <v>5643</v>
      </c>
      <c r="M943">
        <f t="shared" si="42"/>
        <v>-45</v>
      </c>
      <c r="N943">
        <f t="shared" si="43"/>
        <v>0</v>
      </c>
      <c r="O943" t="str">
        <f t="shared" si="44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42"/>
        <v>5643</v>
      </c>
      <c r="M944">
        <f t="shared" si="42"/>
        <v>-9</v>
      </c>
      <c r="N944">
        <f t="shared" si="43"/>
        <v>0</v>
      </c>
      <c r="O944" t="str">
        <f t="shared" si="44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42"/>
        <v>5643</v>
      </c>
      <c r="M945">
        <f t="shared" si="42"/>
        <v>9</v>
      </c>
      <c r="N945">
        <f t="shared" si="43"/>
        <v>37589</v>
      </c>
      <c r="O945" t="str">
        <f t="shared" si="44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42"/>
        <v>5643</v>
      </c>
      <c r="M946">
        <f t="shared" si="42"/>
        <v>45</v>
      </c>
      <c r="N946">
        <f t="shared" si="43"/>
        <v>59947</v>
      </c>
      <c r="O946" t="str">
        <f t="shared" si="44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42"/>
        <v>5643</v>
      </c>
      <c r="M947">
        <f t="shared" si="42"/>
        <v>90</v>
      </c>
      <c r="N947">
        <f t="shared" si="43"/>
        <v>88193</v>
      </c>
      <c r="O947" t="str">
        <f t="shared" si="44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42"/>
        <v>5643</v>
      </c>
      <c r="M948">
        <f t="shared" si="42"/>
        <v>135</v>
      </c>
      <c r="N948">
        <f t="shared" si="43"/>
        <v>116771</v>
      </c>
      <c r="O948" t="str">
        <f t="shared" si="44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42"/>
        <v>5643</v>
      </c>
      <c r="M949">
        <f t="shared" si="42"/>
        <v>180</v>
      </c>
      <c r="N949">
        <f t="shared" si="43"/>
        <v>145681</v>
      </c>
      <c r="O949" t="str">
        <f t="shared" si="44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42"/>
        <v>5643</v>
      </c>
      <c r="M950">
        <f t="shared" si="42"/>
        <v>225</v>
      </c>
      <c r="N950">
        <f t="shared" si="43"/>
        <v>174922</v>
      </c>
      <c r="O950" t="str">
        <f t="shared" si="44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42"/>
        <v>5643</v>
      </c>
      <c r="M951">
        <f t="shared" si="42"/>
        <v>270</v>
      </c>
      <c r="N951">
        <f t="shared" si="43"/>
        <v>204495</v>
      </c>
      <c r="O951" t="str">
        <f t="shared" si="44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42"/>
        <v>5643</v>
      </c>
      <c r="M952">
        <f t="shared" si="42"/>
        <v>315</v>
      </c>
      <c r="N952">
        <f t="shared" si="43"/>
        <v>234400</v>
      </c>
      <c r="O952" t="str">
        <f t="shared" si="44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42"/>
        <v>5643</v>
      </c>
      <c r="M953">
        <f t="shared" si="42"/>
        <v>360</v>
      </c>
      <c r="N953">
        <f t="shared" si="43"/>
        <v>264637</v>
      </c>
      <c r="O953" t="str">
        <f t="shared" si="44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42"/>
        <v>5643</v>
      </c>
      <c r="M954">
        <f t="shared" si="42"/>
        <v>405</v>
      </c>
      <c r="N954">
        <f t="shared" si="43"/>
        <v>295205</v>
      </c>
      <c r="O954" t="str">
        <f t="shared" si="44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42"/>
        <v>5643</v>
      </c>
      <c r="M955">
        <f t="shared" si="42"/>
        <v>450</v>
      </c>
      <c r="N955">
        <f t="shared" si="43"/>
        <v>326104</v>
      </c>
      <c r="O955" t="str">
        <f t="shared" si="44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42"/>
        <v>5643</v>
      </c>
      <c r="M956">
        <f t="shared" si="42"/>
        <v>495</v>
      </c>
      <c r="N956">
        <f t="shared" si="43"/>
        <v>357336</v>
      </c>
      <c r="O956" t="str">
        <f t="shared" si="44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42"/>
        <v>5643</v>
      </c>
      <c r="M957">
        <f t="shared" si="42"/>
        <v>540</v>
      </c>
      <c r="N957">
        <f t="shared" si="43"/>
        <v>388899</v>
      </c>
      <c r="O957" t="str">
        <f t="shared" si="44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42"/>
        <v>5643</v>
      </c>
      <c r="M958">
        <f t="shared" si="42"/>
        <v>585</v>
      </c>
      <c r="N958">
        <f t="shared" si="43"/>
        <v>420794</v>
      </c>
      <c r="O958" t="str">
        <f t="shared" si="44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42"/>
        <v>5643</v>
      </c>
      <c r="M959">
        <f t="shared" si="42"/>
        <v>630</v>
      </c>
      <c r="N959">
        <f t="shared" si="43"/>
        <v>453020</v>
      </c>
      <c r="O959" t="str">
        <f t="shared" si="44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42"/>
        <v>5643</v>
      </c>
      <c r="M960">
        <f t="shared" si="42"/>
        <v>675</v>
      </c>
      <c r="N960">
        <f t="shared" si="43"/>
        <v>485578</v>
      </c>
      <c r="O960" t="str">
        <f t="shared" si="44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42"/>
        <v>5643</v>
      </c>
      <c r="M961">
        <f t="shared" si="42"/>
        <v>720</v>
      </c>
      <c r="N961">
        <f t="shared" si="43"/>
        <v>518467.99999999994</v>
      </c>
      <c r="O961" t="str">
        <f t="shared" si="44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42"/>
        <v>5643</v>
      </c>
      <c r="M962">
        <f t="shared" si="42"/>
        <v>765</v>
      </c>
      <c r="N962">
        <f t="shared" si="43"/>
        <v>551689</v>
      </c>
      <c r="O962" t="str">
        <f t="shared" si="44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M1013" si="45">A963</f>
        <v>5643</v>
      </c>
      <c r="M963">
        <f t="shared" si="45"/>
        <v>810</v>
      </c>
      <c r="N963">
        <f t="shared" ref="N963:N1013" si="46">C963*1000</f>
        <v>585242</v>
      </c>
      <c r="O963" t="str">
        <f t="shared" ref="O963:O1013" si="47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45"/>
        <v>5643</v>
      </c>
      <c r="M964">
        <f t="shared" si="45"/>
        <v>855</v>
      </c>
      <c r="N964">
        <f t="shared" si="46"/>
        <v>619127</v>
      </c>
      <c r="O964" t="str">
        <f t="shared" si="47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45"/>
        <v>5643</v>
      </c>
      <c r="M965">
        <f t="shared" si="45"/>
        <v>900</v>
      </c>
      <c r="N965">
        <f t="shared" si="46"/>
        <v>653344</v>
      </c>
      <c r="O965" t="str">
        <f t="shared" si="47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45"/>
        <v>5643</v>
      </c>
      <c r="M966">
        <f t="shared" si="45"/>
        <v>945</v>
      </c>
      <c r="N966">
        <f t="shared" si="46"/>
        <v>687892</v>
      </c>
      <c r="O966" t="str">
        <f t="shared" si="47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45"/>
        <v>5643</v>
      </c>
      <c r="M967">
        <f t="shared" si="45"/>
        <v>990</v>
      </c>
      <c r="N967">
        <f t="shared" si="46"/>
        <v>722771</v>
      </c>
      <c r="O967" t="str">
        <f t="shared" si="47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45"/>
        <v>5940</v>
      </c>
      <c r="M968">
        <f t="shared" si="45"/>
        <v>-990</v>
      </c>
      <c r="N968">
        <f t="shared" si="46"/>
        <v>-474721</v>
      </c>
      <c r="O968" t="str">
        <f t="shared" si="47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45"/>
        <v>5940</v>
      </c>
      <c r="M969">
        <f t="shared" si="45"/>
        <v>-945</v>
      </c>
      <c r="N969">
        <f t="shared" si="46"/>
        <v>-455145</v>
      </c>
      <c r="O969" t="str">
        <f t="shared" si="47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45"/>
        <v>5940</v>
      </c>
      <c r="M970">
        <f t="shared" si="45"/>
        <v>-900</v>
      </c>
      <c r="N970">
        <f t="shared" si="46"/>
        <v>-435231</v>
      </c>
      <c r="O970" t="str">
        <f t="shared" si="47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45"/>
        <v>5940</v>
      </c>
      <c r="M971">
        <f t="shared" si="45"/>
        <v>-855</v>
      </c>
      <c r="N971">
        <f t="shared" si="46"/>
        <v>-414980</v>
      </c>
      <c r="O971" t="str">
        <f t="shared" si="47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45"/>
        <v>5940</v>
      </c>
      <c r="M972">
        <f t="shared" si="45"/>
        <v>-810</v>
      </c>
      <c r="N972">
        <f t="shared" si="46"/>
        <v>-394393</v>
      </c>
      <c r="O972" t="str">
        <f t="shared" si="47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45"/>
        <v>5940</v>
      </c>
      <c r="M973">
        <f t="shared" si="45"/>
        <v>-765</v>
      </c>
      <c r="N973">
        <f t="shared" si="46"/>
        <v>-373467</v>
      </c>
      <c r="O973" t="str">
        <f t="shared" si="47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45"/>
        <v>5940</v>
      </c>
      <c r="M974">
        <f t="shared" si="45"/>
        <v>-720</v>
      </c>
      <c r="N974">
        <f t="shared" si="46"/>
        <v>-352205</v>
      </c>
      <c r="O974" t="str">
        <f t="shared" si="47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45"/>
        <v>5940</v>
      </c>
      <c r="M975">
        <f t="shared" si="45"/>
        <v>-675</v>
      </c>
      <c r="N975">
        <f t="shared" si="46"/>
        <v>-330605</v>
      </c>
      <c r="O975" t="str">
        <f t="shared" si="47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45"/>
        <v>5940</v>
      </c>
      <c r="M976">
        <f t="shared" si="45"/>
        <v>-630</v>
      </c>
      <c r="N976">
        <f t="shared" si="46"/>
        <v>-308668</v>
      </c>
      <c r="O976" t="str">
        <f t="shared" si="47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45"/>
        <v>5940</v>
      </c>
      <c r="M977">
        <f t="shared" si="45"/>
        <v>-585</v>
      </c>
      <c r="N977">
        <f t="shared" si="46"/>
        <v>-286394</v>
      </c>
      <c r="O977" t="str">
        <f t="shared" si="47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45"/>
        <v>5940</v>
      </c>
      <c r="M978">
        <f t="shared" si="45"/>
        <v>-540</v>
      </c>
      <c r="N978">
        <f t="shared" si="46"/>
        <v>-263783</v>
      </c>
      <c r="O978" t="str">
        <f t="shared" si="47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45"/>
        <v>5940</v>
      </c>
      <c r="M979">
        <f t="shared" si="45"/>
        <v>-495</v>
      </c>
      <c r="N979">
        <f t="shared" si="46"/>
        <v>-240834</v>
      </c>
      <c r="O979" t="str">
        <f t="shared" si="47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45"/>
        <v>5940</v>
      </c>
      <c r="M980">
        <f t="shared" si="45"/>
        <v>-450</v>
      </c>
      <c r="N980">
        <f t="shared" si="46"/>
        <v>-217548</v>
      </c>
      <c r="O980" t="str">
        <f t="shared" si="47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45"/>
        <v>5940</v>
      </c>
      <c r="M981">
        <f t="shared" si="45"/>
        <v>-405</v>
      </c>
      <c r="N981">
        <f t="shared" si="46"/>
        <v>-193925</v>
      </c>
      <c r="O981" t="str">
        <f t="shared" si="47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45"/>
        <v>5940</v>
      </c>
      <c r="M982">
        <f t="shared" si="45"/>
        <v>-360</v>
      </c>
      <c r="N982">
        <f t="shared" si="46"/>
        <v>-169965</v>
      </c>
      <c r="O982" t="str">
        <f t="shared" si="47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45"/>
        <v>5940</v>
      </c>
      <c r="M983">
        <f t="shared" si="45"/>
        <v>-315</v>
      </c>
      <c r="N983">
        <f t="shared" si="46"/>
        <v>-145667</v>
      </c>
      <c r="O983" t="str">
        <f t="shared" si="47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45"/>
        <v>5940</v>
      </c>
      <c r="M984">
        <f t="shared" si="45"/>
        <v>-270</v>
      </c>
      <c r="N984">
        <f t="shared" si="46"/>
        <v>-121033</v>
      </c>
      <c r="O984" t="str">
        <f t="shared" si="47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45"/>
        <v>5940</v>
      </c>
      <c r="M985">
        <f t="shared" si="45"/>
        <v>-225</v>
      </c>
      <c r="N985">
        <f t="shared" si="46"/>
        <v>-96060</v>
      </c>
      <c r="O985" t="str">
        <f t="shared" si="47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45"/>
        <v>5940</v>
      </c>
      <c r="M986">
        <f t="shared" si="45"/>
        <v>-180</v>
      </c>
      <c r="N986">
        <f t="shared" si="46"/>
        <v>-70751</v>
      </c>
      <c r="O986" t="str">
        <f t="shared" si="47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45"/>
        <v>5940</v>
      </c>
      <c r="M987">
        <f t="shared" si="45"/>
        <v>-135</v>
      </c>
      <c r="N987">
        <f t="shared" si="46"/>
        <v>-45105</v>
      </c>
      <c r="O987" t="str">
        <f t="shared" si="47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45"/>
        <v>5940</v>
      </c>
      <c r="M988">
        <f t="shared" si="45"/>
        <v>-90</v>
      </c>
      <c r="N988">
        <f t="shared" si="46"/>
        <v>-19121</v>
      </c>
      <c r="O988" t="str">
        <f t="shared" si="47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45"/>
        <v>5940</v>
      </c>
      <c r="M989">
        <f t="shared" si="45"/>
        <v>-45</v>
      </c>
      <c r="N989">
        <f t="shared" si="46"/>
        <v>0</v>
      </c>
      <c r="O989" t="str">
        <f t="shared" si="47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45"/>
        <v>5940</v>
      </c>
      <c r="M990">
        <f t="shared" si="45"/>
        <v>-9</v>
      </c>
      <c r="N990">
        <f t="shared" si="46"/>
        <v>0</v>
      </c>
      <c r="O990" t="str">
        <f t="shared" si="47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45"/>
        <v>5940</v>
      </c>
      <c r="M991">
        <f t="shared" si="45"/>
        <v>9</v>
      </c>
      <c r="N991">
        <f t="shared" si="46"/>
        <v>42588</v>
      </c>
      <c r="O991" t="str">
        <f t="shared" si="47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45"/>
        <v>5940</v>
      </c>
      <c r="M992">
        <f t="shared" si="45"/>
        <v>45</v>
      </c>
      <c r="N992">
        <f t="shared" si="46"/>
        <v>66129</v>
      </c>
      <c r="O992" t="str">
        <f t="shared" si="47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45"/>
        <v>5940</v>
      </c>
      <c r="M993">
        <f t="shared" si="45"/>
        <v>90</v>
      </c>
      <c r="N993">
        <f t="shared" si="46"/>
        <v>95884</v>
      </c>
      <c r="O993" t="str">
        <f t="shared" si="47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45"/>
        <v>5940</v>
      </c>
      <c r="M994">
        <f t="shared" si="45"/>
        <v>135</v>
      </c>
      <c r="N994">
        <f t="shared" si="46"/>
        <v>126006</v>
      </c>
      <c r="O994" t="str">
        <f t="shared" si="47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45"/>
        <v>5940</v>
      </c>
      <c r="M995">
        <f t="shared" si="45"/>
        <v>180</v>
      </c>
      <c r="N995">
        <f t="shared" si="46"/>
        <v>156493</v>
      </c>
      <c r="O995" t="str">
        <f t="shared" si="47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45"/>
        <v>5940</v>
      </c>
      <c r="M996">
        <f t="shared" si="45"/>
        <v>225</v>
      </c>
      <c r="N996">
        <f t="shared" si="46"/>
        <v>187347</v>
      </c>
      <c r="O996" t="str">
        <f t="shared" si="47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45"/>
        <v>5940</v>
      </c>
      <c r="M997">
        <f t="shared" si="45"/>
        <v>270</v>
      </c>
      <c r="N997">
        <f t="shared" si="46"/>
        <v>218566</v>
      </c>
      <c r="O997" t="str">
        <f t="shared" si="47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45"/>
        <v>5940</v>
      </c>
      <c r="M998">
        <f t="shared" si="45"/>
        <v>315</v>
      </c>
      <c r="N998">
        <f t="shared" si="46"/>
        <v>250152</v>
      </c>
      <c r="O998" t="str">
        <f t="shared" si="47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45"/>
        <v>5940</v>
      </c>
      <c r="M999">
        <f t="shared" si="45"/>
        <v>360</v>
      </c>
      <c r="N999">
        <f t="shared" si="46"/>
        <v>282103</v>
      </c>
      <c r="O999" t="str">
        <f t="shared" si="47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45"/>
        <v>5940</v>
      </c>
      <c r="M1000">
        <f t="shared" si="45"/>
        <v>405</v>
      </c>
      <c r="N1000">
        <f t="shared" si="46"/>
        <v>314420</v>
      </c>
      <c r="O1000" t="str">
        <f t="shared" si="47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45"/>
        <v>5940</v>
      </c>
      <c r="M1001">
        <f t="shared" si="45"/>
        <v>450</v>
      </c>
      <c r="N1001">
        <f t="shared" si="46"/>
        <v>347103</v>
      </c>
      <c r="O1001" t="str">
        <f t="shared" si="47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45"/>
        <v>5940</v>
      </c>
      <c r="M1002">
        <f t="shared" si="45"/>
        <v>495</v>
      </c>
      <c r="N1002">
        <f t="shared" si="46"/>
        <v>380152</v>
      </c>
      <c r="O1002" t="str">
        <f t="shared" si="47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45"/>
        <v>5940</v>
      </c>
      <c r="M1003">
        <f t="shared" si="45"/>
        <v>540</v>
      </c>
      <c r="N1003">
        <f t="shared" si="46"/>
        <v>413567</v>
      </c>
      <c r="O1003" t="str">
        <f t="shared" si="47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45"/>
        <v>5940</v>
      </c>
      <c r="M1004">
        <f t="shared" si="45"/>
        <v>585</v>
      </c>
      <c r="N1004">
        <f t="shared" si="46"/>
        <v>447348</v>
      </c>
      <c r="O1004" t="str">
        <f t="shared" si="47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45"/>
        <v>5940</v>
      </c>
      <c r="M1005">
        <f t="shared" si="45"/>
        <v>630</v>
      </c>
      <c r="N1005">
        <f t="shared" si="46"/>
        <v>481495</v>
      </c>
      <c r="O1005" t="str">
        <f t="shared" si="47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45"/>
        <v>5940</v>
      </c>
      <c r="M1006">
        <f t="shared" si="45"/>
        <v>675</v>
      </c>
      <c r="N1006">
        <f t="shared" si="46"/>
        <v>516006.99999999994</v>
      </c>
      <c r="O1006" t="str">
        <f t="shared" si="47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45"/>
        <v>5940</v>
      </c>
      <c r="M1007">
        <f t="shared" si="45"/>
        <v>720</v>
      </c>
      <c r="N1007">
        <f t="shared" si="46"/>
        <v>550886</v>
      </c>
      <c r="O1007" t="str">
        <f t="shared" si="47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45"/>
        <v>5940</v>
      </c>
      <c r="M1008">
        <f t="shared" si="45"/>
        <v>765</v>
      </c>
      <c r="N1008">
        <f t="shared" si="46"/>
        <v>586131</v>
      </c>
      <c r="O1008" t="str">
        <f t="shared" si="47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45"/>
        <v>5940</v>
      </c>
      <c r="M1009">
        <f t="shared" si="45"/>
        <v>810</v>
      </c>
      <c r="N1009">
        <f t="shared" si="46"/>
        <v>621741</v>
      </c>
      <c r="O1009" t="str">
        <f t="shared" si="47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45"/>
        <v>5940</v>
      </c>
      <c r="M1010">
        <f t="shared" si="45"/>
        <v>855</v>
      </c>
      <c r="N1010">
        <f t="shared" si="46"/>
        <v>657718</v>
      </c>
      <c r="O1010" t="str">
        <f t="shared" si="47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45"/>
        <v>5940</v>
      </c>
      <c r="M1011">
        <f t="shared" si="45"/>
        <v>900</v>
      </c>
      <c r="N1011">
        <f t="shared" si="46"/>
        <v>694060</v>
      </c>
      <c r="O1011" t="str">
        <f t="shared" si="47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45"/>
        <v>5940</v>
      </c>
      <c r="M1012">
        <f t="shared" si="45"/>
        <v>945</v>
      </c>
      <c r="N1012">
        <f t="shared" si="46"/>
        <v>730769</v>
      </c>
      <c r="O1012" t="str">
        <f t="shared" si="47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45"/>
        <v>5940</v>
      </c>
      <c r="M1013">
        <f t="shared" si="45"/>
        <v>990</v>
      </c>
      <c r="N1013">
        <f t="shared" si="46"/>
        <v>767843</v>
      </c>
      <c r="O1013" t="str">
        <f t="shared" si="47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A219-DDDA-4082-ADA2-5BFBA05C1E06}">
  <dimension ref="A1:O1013"/>
  <sheetViews>
    <sheetView workbookViewId="0">
      <selection activeCell="O1" sqref="O1:O1048576"/>
    </sheetView>
  </sheetViews>
  <sheetFormatPr baseColWidth="10" defaultRowHeight="15" x14ac:dyDescent="0.25"/>
  <cols>
    <col min="1" max="1" width="11.42578125" style="2"/>
  </cols>
  <sheetData>
    <row r="1" spans="1:15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</row>
    <row r="2" spans="1:15" x14ac:dyDescent="0.25">
      <c r="A2" s="1">
        <v>0</v>
      </c>
      <c r="B2">
        <v>-990</v>
      </c>
      <c r="C2">
        <v>0.28100000000000003</v>
      </c>
      <c r="L2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15" x14ac:dyDescent="0.25">
      <c r="A3" s="1">
        <v>0</v>
      </c>
      <c r="B3">
        <v>-945</v>
      </c>
      <c r="C3">
        <v>0.26900000000000002</v>
      </c>
      <c r="L3">
        <f t="shared" ref="L3:M66" si="0">A3</f>
        <v>0</v>
      </c>
      <c r="M3">
        <f t="shared" si="0"/>
        <v>-945</v>
      </c>
      <c r="N3">
        <f t="shared" ref="N3:N66" si="1">C3*1000</f>
        <v>269</v>
      </c>
      <c r="O3" t="str">
        <f t="shared" ref="O3:O66" si="2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15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0"/>
        <v>-900</v>
      </c>
      <c r="N4">
        <f t="shared" si="1"/>
        <v>258</v>
      </c>
      <c r="O4" t="str">
        <f t="shared" si="2"/>
        <v>&lt;Entry outShaftSpeed="0.00" torque="-900.00" electricPower="258.00"/&gt;</v>
      </c>
    </row>
    <row r="5" spans="1:15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0"/>
        <v>-855</v>
      </c>
      <c r="N5">
        <f t="shared" si="1"/>
        <v>246</v>
      </c>
      <c r="O5" t="str">
        <f t="shared" si="2"/>
        <v>&lt;Entry outShaftSpeed="0.00" torque="-855.00" electricPower="246.00"/&gt;</v>
      </c>
    </row>
    <row r="6" spans="1:15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0"/>
        <v>-810</v>
      </c>
      <c r="N6">
        <f t="shared" si="1"/>
        <v>235</v>
      </c>
      <c r="O6" t="str">
        <f t="shared" si="2"/>
        <v>&lt;Entry outShaftSpeed="0.00" torque="-810.00" electricPower="235.00"/&gt;</v>
      </c>
    </row>
    <row r="7" spans="1:15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0"/>
        <v>-765</v>
      </c>
      <c r="N7">
        <f t="shared" si="1"/>
        <v>223</v>
      </c>
      <c r="O7" t="str">
        <f t="shared" si="2"/>
        <v>&lt;Entry outShaftSpeed="0.00" torque="-765.00" electricPower="223.00"/&gt;</v>
      </c>
    </row>
    <row r="8" spans="1:15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0"/>
        <v>-720</v>
      </c>
      <c r="N8">
        <f t="shared" si="1"/>
        <v>211</v>
      </c>
      <c r="O8" t="str">
        <f t="shared" si="2"/>
        <v>&lt;Entry outShaftSpeed="0.00" torque="-720.00" electricPower="211.00"/&gt;</v>
      </c>
    </row>
    <row r="9" spans="1:15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0"/>
        <v>-675</v>
      </c>
      <c r="N9">
        <f t="shared" si="1"/>
        <v>198</v>
      </c>
      <c r="O9" t="str">
        <f t="shared" si="2"/>
        <v>&lt;Entry outShaftSpeed="0.00" torque="-675.00" electricPower="198.00"/&gt;</v>
      </c>
    </row>
    <row r="10" spans="1:15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0"/>
        <v>-630</v>
      </c>
      <c r="N10">
        <f t="shared" si="1"/>
        <v>130</v>
      </c>
      <c r="O10" t="str">
        <f t="shared" si="2"/>
        <v>&lt;Entry outShaftSpeed="0.00" torque="-630.00" electricPower="130.00"/&gt;</v>
      </c>
    </row>
    <row r="11" spans="1:15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0"/>
        <v>-585</v>
      </c>
      <c r="N11">
        <f t="shared" si="1"/>
        <v>35</v>
      </c>
      <c r="O11" t="str">
        <f t="shared" si="2"/>
        <v>&lt;Entry outShaftSpeed="0.00" torque="-585.00" electricPower="35.00"/&gt;</v>
      </c>
    </row>
    <row r="12" spans="1:15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0"/>
        <v>-540</v>
      </c>
      <c r="N12">
        <f t="shared" si="1"/>
        <v>-46</v>
      </c>
      <c r="O12" t="str">
        <f t="shared" si="2"/>
        <v>&lt;Entry outShaftSpeed="0.00" torque="-540.00" electricPower="-46.00"/&gt;</v>
      </c>
    </row>
    <row r="13" spans="1:15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0"/>
        <v>-495</v>
      </c>
      <c r="N13">
        <f t="shared" si="1"/>
        <v>-114</v>
      </c>
      <c r="O13" t="str">
        <f t="shared" si="2"/>
        <v>&lt;Entry outShaftSpeed="0.00" torque="-495.00" electricPower="-114.00"/&gt;</v>
      </c>
    </row>
    <row r="14" spans="1:15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0"/>
        <v>-450</v>
      </c>
      <c r="N14">
        <f t="shared" si="1"/>
        <v>-169</v>
      </c>
      <c r="O14" t="str">
        <f t="shared" si="2"/>
        <v>&lt;Entry outShaftSpeed="0.00" torque="-450.00" electricPower="-169.00"/&gt;</v>
      </c>
    </row>
    <row r="15" spans="1:15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0"/>
        <v>-405</v>
      </c>
      <c r="N15">
        <f t="shared" si="1"/>
        <v>-211</v>
      </c>
      <c r="O15" t="str">
        <f t="shared" si="2"/>
        <v>&lt;Entry outShaftSpeed="0.00" torque="-405.00" electricPower="-211.00"/&gt;</v>
      </c>
    </row>
    <row r="16" spans="1:15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0"/>
        <v>-360</v>
      </c>
      <c r="N16">
        <f t="shared" si="1"/>
        <v>-239</v>
      </c>
      <c r="O16" t="str">
        <f t="shared" si="2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0"/>
        <v>-315</v>
      </c>
      <c r="N17">
        <f t="shared" si="1"/>
        <v>-254</v>
      </c>
      <c r="O17" t="str">
        <f t="shared" si="2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0"/>
        <v>-270</v>
      </c>
      <c r="N18">
        <f t="shared" si="1"/>
        <v>-256</v>
      </c>
      <c r="O18" t="str">
        <f t="shared" si="2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0"/>
        <v>-225</v>
      </c>
      <c r="N19">
        <f t="shared" si="1"/>
        <v>-244</v>
      </c>
      <c r="O19" t="str">
        <f t="shared" si="2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0"/>
        <v>-180</v>
      </c>
      <c r="N20">
        <f t="shared" si="1"/>
        <v>-219</v>
      </c>
      <c r="O20" t="str">
        <f t="shared" si="2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0"/>
        <v>-135</v>
      </c>
      <c r="N21">
        <f t="shared" si="1"/>
        <v>-181</v>
      </c>
      <c r="O21" t="str">
        <f t="shared" si="2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0"/>
        <v>-90</v>
      </c>
      <c r="N22">
        <f t="shared" si="1"/>
        <v>-130</v>
      </c>
      <c r="O22" t="str">
        <f t="shared" si="2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0"/>
        <v>-45</v>
      </c>
      <c r="N23">
        <f t="shared" si="1"/>
        <v>-65</v>
      </c>
      <c r="O23" t="str">
        <f t="shared" si="2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0"/>
        <v>-9</v>
      </c>
      <c r="N24">
        <f t="shared" si="1"/>
        <v>-3</v>
      </c>
      <c r="O24" t="str">
        <f t="shared" si="2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0"/>
        <v>9</v>
      </c>
      <c r="N25">
        <f t="shared" si="1"/>
        <v>55</v>
      </c>
      <c r="O25" t="str">
        <f t="shared" si="2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0"/>
        <v>45</v>
      </c>
      <c r="N26">
        <f t="shared" si="1"/>
        <v>221</v>
      </c>
      <c r="O26" t="str">
        <f t="shared" si="2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0"/>
        <v>90</v>
      </c>
      <c r="N27">
        <f t="shared" si="1"/>
        <v>442</v>
      </c>
      <c r="O27" t="str">
        <f t="shared" si="2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0"/>
        <v>135</v>
      </c>
      <c r="N28">
        <f t="shared" si="1"/>
        <v>678</v>
      </c>
      <c r="O28" t="str">
        <f t="shared" si="2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0"/>
        <v>180</v>
      </c>
      <c r="N29">
        <f t="shared" si="1"/>
        <v>928</v>
      </c>
      <c r="O29" t="str">
        <f t="shared" si="2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0"/>
        <v>225</v>
      </c>
      <c r="N30">
        <f t="shared" si="1"/>
        <v>1193</v>
      </c>
      <c r="O30" t="str">
        <f t="shared" si="2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0"/>
        <v>270</v>
      </c>
      <c r="N31">
        <f t="shared" si="1"/>
        <v>1472</v>
      </c>
      <c r="O31" t="str">
        <f t="shared" si="2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0"/>
        <v>315</v>
      </c>
      <c r="N32">
        <f t="shared" si="1"/>
        <v>1765</v>
      </c>
      <c r="O32" t="str">
        <f t="shared" si="2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0"/>
        <v>360</v>
      </c>
      <c r="N33">
        <f t="shared" si="1"/>
        <v>2073</v>
      </c>
      <c r="O33" t="str">
        <f t="shared" si="2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0"/>
        <v>405</v>
      </c>
      <c r="N34">
        <f t="shared" si="1"/>
        <v>2395</v>
      </c>
      <c r="O34" t="str">
        <f t="shared" si="2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0"/>
        <v>450</v>
      </c>
      <c r="N35">
        <f t="shared" si="1"/>
        <v>2732</v>
      </c>
      <c r="O35" t="str">
        <f t="shared" si="2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0"/>
        <v>495</v>
      </c>
      <c r="N36">
        <f t="shared" si="1"/>
        <v>3083</v>
      </c>
      <c r="O36" t="str">
        <f t="shared" si="2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0"/>
        <v>540</v>
      </c>
      <c r="N37">
        <f t="shared" si="1"/>
        <v>3449</v>
      </c>
      <c r="O37" t="str">
        <f t="shared" si="2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0"/>
        <v>585</v>
      </c>
      <c r="N38">
        <f t="shared" si="1"/>
        <v>3829</v>
      </c>
      <c r="O38" t="str">
        <f t="shared" si="2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0"/>
        <v>630</v>
      </c>
      <c r="N39">
        <f t="shared" si="1"/>
        <v>4224</v>
      </c>
      <c r="O39" t="str">
        <f t="shared" si="2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0"/>
        <v>675</v>
      </c>
      <c r="N40">
        <f t="shared" si="1"/>
        <v>4633</v>
      </c>
      <c r="O40" t="str">
        <f t="shared" si="2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0"/>
        <v>720</v>
      </c>
      <c r="N41">
        <f t="shared" si="1"/>
        <v>5056</v>
      </c>
      <c r="O41" t="str">
        <f t="shared" si="2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0"/>
        <v>765</v>
      </c>
      <c r="N42">
        <f t="shared" si="1"/>
        <v>5494</v>
      </c>
      <c r="O42" t="str">
        <f t="shared" si="2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0"/>
        <v>810</v>
      </c>
      <c r="N43">
        <f t="shared" si="1"/>
        <v>5946</v>
      </c>
      <c r="O43" t="str">
        <f t="shared" si="2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0"/>
        <v>855</v>
      </c>
      <c r="N44">
        <f t="shared" si="1"/>
        <v>6413</v>
      </c>
      <c r="O44" t="str">
        <f t="shared" si="2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0"/>
        <v>900</v>
      </c>
      <c r="N45">
        <f t="shared" si="1"/>
        <v>6894</v>
      </c>
      <c r="O45" t="str">
        <f t="shared" si="2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0"/>
        <v>0</v>
      </c>
      <c r="N46">
        <f t="shared" si="1"/>
        <v>6413</v>
      </c>
      <c r="O46" t="str">
        <f t="shared" si="2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0"/>
        <v>0</v>
      </c>
      <c r="N47">
        <f t="shared" si="1"/>
        <v>5946</v>
      </c>
      <c r="O47" t="str">
        <f t="shared" si="2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0"/>
        <v>-990</v>
      </c>
      <c r="N48">
        <f t="shared" si="1"/>
        <v>0</v>
      </c>
      <c r="O48" t="str">
        <f t="shared" si="2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0"/>
        <v>-945</v>
      </c>
      <c r="N49">
        <f t="shared" si="1"/>
        <v>0</v>
      </c>
      <c r="O49" t="str">
        <f t="shared" si="2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0"/>
        <v>-900</v>
      </c>
      <c r="N50">
        <f t="shared" si="1"/>
        <v>0</v>
      </c>
      <c r="O50" t="str">
        <f t="shared" si="2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0"/>
        <v>-855</v>
      </c>
      <c r="N51">
        <f t="shared" si="1"/>
        <v>0</v>
      </c>
      <c r="O51" t="str">
        <f t="shared" si="2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0"/>
        <v>-810</v>
      </c>
      <c r="N52">
        <f t="shared" si="1"/>
        <v>0</v>
      </c>
      <c r="O52" t="str">
        <f t="shared" si="2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0"/>
        <v>-765</v>
      </c>
      <c r="N53">
        <f t="shared" si="1"/>
        <v>0</v>
      </c>
      <c r="O53" t="str">
        <f t="shared" si="2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0"/>
        <v>-720</v>
      </c>
      <c r="N54">
        <f t="shared" si="1"/>
        <v>0</v>
      </c>
      <c r="O54" t="str">
        <f t="shared" si="2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0"/>
        <v>-675</v>
      </c>
      <c r="N55">
        <f t="shared" si="1"/>
        <v>0</v>
      </c>
      <c r="O55" t="str">
        <f t="shared" si="2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0"/>
        <v>-630</v>
      </c>
      <c r="N56">
        <f t="shared" si="1"/>
        <v>-50</v>
      </c>
      <c r="O56" t="str">
        <f t="shared" si="2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0"/>
        <v>-585</v>
      </c>
      <c r="N57">
        <f t="shared" si="1"/>
        <v>-124</v>
      </c>
      <c r="O57" t="str">
        <f t="shared" si="2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0"/>
        <v>-540</v>
      </c>
      <c r="N58">
        <f t="shared" si="1"/>
        <v>-186</v>
      </c>
      <c r="O58" t="str">
        <f t="shared" si="2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0"/>
        <v>-495</v>
      </c>
      <c r="N59">
        <f t="shared" si="1"/>
        <v>-236</v>
      </c>
      <c r="O59" t="str">
        <f t="shared" si="2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0"/>
        <v>-450</v>
      </c>
      <c r="N60">
        <f t="shared" si="1"/>
        <v>-274</v>
      </c>
      <c r="O60" t="str">
        <f t="shared" si="2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0"/>
        <v>-405</v>
      </c>
      <c r="N61">
        <f t="shared" si="1"/>
        <v>-300</v>
      </c>
      <c r="O61" t="str">
        <f t="shared" si="2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0"/>
        <v>-360</v>
      </c>
      <c r="N62">
        <f t="shared" si="1"/>
        <v>-314</v>
      </c>
      <c r="O62" t="str">
        <f t="shared" si="2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0"/>
        <v>-315</v>
      </c>
      <c r="N63">
        <f t="shared" si="1"/>
        <v>-315</v>
      </c>
      <c r="O63" t="str">
        <f t="shared" si="2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0"/>
        <v>-270</v>
      </c>
      <c r="N64">
        <f t="shared" si="1"/>
        <v>-304</v>
      </c>
      <c r="O64" t="str">
        <f t="shared" si="2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0"/>
        <v>-225</v>
      </c>
      <c r="N65">
        <f t="shared" si="1"/>
        <v>-282</v>
      </c>
      <c r="O65" t="str">
        <f t="shared" si="2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0"/>
        <v>-180</v>
      </c>
      <c r="N66">
        <f t="shared" si="1"/>
        <v>-247</v>
      </c>
      <c r="O66" t="str">
        <f t="shared" si="2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M130" si="3">A67</f>
        <v>29.7</v>
      </c>
      <c r="M67">
        <f t="shared" si="3"/>
        <v>-135</v>
      </c>
      <c r="N67">
        <f t="shared" ref="N67:N130" si="4">C67*1000</f>
        <v>-200</v>
      </c>
      <c r="O67" t="str">
        <f t="shared" ref="O67:O130" si="5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3"/>
        <v>29.7</v>
      </c>
      <c r="M68">
        <f t="shared" si="3"/>
        <v>-90</v>
      </c>
      <c r="N68">
        <f t="shared" si="4"/>
        <v>-141</v>
      </c>
      <c r="O68" t="str">
        <f t="shared" si="5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3"/>
        <v>29.7</v>
      </c>
      <c r="M69">
        <f t="shared" si="3"/>
        <v>-45</v>
      </c>
      <c r="N69">
        <f t="shared" si="4"/>
        <v>-70</v>
      </c>
      <c r="O69" t="str">
        <f t="shared" si="5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3"/>
        <v>29.7</v>
      </c>
      <c r="M70">
        <f t="shared" si="3"/>
        <v>-9</v>
      </c>
      <c r="N70">
        <f t="shared" si="4"/>
        <v>-4</v>
      </c>
      <c r="O70" t="str">
        <f t="shared" si="5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3"/>
        <v>29.7</v>
      </c>
      <c r="M71">
        <f t="shared" si="3"/>
        <v>9</v>
      </c>
      <c r="N71">
        <f t="shared" si="4"/>
        <v>54</v>
      </c>
      <c r="O71" t="str">
        <f t="shared" si="5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3"/>
        <v>29.7</v>
      </c>
      <c r="M72">
        <f t="shared" si="3"/>
        <v>45</v>
      </c>
      <c r="N72">
        <f t="shared" si="4"/>
        <v>216</v>
      </c>
      <c r="O72" t="str">
        <f t="shared" si="5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3"/>
        <v>29.7</v>
      </c>
      <c r="M73">
        <f t="shared" si="3"/>
        <v>90</v>
      </c>
      <c r="N73">
        <f t="shared" si="4"/>
        <v>430</v>
      </c>
      <c r="O73" t="str">
        <f t="shared" si="5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3"/>
        <v>29.7</v>
      </c>
      <c r="M74">
        <f t="shared" si="3"/>
        <v>135</v>
      </c>
      <c r="N74">
        <f t="shared" si="4"/>
        <v>658</v>
      </c>
      <c r="O74" t="str">
        <f t="shared" si="5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3"/>
        <v>29.7</v>
      </c>
      <c r="M75">
        <f t="shared" si="3"/>
        <v>180</v>
      </c>
      <c r="N75">
        <f t="shared" si="4"/>
        <v>898</v>
      </c>
      <c r="O75" t="str">
        <f t="shared" si="5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3"/>
        <v>29.7</v>
      </c>
      <c r="M76">
        <f t="shared" si="3"/>
        <v>225</v>
      </c>
      <c r="N76">
        <f t="shared" si="4"/>
        <v>1152</v>
      </c>
      <c r="O76" t="str">
        <f t="shared" si="5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3"/>
        <v>29.7</v>
      </c>
      <c r="M77">
        <f t="shared" si="3"/>
        <v>270</v>
      </c>
      <c r="N77">
        <f t="shared" si="4"/>
        <v>1419</v>
      </c>
      <c r="O77" t="str">
        <f t="shared" si="5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3"/>
        <v>29.7</v>
      </c>
      <c r="M78">
        <f t="shared" si="3"/>
        <v>315</v>
      </c>
      <c r="N78">
        <f t="shared" si="4"/>
        <v>1699</v>
      </c>
      <c r="O78" t="str">
        <f t="shared" si="5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3"/>
        <v>29.7</v>
      </c>
      <c r="M79">
        <f t="shared" si="3"/>
        <v>360</v>
      </c>
      <c r="N79">
        <f t="shared" si="4"/>
        <v>1992</v>
      </c>
      <c r="O79" t="str">
        <f t="shared" si="5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3"/>
        <v>29.7</v>
      </c>
      <c r="M80">
        <f t="shared" si="3"/>
        <v>405</v>
      </c>
      <c r="N80">
        <f t="shared" si="4"/>
        <v>2299</v>
      </c>
      <c r="O80" t="str">
        <f t="shared" si="5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3"/>
        <v>29.7</v>
      </c>
      <c r="M81">
        <f t="shared" si="3"/>
        <v>450</v>
      </c>
      <c r="N81">
        <f t="shared" si="4"/>
        <v>2618</v>
      </c>
      <c r="O81" t="str">
        <f t="shared" si="5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3"/>
        <v>29.7</v>
      </c>
      <c r="M82">
        <f t="shared" si="3"/>
        <v>495</v>
      </c>
      <c r="N82">
        <f t="shared" si="4"/>
        <v>2951</v>
      </c>
      <c r="O82" t="str">
        <f t="shared" si="5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3"/>
        <v>29.7</v>
      </c>
      <c r="M83">
        <f t="shared" si="3"/>
        <v>540</v>
      </c>
      <c r="N83">
        <f t="shared" si="4"/>
        <v>3297</v>
      </c>
      <c r="O83" t="str">
        <f t="shared" si="5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3"/>
        <v>29.7</v>
      </c>
      <c r="M84">
        <f t="shared" si="3"/>
        <v>585</v>
      </c>
      <c r="N84">
        <f t="shared" si="4"/>
        <v>3656</v>
      </c>
      <c r="O84" t="str">
        <f t="shared" si="5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3"/>
        <v>29.7</v>
      </c>
      <c r="M85">
        <f t="shared" si="3"/>
        <v>630</v>
      </c>
      <c r="N85">
        <f t="shared" si="4"/>
        <v>4027.9999999999995</v>
      </c>
      <c r="O85" t="str">
        <f t="shared" si="5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3"/>
        <v>29.7</v>
      </c>
      <c r="M86">
        <f t="shared" si="3"/>
        <v>675</v>
      </c>
      <c r="N86">
        <f t="shared" si="4"/>
        <v>4413</v>
      </c>
      <c r="O86" t="str">
        <f t="shared" si="5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3"/>
        <v>29.7</v>
      </c>
      <c r="M87">
        <f t="shared" si="3"/>
        <v>720</v>
      </c>
      <c r="N87">
        <f t="shared" si="4"/>
        <v>4811</v>
      </c>
      <c r="O87" t="str">
        <f t="shared" si="5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3"/>
        <v>29.7</v>
      </c>
      <c r="M88">
        <f t="shared" si="3"/>
        <v>765</v>
      </c>
      <c r="N88">
        <f t="shared" si="4"/>
        <v>5223</v>
      </c>
      <c r="O88" t="str">
        <f t="shared" si="5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3"/>
        <v>29.7</v>
      </c>
      <c r="M89">
        <f t="shared" si="3"/>
        <v>810</v>
      </c>
      <c r="N89">
        <f t="shared" si="4"/>
        <v>5647</v>
      </c>
      <c r="O89" t="str">
        <f t="shared" si="5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3"/>
        <v>29.7</v>
      </c>
      <c r="M90">
        <f t="shared" si="3"/>
        <v>855</v>
      </c>
      <c r="N90">
        <f t="shared" si="4"/>
        <v>6085</v>
      </c>
      <c r="O90" t="str">
        <f t="shared" si="5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3"/>
        <v>29.7</v>
      </c>
      <c r="M91">
        <f t="shared" si="3"/>
        <v>900</v>
      </c>
      <c r="N91">
        <f t="shared" si="4"/>
        <v>6536</v>
      </c>
      <c r="O91" t="str">
        <f t="shared" si="5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3"/>
        <v>29.7</v>
      </c>
      <c r="M92">
        <f t="shared" si="3"/>
        <v>945</v>
      </c>
      <c r="N92">
        <f t="shared" si="4"/>
        <v>7000</v>
      </c>
      <c r="O92" t="str">
        <f t="shared" si="5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3"/>
        <v>29.7</v>
      </c>
      <c r="M93">
        <f t="shared" si="3"/>
        <v>990</v>
      </c>
      <c r="N93">
        <f t="shared" si="4"/>
        <v>7478</v>
      </c>
      <c r="O93" t="str">
        <f t="shared" si="5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3"/>
        <v>297</v>
      </c>
      <c r="M94">
        <f t="shared" si="3"/>
        <v>-990</v>
      </c>
      <c r="N94">
        <f t="shared" si="4"/>
        <v>-25264</v>
      </c>
      <c r="O94" t="str">
        <f t="shared" si="5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3"/>
        <v>297</v>
      </c>
      <c r="M95">
        <f t="shared" si="3"/>
        <v>-945</v>
      </c>
      <c r="N95">
        <f t="shared" si="4"/>
        <v>-24246</v>
      </c>
      <c r="O95" t="str">
        <f t="shared" si="5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3"/>
        <v>297</v>
      </c>
      <c r="M96">
        <f t="shared" si="3"/>
        <v>-900</v>
      </c>
      <c r="N96">
        <f t="shared" si="4"/>
        <v>-23214</v>
      </c>
      <c r="O96" t="str">
        <f t="shared" si="5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3"/>
        <v>297</v>
      </c>
      <c r="M97">
        <f t="shared" si="3"/>
        <v>-855</v>
      </c>
      <c r="N97">
        <f t="shared" si="4"/>
        <v>-22170</v>
      </c>
      <c r="O97" t="str">
        <f t="shared" si="5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3"/>
        <v>297</v>
      </c>
      <c r="M98">
        <f t="shared" si="3"/>
        <v>-810</v>
      </c>
      <c r="N98">
        <f t="shared" si="4"/>
        <v>-21112</v>
      </c>
      <c r="O98" t="str">
        <f t="shared" si="5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3"/>
        <v>297</v>
      </c>
      <c r="M99">
        <f t="shared" si="3"/>
        <v>-765</v>
      </c>
      <c r="N99">
        <f t="shared" si="4"/>
        <v>-20042</v>
      </c>
      <c r="O99" t="str">
        <f t="shared" si="5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3"/>
        <v>297</v>
      </c>
      <c r="M100">
        <f t="shared" si="3"/>
        <v>-720</v>
      </c>
      <c r="N100">
        <f t="shared" si="4"/>
        <v>-18958</v>
      </c>
      <c r="O100" t="str">
        <f t="shared" si="5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3"/>
        <v>297</v>
      </c>
      <c r="M101">
        <f t="shared" si="3"/>
        <v>-675</v>
      </c>
      <c r="N101">
        <f t="shared" si="4"/>
        <v>-17862</v>
      </c>
      <c r="O101" t="str">
        <f t="shared" si="5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3"/>
        <v>297</v>
      </c>
      <c r="M102">
        <f t="shared" si="3"/>
        <v>-630</v>
      </c>
      <c r="N102">
        <f t="shared" si="4"/>
        <v>-16752</v>
      </c>
      <c r="O102" t="str">
        <f t="shared" si="5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3"/>
        <v>297</v>
      </c>
      <c r="M103">
        <f t="shared" si="3"/>
        <v>-585</v>
      </c>
      <c r="N103">
        <f t="shared" si="4"/>
        <v>-15629</v>
      </c>
      <c r="O103" t="str">
        <f t="shared" si="5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3"/>
        <v>297</v>
      </c>
      <c r="M104">
        <f t="shared" si="3"/>
        <v>-540</v>
      </c>
      <c r="N104">
        <f t="shared" si="4"/>
        <v>-14494</v>
      </c>
      <c r="O104" t="str">
        <f t="shared" si="5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3"/>
        <v>297</v>
      </c>
      <c r="M105">
        <f t="shared" si="3"/>
        <v>-495</v>
      </c>
      <c r="N105">
        <f t="shared" si="4"/>
        <v>-13345</v>
      </c>
      <c r="O105" t="str">
        <f t="shared" si="5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3"/>
        <v>297</v>
      </c>
      <c r="M106">
        <f t="shared" si="3"/>
        <v>-450</v>
      </c>
      <c r="N106">
        <f t="shared" si="4"/>
        <v>-12183</v>
      </c>
      <c r="O106" t="str">
        <f t="shared" si="5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3"/>
        <v>297</v>
      </c>
      <c r="M107">
        <f t="shared" si="3"/>
        <v>-405</v>
      </c>
      <c r="N107">
        <f t="shared" si="4"/>
        <v>-11008</v>
      </c>
      <c r="O107" t="str">
        <f t="shared" si="5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3"/>
        <v>297</v>
      </c>
      <c r="M108">
        <f t="shared" si="3"/>
        <v>-360</v>
      </c>
      <c r="N108">
        <f t="shared" si="4"/>
        <v>-9821</v>
      </c>
      <c r="O108" t="str">
        <f t="shared" si="5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3"/>
        <v>297</v>
      </c>
      <c r="M109">
        <f t="shared" si="3"/>
        <v>-315</v>
      </c>
      <c r="N109">
        <f t="shared" si="4"/>
        <v>-8620</v>
      </c>
      <c r="O109" t="str">
        <f t="shared" si="5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3"/>
        <v>297</v>
      </c>
      <c r="M110">
        <f t="shared" si="3"/>
        <v>-270</v>
      </c>
      <c r="N110">
        <f t="shared" si="4"/>
        <v>-7406</v>
      </c>
      <c r="O110" t="str">
        <f t="shared" si="5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3"/>
        <v>297</v>
      </c>
      <c r="M111">
        <f t="shared" si="3"/>
        <v>-225</v>
      </c>
      <c r="N111">
        <f t="shared" si="4"/>
        <v>-6179</v>
      </c>
      <c r="O111" t="str">
        <f t="shared" si="5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3"/>
        <v>297</v>
      </c>
      <c r="M112">
        <f t="shared" si="3"/>
        <v>-180</v>
      </c>
      <c r="N112">
        <f t="shared" si="4"/>
        <v>-4939</v>
      </c>
      <c r="O112" t="str">
        <f t="shared" si="5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3"/>
        <v>297</v>
      </c>
      <c r="M113">
        <f t="shared" si="3"/>
        <v>-135</v>
      </c>
      <c r="N113">
        <f t="shared" si="4"/>
        <v>-3686</v>
      </c>
      <c r="O113" t="str">
        <f t="shared" si="5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3"/>
        <v>297</v>
      </c>
      <c r="M114">
        <f t="shared" si="3"/>
        <v>-90</v>
      </c>
      <c r="N114">
        <f t="shared" si="4"/>
        <v>-2420</v>
      </c>
      <c r="O114" t="str">
        <f t="shared" si="5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3"/>
        <v>297</v>
      </c>
      <c r="M115">
        <f t="shared" si="3"/>
        <v>-45</v>
      </c>
      <c r="N115">
        <f t="shared" si="4"/>
        <v>-1141</v>
      </c>
      <c r="O115" t="str">
        <f t="shared" si="5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3"/>
        <v>297</v>
      </c>
      <c r="M116">
        <f t="shared" si="3"/>
        <v>-9</v>
      </c>
      <c r="N116">
        <f t="shared" si="4"/>
        <v>-108</v>
      </c>
      <c r="O116" t="str">
        <f t="shared" si="5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3"/>
        <v>297</v>
      </c>
      <c r="M117">
        <f t="shared" si="3"/>
        <v>9</v>
      </c>
      <c r="N117">
        <f t="shared" si="4"/>
        <v>465</v>
      </c>
      <c r="O117" t="str">
        <f t="shared" si="5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3"/>
        <v>297</v>
      </c>
      <c r="M118">
        <f t="shared" si="3"/>
        <v>45</v>
      </c>
      <c r="N118">
        <f t="shared" si="4"/>
        <v>1678</v>
      </c>
      <c r="O118" t="str">
        <f t="shared" si="5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3"/>
        <v>297</v>
      </c>
      <c r="M119">
        <f t="shared" si="3"/>
        <v>90</v>
      </c>
      <c r="N119">
        <f t="shared" si="4"/>
        <v>3206</v>
      </c>
      <c r="O119" t="str">
        <f t="shared" si="5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3"/>
        <v>297</v>
      </c>
      <c r="M120">
        <f t="shared" si="3"/>
        <v>135</v>
      </c>
      <c r="N120">
        <f t="shared" si="4"/>
        <v>4748</v>
      </c>
      <c r="O120" t="str">
        <f t="shared" si="5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3"/>
        <v>297</v>
      </c>
      <c r="M121">
        <f t="shared" si="3"/>
        <v>180</v>
      </c>
      <c r="N121">
        <f t="shared" si="4"/>
        <v>6304</v>
      </c>
      <c r="O121" t="str">
        <f t="shared" si="5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3"/>
        <v>297</v>
      </c>
      <c r="M122">
        <f t="shared" si="3"/>
        <v>225</v>
      </c>
      <c r="N122">
        <f t="shared" si="4"/>
        <v>7874</v>
      </c>
      <c r="O122" t="str">
        <f t="shared" si="5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3"/>
        <v>297</v>
      </c>
      <c r="M123">
        <f t="shared" si="3"/>
        <v>270</v>
      </c>
      <c r="N123">
        <f t="shared" si="4"/>
        <v>9459</v>
      </c>
      <c r="O123" t="str">
        <f t="shared" si="5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3"/>
        <v>297</v>
      </c>
      <c r="M124">
        <f t="shared" si="3"/>
        <v>315</v>
      </c>
      <c r="N124">
        <f t="shared" si="4"/>
        <v>11057</v>
      </c>
      <c r="O124" t="str">
        <f t="shared" si="5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3"/>
        <v>297</v>
      </c>
      <c r="M125">
        <f t="shared" si="3"/>
        <v>360</v>
      </c>
      <c r="N125">
        <f t="shared" si="4"/>
        <v>12670</v>
      </c>
      <c r="O125" t="str">
        <f t="shared" si="5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3"/>
        <v>297</v>
      </c>
      <c r="M126">
        <f t="shared" si="3"/>
        <v>405</v>
      </c>
      <c r="N126">
        <f t="shared" si="4"/>
        <v>14297</v>
      </c>
      <c r="O126" t="str">
        <f t="shared" si="5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3"/>
        <v>297</v>
      </c>
      <c r="M127">
        <f t="shared" si="3"/>
        <v>450</v>
      </c>
      <c r="N127">
        <f t="shared" si="4"/>
        <v>15938</v>
      </c>
      <c r="O127" t="str">
        <f t="shared" si="5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3"/>
        <v>297</v>
      </c>
      <c r="M128">
        <f t="shared" si="3"/>
        <v>495</v>
      </c>
      <c r="N128">
        <f t="shared" si="4"/>
        <v>17594</v>
      </c>
      <c r="O128" t="str">
        <f t="shared" si="5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3"/>
        <v>297</v>
      </c>
      <c r="M129">
        <f t="shared" si="3"/>
        <v>540</v>
      </c>
      <c r="N129">
        <f t="shared" si="4"/>
        <v>19263</v>
      </c>
      <c r="O129" t="str">
        <f t="shared" si="5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3"/>
        <v>297</v>
      </c>
      <c r="M130">
        <f t="shared" si="3"/>
        <v>585</v>
      </c>
      <c r="N130">
        <f t="shared" si="4"/>
        <v>20946</v>
      </c>
      <c r="O130" t="str">
        <f t="shared" si="5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M194" si="6">A131</f>
        <v>297</v>
      </c>
      <c r="M131">
        <f t="shared" si="6"/>
        <v>630</v>
      </c>
      <c r="N131">
        <f t="shared" ref="N131:N194" si="7">C131*1000</f>
        <v>22644</v>
      </c>
      <c r="O131" t="str">
        <f t="shared" ref="O131:O194" si="8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6"/>
        <v>297</v>
      </c>
      <c r="M132">
        <f t="shared" si="6"/>
        <v>675</v>
      </c>
      <c r="N132">
        <f t="shared" si="7"/>
        <v>24356</v>
      </c>
      <c r="O132" t="str">
        <f t="shared" si="8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6"/>
        <v>297</v>
      </c>
      <c r="M133">
        <f t="shared" si="6"/>
        <v>720</v>
      </c>
      <c r="N133">
        <f t="shared" si="7"/>
        <v>26082</v>
      </c>
      <c r="O133" t="str">
        <f t="shared" si="8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6"/>
        <v>297</v>
      </c>
      <c r="M134">
        <f t="shared" si="6"/>
        <v>765</v>
      </c>
      <c r="N134">
        <f t="shared" si="7"/>
        <v>27822</v>
      </c>
      <c r="O134" t="str">
        <f t="shared" si="8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6"/>
        <v>297</v>
      </c>
      <c r="M135">
        <f t="shared" si="6"/>
        <v>810</v>
      </c>
      <c r="N135">
        <f t="shared" si="7"/>
        <v>29576</v>
      </c>
      <c r="O135" t="str">
        <f t="shared" si="8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6"/>
        <v>297</v>
      </c>
      <c r="M136">
        <f t="shared" si="6"/>
        <v>855</v>
      </c>
      <c r="N136">
        <f t="shared" si="7"/>
        <v>31344</v>
      </c>
      <c r="O136" t="str">
        <f t="shared" si="8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6"/>
        <v>297</v>
      </c>
      <c r="M137">
        <f t="shared" si="6"/>
        <v>900</v>
      </c>
      <c r="N137">
        <f t="shared" si="7"/>
        <v>33127</v>
      </c>
      <c r="O137" t="str">
        <f t="shared" si="8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6"/>
        <v>297</v>
      </c>
      <c r="M138">
        <f t="shared" si="6"/>
        <v>945</v>
      </c>
      <c r="N138">
        <f t="shared" si="7"/>
        <v>34924</v>
      </c>
      <c r="O138" t="str">
        <f t="shared" si="8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6"/>
        <v>297</v>
      </c>
      <c r="M139">
        <f t="shared" si="6"/>
        <v>990</v>
      </c>
      <c r="N139">
        <f t="shared" si="7"/>
        <v>36734</v>
      </c>
      <c r="O139" t="str">
        <f t="shared" si="8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6"/>
        <v>594</v>
      </c>
      <c r="M140">
        <f t="shared" si="6"/>
        <v>-990</v>
      </c>
      <c r="N140">
        <f t="shared" si="7"/>
        <v>-54008</v>
      </c>
      <c r="O140" t="str">
        <f t="shared" si="8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6"/>
        <v>594</v>
      </c>
      <c r="M141">
        <f t="shared" si="6"/>
        <v>-945</v>
      </c>
      <c r="N141">
        <f t="shared" si="7"/>
        <v>-51701</v>
      </c>
      <c r="O141" t="str">
        <f t="shared" si="8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6"/>
        <v>594</v>
      </c>
      <c r="M142">
        <f t="shared" si="6"/>
        <v>-900</v>
      </c>
      <c r="N142">
        <f t="shared" si="7"/>
        <v>-49378</v>
      </c>
      <c r="O142" t="str">
        <f t="shared" si="8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6"/>
        <v>594</v>
      </c>
      <c r="M143">
        <f t="shared" si="6"/>
        <v>-855</v>
      </c>
      <c r="N143">
        <f t="shared" si="7"/>
        <v>-47040</v>
      </c>
      <c r="O143" t="str">
        <f t="shared" si="8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6"/>
        <v>594</v>
      </c>
      <c r="M144">
        <f t="shared" si="6"/>
        <v>-810</v>
      </c>
      <c r="N144">
        <f t="shared" si="7"/>
        <v>-44686</v>
      </c>
      <c r="O144" t="str">
        <f t="shared" si="8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6"/>
        <v>594</v>
      </c>
      <c r="M145">
        <f t="shared" si="6"/>
        <v>-765</v>
      </c>
      <c r="N145">
        <f t="shared" si="7"/>
        <v>-42317</v>
      </c>
      <c r="O145" t="str">
        <f t="shared" si="8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6"/>
        <v>594</v>
      </c>
      <c r="M146">
        <f t="shared" si="6"/>
        <v>-720</v>
      </c>
      <c r="N146">
        <f t="shared" si="7"/>
        <v>-39932</v>
      </c>
      <c r="O146" t="str">
        <f t="shared" si="8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6"/>
        <v>594</v>
      </c>
      <c r="M147">
        <f t="shared" si="6"/>
        <v>-675</v>
      </c>
      <c r="N147">
        <f t="shared" si="7"/>
        <v>-37531</v>
      </c>
      <c r="O147" t="str">
        <f t="shared" si="8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6"/>
        <v>594</v>
      </c>
      <c r="M148">
        <f t="shared" si="6"/>
        <v>-630</v>
      </c>
      <c r="N148">
        <f t="shared" si="7"/>
        <v>-35115</v>
      </c>
      <c r="O148" t="str">
        <f t="shared" si="8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6"/>
        <v>594</v>
      </c>
      <c r="M149">
        <f t="shared" si="6"/>
        <v>-585</v>
      </c>
      <c r="N149">
        <f t="shared" si="7"/>
        <v>-32683</v>
      </c>
      <c r="O149" t="str">
        <f t="shared" si="8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6"/>
        <v>594</v>
      </c>
      <c r="M150">
        <f t="shared" si="6"/>
        <v>-540</v>
      </c>
      <c r="N150">
        <f t="shared" si="7"/>
        <v>-30236</v>
      </c>
      <c r="O150" t="str">
        <f t="shared" si="8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6"/>
        <v>594</v>
      </c>
      <c r="M151">
        <f t="shared" si="6"/>
        <v>-495</v>
      </c>
      <c r="N151">
        <f t="shared" si="7"/>
        <v>-27773</v>
      </c>
      <c r="O151" t="str">
        <f t="shared" si="8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6"/>
        <v>594</v>
      </c>
      <c r="M152">
        <f t="shared" si="6"/>
        <v>-450</v>
      </c>
      <c r="N152">
        <f t="shared" si="7"/>
        <v>-25294</v>
      </c>
      <c r="O152" t="str">
        <f t="shared" si="8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6"/>
        <v>594</v>
      </c>
      <c r="M153">
        <f t="shared" si="6"/>
        <v>-405</v>
      </c>
      <c r="N153">
        <f t="shared" si="7"/>
        <v>-22800</v>
      </c>
      <c r="O153" t="str">
        <f t="shared" si="8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6"/>
        <v>594</v>
      </c>
      <c r="M154">
        <f t="shared" si="6"/>
        <v>-360</v>
      </c>
      <c r="N154">
        <f t="shared" si="7"/>
        <v>-20290</v>
      </c>
      <c r="O154" t="str">
        <f t="shared" si="8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6"/>
        <v>594</v>
      </c>
      <c r="M155">
        <f t="shared" si="6"/>
        <v>-315</v>
      </c>
      <c r="N155">
        <f t="shared" si="7"/>
        <v>-17765</v>
      </c>
      <c r="O155" t="str">
        <f t="shared" si="8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6"/>
        <v>594</v>
      </c>
      <c r="M156">
        <f t="shared" si="6"/>
        <v>-270</v>
      </c>
      <c r="N156">
        <f t="shared" si="7"/>
        <v>-15224</v>
      </c>
      <c r="O156" t="str">
        <f t="shared" si="8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6"/>
        <v>594</v>
      </c>
      <c r="M157">
        <f t="shared" si="6"/>
        <v>-225</v>
      </c>
      <c r="N157">
        <f t="shared" si="7"/>
        <v>-12668</v>
      </c>
      <c r="O157" t="str">
        <f t="shared" si="8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6"/>
        <v>594</v>
      </c>
      <c r="M158">
        <f t="shared" si="6"/>
        <v>-180</v>
      </c>
      <c r="N158">
        <f t="shared" si="7"/>
        <v>-10096</v>
      </c>
      <c r="O158" t="str">
        <f t="shared" si="8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6"/>
        <v>594</v>
      </c>
      <c r="M159">
        <f t="shared" si="6"/>
        <v>-135</v>
      </c>
      <c r="N159">
        <f t="shared" si="7"/>
        <v>-7508</v>
      </c>
      <c r="O159" t="str">
        <f t="shared" si="8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6"/>
        <v>594</v>
      </c>
      <c r="M160">
        <f t="shared" si="6"/>
        <v>-90</v>
      </c>
      <c r="N160">
        <f t="shared" si="7"/>
        <v>-4905</v>
      </c>
      <c r="O160" t="str">
        <f t="shared" si="8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6"/>
        <v>594</v>
      </c>
      <c r="M161">
        <f t="shared" si="6"/>
        <v>-45</v>
      </c>
      <c r="N161">
        <f t="shared" si="7"/>
        <v>-2286</v>
      </c>
      <c r="O161" t="str">
        <f t="shared" si="8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6"/>
        <v>594</v>
      </c>
      <c r="M162">
        <f t="shared" si="6"/>
        <v>-9</v>
      </c>
      <c r="N162">
        <f t="shared" si="7"/>
        <v>-180</v>
      </c>
      <c r="O162" t="str">
        <f t="shared" si="8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6"/>
        <v>594</v>
      </c>
      <c r="M163">
        <f t="shared" si="6"/>
        <v>9</v>
      </c>
      <c r="N163">
        <f t="shared" si="7"/>
        <v>971</v>
      </c>
      <c r="O163" t="str">
        <f t="shared" si="8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6"/>
        <v>594</v>
      </c>
      <c r="M164">
        <f t="shared" si="6"/>
        <v>45</v>
      </c>
      <c r="N164">
        <f t="shared" si="7"/>
        <v>3351</v>
      </c>
      <c r="O164" t="str">
        <f t="shared" si="8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6"/>
        <v>594</v>
      </c>
      <c r="M165">
        <f t="shared" si="6"/>
        <v>90</v>
      </c>
      <c r="N165">
        <f t="shared" si="7"/>
        <v>6341</v>
      </c>
      <c r="O165" t="str">
        <f t="shared" si="8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6"/>
        <v>594</v>
      </c>
      <c r="M166">
        <f t="shared" si="6"/>
        <v>135</v>
      </c>
      <c r="N166">
        <f t="shared" si="7"/>
        <v>9348</v>
      </c>
      <c r="O166" t="str">
        <f t="shared" si="8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6"/>
        <v>594</v>
      </c>
      <c r="M167">
        <f t="shared" si="6"/>
        <v>180</v>
      </c>
      <c r="N167">
        <f t="shared" si="7"/>
        <v>12372</v>
      </c>
      <c r="O167" t="str">
        <f t="shared" si="8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6"/>
        <v>594</v>
      </c>
      <c r="M168">
        <f t="shared" si="6"/>
        <v>225</v>
      </c>
      <c r="N168">
        <f t="shared" si="7"/>
        <v>15412</v>
      </c>
      <c r="O168" t="str">
        <f t="shared" si="8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6"/>
        <v>594</v>
      </c>
      <c r="M169">
        <f t="shared" si="6"/>
        <v>270</v>
      </c>
      <c r="N169">
        <f t="shared" si="7"/>
        <v>18470</v>
      </c>
      <c r="O169" t="str">
        <f t="shared" si="8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6"/>
        <v>594</v>
      </c>
      <c r="M170">
        <f t="shared" si="6"/>
        <v>315</v>
      </c>
      <c r="N170">
        <f t="shared" si="7"/>
        <v>21545</v>
      </c>
      <c r="O170" t="str">
        <f t="shared" si="8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6"/>
        <v>594</v>
      </c>
      <c r="M171">
        <f t="shared" si="6"/>
        <v>360</v>
      </c>
      <c r="N171">
        <f t="shared" si="7"/>
        <v>24636</v>
      </c>
      <c r="O171" t="str">
        <f t="shared" si="8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6"/>
        <v>594</v>
      </c>
      <c r="M172">
        <f t="shared" si="6"/>
        <v>405</v>
      </c>
      <c r="N172">
        <f t="shared" si="7"/>
        <v>27744</v>
      </c>
      <c r="O172" t="str">
        <f t="shared" si="8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6"/>
        <v>594</v>
      </c>
      <c r="M173">
        <f t="shared" si="6"/>
        <v>450</v>
      </c>
      <c r="N173">
        <f t="shared" si="7"/>
        <v>30870</v>
      </c>
      <c r="O173" t="str">
        <f t="shared" si="8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6"/>
        <v>594</v>
      </c>
      <c r="M174">
        <f t="shared" si="6"/>
        <v>495</v>
      </c>
      <c r="N174">
        <f t="shared" si="7"/>
        <v>34012</v>
      </c>
      <c r="O174" t="str">
        <f t="shared" si="8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6"/>
        <v>594</v>
      </c>
      <c r="M175">
        <f t="shared" si="6"/>
        <v>540</v>
      </c>
      <c r="N175">
        <f t="shared" si="7"/>
        <v>37171</v>
      </c>
      <c r="O175" t="str">
        <f t="shared" si="8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6"/>
        <v>594</v>
      </c>
      <c r="M176">
        <f t="shared" si="6"/>
        <v>585</v>
      </c>
      <c r="N176">
        <f t="shared" si="7"/>
        <v>40347</v>
      </c>
      <c r="O176" t="str">
        <f t="shared" si="8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6"/>
        <v>594</v>
      </c>
      <c r="M177">
        <f t="shared" si="6"/>
        <v>630</v>
      </c>
      <c r="N177">
        <f t="shared" si="7"/>
        <v>43540</v>
      </c>
      <c r="O177" t="str">
        <f t="shared" si="8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6"/>
        <v>594</v>
      </c>
      <c r="M178">
        <f t="shared" si="6"/>
        <v>675</v>
      </c>
      <c r="N178">
        <f t="shared" si="7"/>
        <v>46750</v>
      </c>
      <c r="O178" t="str">
        <f t="shared" si="8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6"/>
        <v>594</v>
      </c>
      <c r="M179">
        <f t="shared" si="6"/>
        <v>720</v>
      </c>
      <c r="N179">
        <f t="shared" si="7"/>
        <v>49977</v>
      </c>
      <c r="O179" t="str">
        <f t="shared" si="8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6"/>
        <v>594</v>
      </c>
      <c r="M180">
        <f t="shared" si="6"/>
        <v>765</v>
      </c>
      <c r="N180">
        <f t="shared" si="7"/>
        <v>53220</v>
      </c>
      <c r="O180" t="str">
        <f t="shared" si="8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6"/>
        <v>594</v>
      </c>
      <c r="M181">
        <f t="shared" si="6"/>
        <v>810</v>
      </c>
      <c r="N181">
        <f t="shared" si="7"/>
        <v>56481</v>
      </c>
      <c r="O181" t="str">
        <f t="shared" si="8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6"/>
        <v>594</v>
      </c>
      <c r="M182">
        <f t="shared" si="6"/>
        <v>855</v>
      </c>
      <c r="N182">
        <f t="shared" si="7"/>
        <v>59758</v>
      </c>
      <c r="O182" t="str">
        <f t="shared" si="8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6"/>
        <v>594</v>
      </c>
      <c r="M183">
        <f t="shared" si="6"/>
        <v>900</v>
      </c>
      <c r="N183">
        <f t="shared" si="7"/>
        <v>63053</v>
      </c>
      <c r="O183" t="str">
        <f t="shared" si="8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6"/>
        <v>594</v>
      </c>
      <c r="M184">
        <f t="shared" si="6"/>
        <v>945</v>
      </c>
      <c r="N184">
        <f t="shared" si="7"/>
        <v>66364</v>
      </c>
      <c r="O184" t="str">
        <f t="shared" si="8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6"/>
        <v>594</v>
      </c>
      <c r="M185">
        <f t="shared" si="6"/>
        <v>990</v>
      </c>
      <c r="N185">
        <f t="shared" si="7"/>
        <v>69692</v>
      </c>
      <c r="O185" t="str">
        <f t="shared" si="8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6"/>
        <v>891</v>
      </c>
      <c r="M186">
        <f t="shared" si="6"/>
        <v>-990</v>
      </c>
      <c r="N186">
        <f t="shared" si="7"/>
        <v>-82296</v>
      </c>
      <c r="O186" t="str">
        <f t="shared" si="8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6"/>
        <v>891</v>
      </c>
      <c r="M187">
        <f t="shared" si="6"/>
        <v>-945</v>
      </c>
      <c r="N187">
        <f t="shared" si="7"/>
        <v>-78735</v>
      </c>
      <c r="O187" t="str">
        <f t="shared" si="8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6"/>
        <v>891</v>
      </c>
      <c r="M188">
        <f t="shared" si="6"/>
        <v>-900</v>
      </c>
      <c r="N188">
        <f t="shared" si="7"/>
        <v>-75154</v>
      </c>
      <c r="O188" t="str">
        <f t="shared" si="8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6"/>
        <v>891</v>
      </c>
      <c r="M189">
        <f t="shared" si="6"/>
        <v>-855</v>
      </c>
      <c r="N189">
        <f t="shared" si="7"/>
        <v>-71554</v>
      </c>
      <c r="O189" t="str">
        <f t="shared" si="8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6"/>
        <v>891</v>
      </c>
      <c r="M190">
        <f t="shared" si="6"/>
        <v>-810</v>
      </c>
      <c r="N190">
        <f t="shared" si="7"/>
        <v>-67933</v>
      </c>
      <c r="O190" t="str">
        <f t="shared" si="8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6"/>
        <v>891</v>
      </c>
      <c r="M191">
        <f t="shared" si="6"/>
        <v>-765</v>
      </c>
      <c r="N191">
        <f t="shared" si="7"/>
        <v>-64293.000000000007</v>
      </c>
      <c r="O191" t="str">
        <f t="shared" si="8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6"/>
        <v>891</v>
      </c>
      <c r="M192">
        <f t="shared" si="6"/>
        <v>-720</v>
      </c>
      <c r="N192">
        <f t="shared" si="7"/>
        <v>-60633</v>
      </c>
      <c r="O192" t="str">
        <f t="shared" si="8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6"/>
        <v>891</v>
      </c>
      <c r="M193">
        <f t="shared" si="6"/>
        <v>-675</v>
      </c>
      <c r="N193">
        <f t="shared" si="7"/>
        <v>-56954</v>
      </c>
      <c r="O193" t="str">
        <f t="shared" si="8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6"/>
        <v>891</v>
      </c>
      <c r="M194">
        <f t="shared" si="6"/>
        <v>-630</v>
      </c>
      <c r="N194">
        <f t="shared" si="7"/>
        <v>-53254</v>
      </c>
      <c r="O194" t="str">
        <f t="shared" si="8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M258" si="9">A195</f>
        <v>891</v>
      </c>
      <c r="M195">
        <f t="shared" si="9"/>
        <v>-585</v>
      </c>
      <c r="N195">
        <f t="shared" ref="N195:N258" si="10">C195*1000</f>
        <v>-49535</v>
      </c>
      <c r="O195" t="str">
        <f t="shared" ref="O195:O258" si="11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9"/>
        <v>891</v>
      </c>
      <c r="M196">
        <f t="shared" si="9"/>
        <v>-540</v>
      </c>
      <c r="N196">
        <f t="shared" si="10"/>
        <v>-45796</v>
      </c>
      <c r="O196" t="str">
        <f t="shared" si="11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9"/>
        <v>891</v>
      </c>
      <c r="M197">
        <f t="shared" si="9"/>
        <v>-495</v>
      </c>
      <c r="N197">
        <f t="shared" si="10"/>
        <v>-42038</v>
      </c>
      <c r="O197" t="str">
        <f t="shared" si="11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9"/>
        <v>891</v>
      </c>
      <c r="M198">
        <f t="shared" si="9"/>
        <v>-450</v>
      </c>
      <c r="N198">
        <f t="shared" si="10"/>
        <v>-38259</v>
      </c>
      <c r="O198" t="str">
        <f t="shared" si="11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9"/>
        <v>891</v>
      </c>
      <c r="M199">
        <f t="shared" si="9"/>
        <v>-405</v>
      </c>
      <c r="N199">
        <f t="shared" si="10"/>
        <v>-34461</v>
      </c>
      <c r="O199" t="str">
        <f t="shared" si="11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9"/>
        <v>891</v>
      </c>
      <c r="M200">
        <f t="shared" si="9"/>
        <v>-360</v>
      </c>
      <c r="N200">
        <f t="shared" si="10"/>
        <v>-30643</v>
      </c>
      <c r="O200" t="str">
        <f t="shared" si="11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9"/>
        <v>891</v>
      </c>
      <c r="M201">
        <f t="shared" si="9"/>
        <v>-315</v>
      </c>
      <c r="N201">
        <f t="shared" si="10"/>
        <v>-26805</v>
      </c>
      <c r="O201" t="str">
        <f t="shared" si="11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9"/>
        <v>891</v>
      </c>
      <c r="M202">
        <f t="shared" si="9"/>
        <v>-270</v>
      </c>
      <c r="N202">
        <f t="shared" si="10"/>
        <v>-22948</v>
      </c>
      <c r="O202" t="str">
        <f t="shared" si="11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9"/>
        <v>891</v>
      </c>
      <c r="M203">
        <f t="shared" si="9"/>
        <v>-225</v>
      </c>
      <c r="N203">
        <f t="shared" si="10"/>
        <v>-19071</v>
      </c>
      <c r="O203" t="str">
        <f t="shared" si="11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9"/>
        <v>891</v>
      </c>
      <c r="M204">
        <f t="shared" si="9"/>
        <v>-180</v>
      </c>
      <c r="N204">
        <f t="shared" si="10"/>
        <v>-15174</v>
      </c>
      <c r="O204" t="str">
        <f t="shared" si="11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9"/>
        <v>891</v>
      </c>
      <c r="M205">
        <f t="shared" si="9"/>
        <v>-135</v>
      </c>
      <c r="N205">
        <f t="shared" si="10"/>
        <v>-11257</v>
      </c>
      <c r="O205" t="str">
        <f t="shared" si="11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9"/>
        <v>891</v>
      </c>
      <c r="M206">
        <f t="shared" si="9"/>
        <v>-90</v>
      </c>
      <c r="N206">
        <f t="shared" si="10"/>
        <v>-7321</v>
      </c>
      <c r="O206" t="str">
        <f t="shared" si="11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9"/>
        <v>891</v>
      </c>
      <c r="M207">
        <f t="shared" si="9"/>
        <v>-45</v>
      </c>
      <c r="N207">
        <f t="shared" si="10"/>
        <v>-3365</v>
      </c>
      <c r="O207" t="str">
        <f t="shared" si="11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9"/>
        <v>891</v>
      </c>
      <c r="M208">
        <f t="shared" si="9"/>
        <v>-9</v>
      </c>
      <c r="N208">
        <f t="shared" si="10"/>
        <v>-186</v>
      </c>
      <c r="O208" t="str">
        <f t="shared" si="11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9"/>
        <v>891</v>
      </c>
      <c r="M209">
        <f t="shared" si="9"/>
        <v>9</v>
      </c>
      <c r="N209">
        <f t="shared" si="10"/>
        <v>1548</v>
      </c>
      <c r="O209" t="str">
        <f t="shared" si="11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9"/>
        <v>891</v>
      </c>
      <c r="M210">
        <f t="shared" si="9"/>
        <v>45</v>
      </c>
      <c r="N210">
        <f t="shared" si="10"/>
        <v>5096</v>
      </c>
      <c r="O210" t="str">
        <f t="shared" si="11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9"/>
        <v>891</v>
      </c>
      <c r="M211">
        <f t="shared" si="9"/>
        <v>90</v>
      </c>
      <c r="N211">
        <f t="shared" si="10"/>
        <v>9551</v>
      </c>
      <c r="O211" t="str">
        <f t="shared" si="11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9"/>
        <v>891</v>
      </c>
      <c r="M212">
        <f t="shared" si="9"/>
        <v>135</v>
      </c>
      <c r="N212">
        <f t="shared" si="10"/>
        <v>14027</v>
      </c>
      <c r="O212" t="str">
        <f t="shared" si="11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9"/>
        <v>891</v>
      </c>
      <c r="M213">
        <f t="shared" si="9"/>
        <v>180</v>
      </c>
      <c r="N213">
        <f t="shared" si="10"/>
        <v>18525</v>
      </c>
      <c r="O213" t="str">
        <f t="shared" si="11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9"/>
        <v>891</v>
      </c>
      <c r="M214">
        <f t="shared" si="9"/>
        <v>225</v>
      </c>
      <c r="N214">
        <f t="shared" si="10"/>
        <v>23044</v>
      </c>
      <c r="O214" t="str">
        <f t="shared" si="11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9"/>
        <v>891</v>
      </c>
      <c r="M215">
        <f t="shared" si="9"/>
        <v>270</v>
      </c>
      <c r="N215">
        <f t="shared" si="10"/>
        <v>27584</v>
      </c>
      <c r="O215" t="str">
        <f t="shared" si="11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9"/>
        <v>891</v>
      </c>
      <c r="M216">
        <f t="shared" si="9"/>
        <v>315</v>
      </c>
      <c r="N216">
        <f t="shared" si="10"/>
        <v>32146</v>
      </c>
      <c r="O216" t="str">
        <f t="shared" si="11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9"/>
        <v>891</v>
      </c>
      <c r="M217">
        <f t="shared" si="9"/>
        <v>360</v>
      </c>
      <c r="N217">
        <f t="shared" si="10"/>
        <v>36729</v>
      </c>
      <c r="O217" t="str">
        <f t="shared" si="11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9"/>
        <v>891</v>
      </c>
      <c r="M218">
        <f t="shared" si="9"/>
        <v>405</v>
      </c>
      <c r="N218">
        <f t="shared" si="10"/>
        <v>41334</v>
      </c>
      <c r="O218" t="str">
        <f t="shared" si="11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9"/>
        <v>891</v>
      </c>
      <c r="M219">
        <f t="shared" si="9"/>
        <v>450</v>
      </c>
      <c r="N219">
        <f t="shared" si="10"/>
        <v>45960</v>
      </c>
      <c r="O219" t="str">
        <f t="shared" si="11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9"/>
        <v>891</v>
      </c>
      <c r="M220">
        <f t="shared" si="9"/>
        <v>495</v>
      </c>
      <c r="N220">
        <f t="shared" si="10"/>
        <v>50607</v>
      </c>
      <c r="O220" t="str">
        <f t="shared" si="11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9"/>
        <v>891</v>
      </c>
      <c r="M221">
        <f t="shared" si="9"/>
        <v>540</v>
      </c>
      <c r="N221">
        <f t="shared" si="10"/>
        <v>55276</v>
      </c>
      <c r="O221" t="str">
        <f t="shared" si="11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9"/>
        <v>891</v>
      </c>
      <c r="M222">
        <f t="shared" si="9"/>
        <v>585</v>
      </c>
      <c r="N222">
        <f t="shared" si="10"/>
        <v>59967</v>
      </c>
      <c r="O222" t="str">
        <f t="shared" si="11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9"/>
        <v>891</v>
      </c>
      <c r="M223">
        <f t="shared" si="9"/>
        <v>630</v>
      </c>
      <c r="N223">
        <f t="shared" si="10"/>
        <v>64679</v>
      </c>
      <c r="O223" t="str">
        <f t="shared" si="11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9"/>
        <v>891</v>
      </c>
      <c r="M224">
        <f t="shared" si="9"/>
        <v>675</v>
      </c>
      <c r="N224">
        <f t="shared" si="10"/>
        <v>69412</v>
      </c>
      <c r="O224" t="str">
        <f t="shared" si="11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9"/>
        <v>891</v>
      </c>
      <c r="M225">
        <f t="shared" si="9"/>
        <v>720</v>
      </c>
      <c r="N225">
        <f t="shared" si="10"/>
        <v>74167</v>
      </c>
      <c r="O225" t="str">
        <f t="shared" si="11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9"/>
        <v>891</v>
      </c>
      <c r="M226">
        <f t="shared" si="9"/>
        <v>765</v>
      </c>
      <c r="N226">
        <f t="shared" si="10"/>
        <v>78943</v>
      </c>
      <c r="O226" t="str">
        <f t="shared" si="11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9"/>
        <v>891</v>
      </c>
      <c r="M227">
        <f t="shared" si="9"/>
        <v>810</v>
      </c>
      <c r="N227">
        <f t="shared" si="10"/>
        <v>83740</v>
      </c>
      <c r="O227" t="str">
        <f t="shared" si="11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9"/>
        <v>891</v>
      </c>
      <c r="M228">
        <f t="shared" si="9"/>
        <v>855</v>
      </c>
      <c r="N228">
        <f t="shared" si="10"/>
        <v>88559</v>
      </c>
      <c r="O228" t="str">
        <f t="shared" si="11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9"/>
        <v>891</v>
      </c>
      <c r="M229">
        <f t="shared" si="9"/>
        <v>900</v>
      </c>
      <c r="N229">
        <f t="shared" si="10"/>
        <v>93400</v>
      </c>
      <c r="O229" t="str">
        <f t="shared" si="11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9"/>
        <v>891</v>
      </c>
      <c r="M230">
        <f t="shared" si="9"/>
        <v>945</v>
      </c>
      <c r="N230">
        <f t="shared" si="10"/>
        <v>98262</v>
      </c>
      <c r="O230" t="str">
        <f t="shared" si="11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9"/>
        <v>891</v>
      </c>
      <c r="M231">
        <f t="shared" si="9"/>
        <v>990</v>
      </c>
      <c r="N231">
        <f t="shared" si="10"/>
        <v>103145</v>
      </c>
      <c r="O231" t="str">
        <f t="shared" si="11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9"/>
        <v>1188</v>
      </c>
      <c r="M232">
        <f t="shared" si="9"/>
        <v>-990</v>
      </c>
      <c r="N232">
        <f t="shared" si="10"/>
        <v>-110110</v>
      </c>
      <c r="O232" t="str">
        <f t="shared" si="11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9"/>
        <v>1188</v>
      </c>
      <c r="M233">
        <f t="shared" si="9"/>
        <v>-945</v>
      </c>
      <c r="N233">
        <f t="shared" si="10"/>
        <v>-105329</v>
      </c>
      <c r="O233" t="str">
        <f t="shared" si="11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9"/>
        <v>1188</v>
      </c>
      <c r="M234">
        <f t="shared" si="9"/>
        <v>-900</v>
      </c>
      <c r="N234">
        <f t="shared" si="10"/>
        <v>-100523</v>
      </c>
      <c r="O234" t="str">
        <f t="shared" si="11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9"/>
        <v>1188</v>
      </c>
      <c r="M235">
        <f t="shared" si="9"/>
        <v>-855</v>
      </c>
      <c r="N235">
        <f t="shared" si="10"/>
        <v>-95691</v>
      </c>
      <c r="O235" t="str">
        <f t="shared" si="11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9"/>
        <v>1188</v>
      </c>
      <c r="M236">
        <f t="shared" si="9"/>
        <v>-810</v>
      </c>
      <c r="N236">
        <f t="shared" si="10"/>
        <v>-90834</v>
      </c>
      <c r="O236" t="str">
        <f t="shared" si="11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9"/>
        <v>1188</v>
      </c>
      <c r="M237">
        <f t="shared" si="9"/>
        <v>-765</v>
      </c>
      <c r="N237">
        <f t="shared" si="10"/>
        <v>-85952</v>
      </c>
      <c r="O237" t="str">
        <f t="shared" si="11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9"/>
        <v>1188</v>
      </c>
      <c r="M238">
        <f t="shared" si="9"/>
        <v>-720</v>
      </c>
      <c r="N238">
        <f t="shared" si="10"/>
        <v>-81044</v>
      </c>
      <c r="O238" t="str">
        <f t="shared" si="11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9"/>
        <v>1188</v>
      </c>
      <c r="M239">
        <f t="shared" si="9"/>
        <v>-675</v>
      </c>
      <c r="N239">
        <f t="shared" si="10"/>
        <v>-76110</v>
      </c>
      <c r="O239" t="str">
        <f t="shared" si="11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9"/>
        <v>1188</v>
      </c>
      <c r="M240">
        <f t="shared" si="9"/>
        <v>-630</v>
      </c>
      <c r="N240">
        <f t="shared" si="10"/>
        <v>-71151</v>
      </c>
      <c r="O240" t="str">
        <f t="shared" si="11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9"/>
        <v>1188</v>
      </c>
      <c r="M241">
        <f t="shared" si="9"/>
        <v>-585</v>
      </c>
      <c r="N241">
        <f t="shared" si="10"/>
        <v>-66166</v>
      </c>
      <c r="O241" t="str">
        <f t="shared" si="11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9"/>
        <v>1188</v>
      </c>
      <c r="M242">
        <f t="shared" si="9"/>
        <v>-540</v>
      </c>
      <c r="N242">
        <f t="shared" si="10"/>
        <v>-61156</v>
      </c>
      <c r="O242" t="str">
        <f t="shared" si="11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9"/>
        <v>1188</v>
      </c>
      <c r="M243">
        <f t="shared" si="9"/>
        <v>-495</v>
      </c>
      <c r="N243">
        <f t="shared" si="10"/>
        <v>-56120</v>
      </c>
      <c r="O243" t="str">
        <f t="shared" si="11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9"/>
        <v>1188</v>
      </c>
      <c r="M244">
        <f t="shared" si="9"/>
        <v>-450</v>
      </c>
      <c r="N244">
        <f t="shared" si="10"/>
        <v>-51059</v>
      </c>
      <c r="O244" t="str">
        <f t="shared" si="11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9"/>
        <v>1188</v>
      </c>
      <c r="M245">
        <f t="shared" si="9"/>
        <v>-405</v>
      </c>
      <c r="N245">
        <f t="shared" si="10"/>
        <v>-45972</v>
      </c>
      <c r="O245" t="str">
        <f t="shared" si="11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9"/>
        <v>1188</v>
      </c>
      <c r="M246">
        <f t="shared" si="9"/>
        <v>-360</v>
      </c>
      <c r="N246">
        <f t="shared" si="10"/>
        <v>-40859</v>
      </c>
      <c r="O246" t="str">
        <f t="shared" si="11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9"/>
        <v>1188</v>
      </c>
      <c r="M247">
        <f t="shared" si="9"/>
        <v>-315</v>
      </c>
      <c r="N247">
        <f t="shared" si="10"/>
        <v>-35721</v>
      </c>
      <c r="O247" t="str">
        <f t="shared" si="11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9"/>
        <v>1188</v>
      </c>
      <c r="M248">
        <f t="shared" si="9"/>
        <v>-270</v>
      </c>
      <c r="N248">
        <f t="shared" si="10"/>
        <v>-30558</v>
      </c>
      <c r="O248" t="str">
        <f t="shared" si="11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9"/>
        <v>1188</v>
      </c>
      <c r="M249">
        <f t="shared" si="9"/>
        <v>-225</v>
      </c>
      <c r="N249">
        <f t="shared" si="10"/>
        <v>-25369</v>
      </c>
      <c r="O249" t="str">
        <f t="shared" si="11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9"/>
        <v>1188</v>
      </c>
      <c r="M250">
        <f t="shared" si="9"/>
        <v>-180</v>
      </c>
      <c r="N250">
        <f t="shared" si="10"/>
        <v>-20154</v>
      </c>
      <c r="O250" t="str">
        <f t="shared" si="11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9"/>
        <v>1188</v>
      </c>
      <c r="M251">
        <f t="shared" si="9"/>
        <v>-135</v>
      </c>
      <c r="N251">
        <f t="shared" si="10"/>
        <v>-14914</v>
      </c>
      <c r="O251" t="str">
        <f t="shared" si="11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9"/>
        <v>1188</v>
      </c>
      <c r="M252">
        <f t="shared" si="9"/>
        <v>-90</v>
      </c>
      <c r="N252">
        <f t="shared" si="10"/>
        <v>-9649</v>
      </c>
      <c r="O252" t="str">
        <f t="shared" si="11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9"/>
        <v>1188</v>
      </c>
      <c r="M253">
        <f t="shared" si="9"/>
        <v>-45</v>
      </c>
      <c r="N253">
        <f t="shared" si="10"/>
        <v>-4358</v>
      </c>
      <c r="O253" t="str">
        <f t="shared" si="11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9"/>
        <v>1188</v>
      </c>
      <c r="M254">
        <f t="shared" si="9"/>
        <v>-9</v>
      </c>
      <c r="N254">
        <f t="shared" si="10"/>
        <v>-107</v>
      </c>
      <c r="O254" t="str">
        <f t="shared" si="11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9"/>
        <v>1188</v>
      </c>
      <c r="M255">
        <f t="shared" si="9"/>
        <v>9</v>
      </c>
      <c r="N255">
        <f t="shared" si="10"/>
        <v>2217</v>
      </c>
      <c r="O255" t="str">
        <f t="shared" si="11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9"/>
        <v>1188</v>
      </c>
      <c r="M256">
        <f t="shared" si="9"/>
        <v>45</v>
      </c>
      <c r="N256">
        <f t="shared" si="10"/>
        <v>6935</v>
      </c>
      <c r="O256" t="str">
        <f t="shared" si="11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9"/>
        <v>1188</v>
      </c>
      <c r="M257">
        <f t="shared" si="9"/>
        <v>90</v>
      </c>
      <c r="N257">
        <f t="shared" si="10"/>
        <v>12857</v>
      </c>
      <c r="O257" t="str">
        <f t="shared" si="11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9"/>
        <v>1188</v>
      </c>
      <c r="M258">
        <f t="shared" si="9"/>
        <v>135</v>
      </c>
      <c r="N258">
        <f t="shared" si="10"/>
        <v>18806</v>
      </c>
      <c r="O258" t="str">
        <f t="shared" si="11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M322" si="12">A259</f>
        <v>1188</v>
      </c>
      <c r="M259">
        <f t="shared" si="12"/>
        <v>180</v>
      </c>
      <c r="N259">
        <f t="shared" ref="N259:N322" si="13">C259*1000</f>
        <v>24784</v>
      </c>
      <c r="O259" t="str">
        <f t="shared" ref="O259:O322" si="14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2"/>
        <v>1188</v>
      </c>
      <c r="M260">
        <f t="shared" si="12"/>
        <v>225</v>
      </c>
      <c r="N260">
        <f t="shared" si="13"/>
        <v>30789</v>
      </c>
      <c r="O260" t="str">
        <f t="shared" si="14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2"/>
        <v>1188</v>
      </c>
      <c r="M261">
        <f t="shared" si="12"/>
        <v>270</v>
      </c>
      <c r="N261">
        <f t="shared" si="13"/>
        <v>36821</v>
      </c>
      <c r="O261" t="str">
        <f t="shared" si="14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2"/>
        <v>1188</v>
      </c>
      <c r="M262">
        <f t="shared" si="12"/>
        <v>315</v>
      </c>
      <c r="N262">
        <f t="shared" si="13"/>
        <v>42882</v>
      </c>
      <c r="O262" t="str">
        <f t="shared" si="14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2"/>
        <v>1188</v>
      </c>
      <c r="M263">
        <f t="shared" si="12"/>
        <v>360</v>
      </c>
      <c r="N263">
        <f t="shared" si="13"/>
        <v>48970</v>
      </c>
      <c r="O263" t="str">
        <f t="shared" si="14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2"/>
        <v>1188</v>
      </c>
      <c r="M264">
        <f t="shared" si="12"/>
        <v>405</v>
      </c>
      <c r="N264">
        <f t="shared" si="13"/>
        <v>55086</v>
      </c>
      <c r="O264" t="str">
        <f t="shared" si="14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2"/>
        <v>1188</v>
      </c>
      <c r="M265">
        <f t="shared" si="12"/>
        <v>450</v>
      </c>
      <c r="N265">
        <f t="shared" si="13"/>
        <v>61230</v>
      </c>
      <c r="O265" t="str">
        <f t="shared" si="14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2"/>
        <v>1188</v>
      </c>
      <c r="M266">
        <f t="shared" si="12"/>
        <v>495</v>
      </c>
      <c r="N266">
        <f t="shared" si="13"/>
        <v>67401</v>
      </c>
      <c r="O266" t="str">
        <f t="shared" si="14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2"/>
        <v>1188</v>
      </c>
      <c r="M267">
        <f t="shared" si="12"/>
        <v>540</v>
      </c>
      <c r="N267">
        <f t="shared" si="13"/>
        <v>73600</v>
      </c>
      <c r="O267" t="str">
        <f t="shared" si="14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2"/>
        <v>1188</v>
      </c>
      <c r="M268">
        <f t="shared" si="12"/>
        <v>585</v>
      </c>
      <c r="N268">
        <f t="shared" si="13"/>
        <v>79826</v>
      </c>
      <c r="O268" t="str">
        <f t="shared" si="14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2"/>
        <v>1188</v>
      </c>
      <c r="M269">
        <f t="shared" si="12"/>
        <v>630</v>
      </c>
      <c r="N269">
        <f t="shared" si="13"/>
        <v>86081</v>
      </c>
      <c r="O269" t="str">
        <f t="shared" si="14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2"/>
        <v>1188</v>
      </c>
      <c r="M270">
        <f t="shared" si="12"/>
        <v>675</v>
      </c>
      <c r="N270">
        <f t="shared" si="13"/>
        <v>92363</v>
      </c>
      <c r="O270" t="str">
        <f t="shared" si="14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2"/>
        <v>1188</v>
      </c>
      <c r="M271">
        <f t="shared" si="12"/>
        <v>720</v>
      </c>
      <c r="N271">
        <f t="shared" si="13"/>
        <v>98673</v>
      </c>
      <c r="O271" t="str">
        <f t="shared" si="14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2"/>
        <v>1188</v>
      </c>
      <c r="M272">
        <f t="shared" si="12"/>
        <v>765</v>
      </c>
      <c r="N272">
        <f t="shared" si="13"/>
        <v>105010</v>
      </c>
      <c r="O272" t="str">
        <f t="shared" si="14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2"/>
        <v>1188</v>
      </c>
      <c r="M273">
        <f t="shared" si="12"/>
        <v>810</v>
      </c>
      <c r="N273">
        <f t="shared" si="13"/>
        <v>111375</v>
      </c>
      <c r="O273" t="str">
        <f t="shared" si="14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2"/>
        <v>1188</v>
      </c>
      <c r="M274">
        <f t="shared" si="12"/>
        <v>855</v>
      </c>
      <c r="N274">
        <f t="shared" si="13"/>
        <v>117768</v>
      </c>
      <c r="O274" t="str">
        <f t="shared" si="14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2"/>
        <v>1188</v>
      </c>
      <c r="M275">
        <f t="shared" si="12"/>
        <v>900</v>
      </c>
      <c r="N275">
        <f t="shared" si="13"/>
        <v>124189</v>
      </c>
      <c r="O275" t="str">
        <f t="shared" si="14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2"/>
        <v>1188</v>
      </c>
      <c r="M276">
        <f t="shared" si="12"/>
        <v>945</v>
      </c>
      <c r="N276">
        <f t="shared" si="13"/>
        <v>130637</v>
      </c>
      <c r="O276" t="str">
        <f t="shared" si="14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2"/>
        <v>1188</v>
      </c>
      <c r="M277">
        <f t="shared" si="12"/>
        <v>990</v>
      </c>
      <c r="N277">
        <f t="shared" si="13"/>
        <v>137113</v>
      </c>
      <c r="O277" t="str">
        <f t="shared" si="14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2"/>
        <v>1485</v>
      </c>
      <c r="M278">
        <f t="shared" si="12"/>
        <v>-990</v>
      </c>
      <c r="N278">
        <f t="shared" si="13"/>
        <v>-137428</v>
      </c>
      <c r="O278" t="str">
        <f t="shared" si="14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2"/>
        <v>1485</v>
      </c>
      <c r="M279">
        <f t="shared" si="12"/>
        <v>-945</v>
      </c>
      <c r="N279">
        <f t="shared" si="13"/>
        <v>-131463</v>
      </c>
      <c r="O279" t="str">
        <f t="shared" si="14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2"/>
        <v>1485</v>
      </c>
      <c r="M280">
        <f t="shared" si="12"/>
        <v>-900</v>
      </c>
      <c r="N280">
        <f t="shared" si="13"/>
        <v>-125465</v>
      </c>
      <c r="O280" t="str">
        <f t="shared" si="14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2"/>
        <v>1485</v>
      </c>
      <c r="M281">
        <f t="shared" si="12"/>
        <v>-855</v>
      </c>
      <c r="N281">
        <f t="shared" si="13"/>
        <v>-119434</v>
      </c>
      <c r="O281" t="str">
        <f t="shared" si="14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2"/>
        <v>1485</v>
      </c>
      <c r="M282">
        <f t="shared" si="12"/>
        <v>-810</v>
      </c>
      <c r="N282">
        <f t="shared" si="13"/>
        <v>-113370</v>
      </c>
      <c r="O282" t="str">
        <f t="shared" si="14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2"/>
        <v>1485</v>
      </c>
      <c r="M283">
        <f t="shared" si="12"/>
        <v>-765</v>
      </c>
      <c r="N283">
        <f t="shared" si="13"/>
        <v>-107273</v>
      </c>
      <c r="O283" t="str">
        <f t="shared" si="14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2"/>
        <v>1485</v>
      </c>
      <c r="M284">
        <f t="shared" si="12"/>
        <v>-720</v>
      </c>
      <c r="N284">
        <f t="shared" si="13"/>
        <v>-101143</v>
      </c>
      <c r="O284" t="str">
        <f t="shared" si="14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2"/>
        <v>1485</v>
      </c>
      <c r="M285">
        <f t="shared" si="12"/>
        <v>-675</v>
      </c>
      <c r="N285">
        <f t="shared" si="13"/>
        <v>-94981</v>
      </c>
      <c r="O285" t="str">
        <f t="shared" si="14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2"/>
        <v>1485</v>
      </c>
      <c r="M286">
        <f t="shared" si="12"/>
        <v>-630</v>
      </c>
      <c r="N286">
        <f t="shared" si="13"/>
        <v>-88785</v>
      </c>
      <c r="O286" t="str">
        <f t="shared" si="14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2"/>
        <v>1485</v>
      </c>
      <c r="M287">
        <f t="shared" si="12"/>
        <v>-585</v>
      </c>
      <c r="N287">
        <f t="shared" si="13"/>
        <v>-82556</v>
      </c>
      <c r="O287" t="str">
        <f t="shared" si="14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2"/>
        <v>1485</v>
      </c>
      <c r="M288">
        <f t="shared" si="12"/>
        <v>-540</v>
      </c>
      <c r="N288">
        <f t="shared" si="13"/>
        <v>-76295</v>
      </c>
      <c r="O288" t="str">
        <f t="shared" si="14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2"/>
        <v>1485</v>
      </c>
      <c r="M289">
        <f t="shared" si="12"/>
        <v>-495</v>
      </c>
      <c r="N289">
        <f t="shared" si="13"/>
        <v>-70000</v>
      </c>
      <c r="O289" t="str">
        <f t="shared" si="14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2"/>
        <v>1485</v>
      </c>
      <c r="M290">
        <f t="shared" si="12"/>
        <v>-450</v>
      </c>
      <c r="N290">
        <f t="shared" si="13"/>
        <v>-63673</v>
      </c>
      <c r="O290" t="str">
        <f t="shared" si="14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2"/>
        <v>1485</v>
      </c>
      <c r="M291">
        <f t="shared" si="12"/>
        <v>-405</v>
      </c>
      <c r="N291">
        <f t="shared" si="13"/>
        <v>-57313</v>
      </c>
      <c r="O291" t="str">
        <f t="shared" si="14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2"/>
        <v>1485</v>
      </c>
      <c r="M292">
        <f t="shared" si="12"/>
        <v>-360</v>
      </c>
      <c r="N292">
        <f t="shared" si="13"/>
        <v>-50920</v>
      </c>
      <c r="O292" t="str">
        <f t="shared" si="14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2"/>
        <v>1485</v>
      </c>
      <c r="M293">
        <f t="shared" si="12"/>
        <v>-315</v>
      </c>
      <c r="N293">
        <f t="shared" si="13"/>
        <v>-44494</v>
      </c>
      <c r="O293" t="str">
        <f t="shared" si="14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2"/>
        <v>1485</v>
      </c>
      <c r="M294">
        <f t="shared" si="12"/>
        <v>-270</v>
      </c>
      <c r="N294">
        <f t="shared" si="13"/>
        <v>-38035</v>
      </c>
      <c r="O294" t="str">
        <f t="shared" si="14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2"/>
        <v>1485</v>
      </c>
      <c r="M295">
        <f t="shared" si="12"/>
        <v>-225</v>
      </c>
      <c r="N295">
        <f t="shared" si="13"/>
        <v>-31543</v>
      </c>
      <c r="O295" t="str">
        <f t="shared" si="14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2"/>
        <v>1485</v>
      </c>
      <c r="M296">
        <f t="shared" si="12"/>
        <v>-180</v>
      </c>
      <c r="N296">
        <f t="shared" si="13"/>
        <v>-25018</v>
      </c>
      <c r="O296" t="str">
        <f t="shared" si="14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2"/>
        <v>1485</v>
      </c>
      <c r="M297">
        <f t="shared" si="12"/>
        <v>-135</v>
      </c>
      <c r="N297">
        <f t="shared" si="13"/>
        <v>-18460</v>
      </c>
      <c r="O297" t="str">
        <f t="shared" si="14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2"/>
        <v>1485</v>
      </c>
      <c r="M298">
        <f t="shared" si="12"/>
        <v>-90</v>
      </c>
      <c r="N298">
        <f t="shared" si="13"/>
        <v>-11869</v>
      </c>
      <c r="O298" t="str">
        <f t="shared" si="14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2"/>
        <v>1485</v>
      </c>
      <c r="M299">
        <f t="shared" si="12"/>
        <v>-45</v>
      </c>
      <c r="N299">
        <f t="shared" si="13"/>
        <v>-5246</v>
      </c>
      <c r="O299" t="str">
        <f t="shared" si="14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2"/>
        <v>1485</v>
      </c>
      <c r="M300">
        <f t="shared" si="12"/>
        <v>-9</v>
      </c>
      <c r="N300">
        <f t="shared" si="13"/>
        <v>0</v>
      </c>
      <c r="O300" t="str">
        <f t="shared" si="14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2"/>
        <v>1485</v>
      </c>
      <c r="M301">
        <f t="shared" si="12"/>
        <v>9</v>
      </c>
      <c r="N301">
        <f t="shared" si="13"/>
        <v>2999</v>
      </c>
      <c r="O301" t="str">
        <f t="shared" si="14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2"/>
        <v>1485</v>
      </c>
      <c r="M302">
        <f t="shared" si="12"/>
        <v>45</v>
      </c>
      <c r="N302">
        <f t="shared" si="13"/>
        <v>8887</v>
      </c>
      <c r="O302" t="str">
        <f t="shared" si="14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2"/>
        <v>1485</v>
      </c>
      <c r="M303">
        <f t="shared" si="12"/>
        <v>90</v>
      </c>
      <c r="N303">
        <f t="shared" si="13"/>
        <v>16279</v>
      </c>
      <c r="O303" t="str">
        <f t="shared" si="14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2"/>
        <v>1485</v>
      </c>
      <c r="M304">
        <f t="shared" si="12"/>
        <v>135</v>
      </c>
      <c r="N304">
        <f t="shared" si="13"/>
        <v>23706</v>
      </c>
      <c r="O304" t="str">
        <f t="shared" si="14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2"/>
        <v>1485</v>
      </c>
      <c r="M305">
        <f t="shared" si="12"/>
        <v>180</v>
      </c>
      <c r="N305">
        <f t="shared" si="13"/>
        <v>31170</v>
      </c>
      <c r="O305" t="str">
        <f t="shared" si="14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2"/>
        <v>1485</v>
      </c>
      <c r="M306">
        <f t="shared" si="12"/>
        <v>225</v>
      </c>
      <c r="N306">
        <f t="shared" si="13"/>
        <v>38669</v>
      </c>
      <c r="O306" t="str">
        <f t="shared" si="14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2"/>
        <v>1485</v>
      </c>
      <c r="M307">
        <f t="shared" si="12"/>
        <v>270</v>
      </c>
      <c r="N307">
        <f t="shared" si="13"/>
        <v>46204</v>
      </c>
      <c r="O307" t="str">
        <f t="shared" si="14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2"/>
        <v>1485</v>
      </c>
      <c r="M308">
        <f t="shared" si="12"/>
        <v>315</v>
      </c>
      <c r="N308">
        <f t="shared" si="13"/>
        <v>53774</v>
      </c>
      <c r="O308" t="str">
        <f t="shared" si="14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2"/>
        <v>1485</v>
      </c>
      <c r="M309">
        <f t="shared" si="12"/>
        <v>360</v>
      </c>
      <c r="N309">
        <f t="shared" si="13"/>
        <v>61380</v>
      </c>
      <c r="O309" t="str">
        <f t="shared" si="14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2"/>
        <v>1485</v>
      </c>
      <c r="M310">
        <f t="shared" si="12"/>
        <v>405</v>
      </c>
      <c r="N310">
        <f t="shared" si="13"/>
        <v>69022</v>
      </c>
      <c r="O310" t="str">
        <f t="shared" si="14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2"/>
        <v>1485</v>
      </c>
      <c r="M311">
        <f t="shared" si="12"/>
        <v>450</v>
      </c>
      <c r="N311">
        <f t="shared" si="13"/>
        <v>76700</v>
      </c>
      <c r="O311" t="str">
        <f t="shared" si="14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2"/>
        <v>1485</v>
      </c>
      <c r="M312">
        <f t="shared" si="12"/>
        <v>495</v>
      </c>
      <c r="N312">
        <f t="shared" si="13"/>
        <v>84413</v>
      </c>
      <c r="O312" t="str">
        <f t="shared" si="14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2"/>
        <v>1485</v>
      </c>
      <c r="M313">
        <f t="shared" si="12"/>
        <v>540</v>
      </c>
      <c r="N313">
        <f t="shared" si="13"/>
        <v>92162</v>
      </c>
      <c r="O313" t="str">
        <f t="shared" si="14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2"/>
        <v>1485</v>
      </c>
      <c r="M314">
        <f t="shared" si="12"/>
        <v>585</v>
      </c>
      <c r="N314">
        <f t="shared" si="13"/>
        <v>99947</v>
      </c>
      <c r="O314" t="str">
        <f t="shared" si="14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2"/>
        <v>1485</v>
      </c>
      <c r="M315">
        <f t="shared" si="12"/>
        <v>630</v>
      </c>
      <c r="N315">
        <f t="shared" si="13"/>
        <v>107768</v>
      </c>
      <c r="O315" t="str">
        <f t="shared" si="14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2"/>
        <v>1485</v>
      </c>
      <c r="M316">
        <f t="shared" si="12"/>
        <v>675</v>
      </c>
      <c r="N316">
        <f t="shared" si="13"/>
        <v>115624</v>
      </c>
      <c r="O316" t="str">
        <f t="shared" si="14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2"/>
        <v>1485</v>
      </c>
      <c r="M317">
        <f t="shared" si="12"/>
        <v>720</v>
      </c>
      <c r="N317">
        <f t="shared" si="13"/>
        <v>123516</v>
      </c>
      <c r="O317" t="str">
        <f t="shared" si="14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2"/>
        <v>1485</v>
      </c>
      <c r="M318">
        <f t="shared" si="12"/>
        <v>765</v>
      </c>
      <c r="N318">
        <f t="shared" si="13"/>
        <v>131443</v>
      </c>
      <c r="O318" t="str">
        <f t="shared" si="14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2"/>
        <v>1485</v>
      </c>
      <c r="M319">
        <f t="shared" si="12"/>
        <v>810</v>
      </c>
      <c r="N319">
        <f t="shared" si="13"/>
        <v>139407</v>
      </c>
      <c r="O319" t="str">
        <f t="shared" si="14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2"/>
        <v>1485</v>
      </c>
      <c r="M320">
        <f t="shared" si="12"/>
        <v>855</v>
      </c>
      <c r="N320">
        <f t="shared" si="13"/>
        <v>147406</v>
      </c>
      <c r="O320" t="str">
        <f t="shared" si="14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2"/>
        <v>1485</v>
      </c>
      <c r="M321">
        <f t="shared" si="12"/>
        <v>900</v>
      </c>
      <c r="N321">
        <f t="shared" si="13"/>
        <v>155441</v>
      </c>
      <c r="O321" t="str">
        <f t="shared" si="14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2"/>
        <v>1485</v>
      </c>
      <c r="M322">
        <f t="shared" si="12"/>
        <v>945</v>
      </c>
      <c r="N322">
        <f t="shared" si="13"/>
        <v>163511</v>
      </c>
      <c r="O322" t="str">
        <f t="shared" si="14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M386" si="15">A323</f>
        <v>1485</v>
      </c>
      <c r="M323">
        <f t="shared" si="15"/>
        <v>990</v>
      </c>
      <c r="N323">
        <f t="shared" ref="N323:N386" si="16">C323*1000</f>
        <v>171618</v>
      </c>
      <c r="O323" t="str">
        <f t="shared" ref="O323:O386" si="17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15"/>
        <v>1782</v>
      </c>
      <c r="M324">
        <f t="shared" si="15"/>
        <v>-990</v>
      </c>
      <c r="N324">
        <f t="shared" si="16"/>
        <v>-164233</v>
      </c>
      <c r="O324" t="str">
        <f t="shared" si="17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15"/>
        <v>1782</v>
      </c>
      <c r="M325">
        <f t="shared" si="15"/>
        <v>-945</v>
      </c>
      <c r="N325">
        <f t="shared" si="16"/>
        <v>-157118</v>
      </c>
      <c r="O325" t="str">
        <f t="shared" si="17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15"/>
        <v>1782</v>
      </c>
      <c r="M326">
        <f t="shared" si="15"/>
        <v>-900</v>
      </c>
      <c r="N326">
        <f t="shared" si="16"/>
        <v>-149961</v>
      </c>
      <c r="O326" t="str">
        <f t="shared" si="17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15"/>
        <v>1782</v>
      </c>
      <c r="M327">
        <f t="shared" si="15"/>
        <v>-855</v>
      </c>
      <c r="N327">
        <f t="shared" si="16"/>
        <v>-142762</v>
      </c>
      <c r="O327" t="str">
        <f t="shared" si="17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15"/>
        <v>1782</v>
      </c>
      <c r="M328">
        <f t="shared" si="15"/>
        <v>-810</v>
      </c>
      <c r="N328">
        <f t="shared" si="16"/>
        <v>-135521</v>
      </c>
      <c r="O328" t="str">
        <f t="shared" si="17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15"/>
        <v>1782</v>
      </c>
      <c r="M329">
        <f t="shared" si="15"/>
        <v>-765</v>
      </c>
      <c r="N329">
        <f t="shared" si="16"/>
        <v>-128238</v>
      </c>
      <c r="O329" t="str">
        <f t="shared" si="17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15"/>
        <v>1782</v>
      </c>
      <c r="M330">
        <f t="shared" si="15"/>
        <v>-720</v>
      </c>
      <c r="N330">
        <f t="shared" si="16"/>
        <v>-120913</v>
      </c>
      <c r="O330" t="str">
        <f t="shared" si="17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15"/>
        <v>1782</v>
      </c>
      <c r="M331">
        <f t="shared" si="15"/>
        <v>-675</v>
      </c>
      <c r="N331">
        <f t="shared" si="16"/>
        <v>-113546</v>
      </c>
      <c r="O331" t="str">
        <f t="shared" si="17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15"/>
        <v>1782</v>
      </c>
      <c r="M332">
        <f t="shared" si="15"/>
        <v>-630</v>
      </c>
      <c r="N332">
        <f t="shared" si="16"/>
        <v>-106137</v>
      </c>
      <c r="O332" t="str">
        <f t="shared" si="17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15"/>
        <v>1782</v>
      </c>
      <c r="M333">
        <f t="shared" si="15"/>
        <v>-585</v>
      </c>
      <c r="N333">
        <f t="shared" si="16"/>
        <v>-98687</v>
      </c>
      <c r="O333" t="str">
        <f t="shared" si="17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15"/>
        <v>1782</v>
      </c>
      <c r="M334">
        <f t="shared" si="15"/>
        <v>-540</v>
      </c>
      <c r="N334">
        <f t="shared" si="16"/>
        <v>-91194</v>
      </c>
      <c r="O334" t="str">
        <f t="shared" si="17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15"/>
        <v>1782</v>
      </c>
      <c r="M335">
        <f t="shared" si="15"/>
        <v>-495</v>
      </c>
      <c r="N335">
        <f t="shared" si="16"/>
        <v>-83660</v>
      </c>
      <c r="O335" t="str">
        <f t="shared" si="17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15"/>
        <v>1782</v>
      </c>
      <c r="M336">
        <f t="shared" si="15"/>
        <v>-450</v>
      </c>
      <c r="N336">
        <f t="shared" si="16"/>
        <v>-76083</v>
      </c>
      <c r="O336" t="str">
        <f t="shared" si="17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15"/>
        <v>1782</v>
      </c>
      <c r="M337">
        <f t="shared" si="15"/>
        <v>-405</v>
      </c>
      <c r="N337">
        <f t="shared" si="16"/>
        <v>-68465</v>
      </c>
      <c r="O337" t="str">
        <f t="shared" si="17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15"/>
        <v>1782</v>
      </c>
      <c r="M338">
        <f t="shared" si="15"/>
        <v>-360</v>
      </c>
      <c r="N338">
        <f t="shared" si="16"/>
        <v>-60805</v>
      </c>
      <c r="O338" t="str">
        <f t="shared" si="17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15"/>
        <v>1782</v>
      </c>
      <c r="M339">
        <f t="shared" si="15"/>
        <v>-315</v>
      </c>
      <c r="N339">
        <f t="shared" si="16"/>
        <v>-53103</v>
      </c>
      <c r="O339" t="str">
        <f t="shared" si="17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15"/>
        <v>1782</v>
      </c>
      <c r="M340">
        <f t="shared" si="15"/>
        <v>-270</v>
      </c>
      <c r="N340">
        <f t="shared" si="16"/>
        <v>-45358</v>
      </c>
      <c r="O340" t="str">
        <f t="shared" si="17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15"/>
        <v>1782</v>
      </c>
      <c r="M341">
        <f t="shared" si="15"/>
        <v>-225</v>
      </c>
      <c r="N341">
        <f t="shared" si="16"/>
        <v>-37572</v>
      </c>
      <c r="O341" t="str">
        <f t="shared" si="17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15"/>
        <v>1782</v>
      </c>
      <c r="M342">
        <f t="shared" si="15"/>
        <v>-180</v>
      </c>
      <c r="N342">
        <f t="shared" si="16"/>
        <v>-29745</v>
      </c>
      <c r="O342" t="str">
        <f t="shared" si="17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15"/>
        <v>1782</v>
      </c>
      <c r="M343">
        <f t="shared" si="15"/>
        <v>-135</v>
      </c>
      <c r="N343">
        <f t="shared" si="16"/>
        <v>-21875</v>
      </c>
      <c r="O343" t="str">
        <f t="shared" si="17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15"/>
        <v>1782</v>
      </c>
      <c r="M344">
        <f t="shared" si="15"/>
        <v>-90</v>
      </c>
      <c r="N344">
        <f t="shared" si="16"/>
        <v>-13963</v>
      </c>
      <c r="O344" t="str">
        <f t="shared" si="17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15"/>
        <v>1782</v>
      </c>
      <c r="M345">
        <f t="shared" si="15"/>
        <v>-45</v>
      </c>
      <c r="N345">
        <f t="shared" si="16"/>
        <v>-6009</v>
      </c>
      <c r="O345" t="str">
        <f t="shared" si="17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15"/>
        <v>1782</v>
      </c>
      <c r="M346">
        <f t="shared" si="15"/>
        <v>-9</v>
      </c>
      <c r="N346">
        <f t="shared" si="16"/>
        <v>0</v>
      </c>
      <c r="O346" t="str">
        <f t="shared" si="17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15"/>
        <v>1782</v>
      </c>
      <c r="M347">
        <f t="shared" si="15"/>
        <v>9</v>
      </c>
      <c r="N347">
        <f t="shared" si="16"/>
        <v>3916</v>
      </c>
      <c r="O347" t="str">
        <f t="shared" si="17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15"/>
        <v>1782</v>
      </c>
      <c r="M348">
        <f t="shared" si="15"/>
        <v>45</v>
      </c>
      <c r="N348">
        <f t="shared" si="16"/>
        <v>10974</v>
      </c>
      <c r="O348" t="str">
        <f t="shared" si="17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15"/>
        <v>1782</v>
      </c>
      <c r="M349">
        <f t="shared" si="15"/>
        <v>90</v>
      </c>
      <c r="N349">
        <f t="shared" si="16"/>
        <v>19839</v>
      </c>
      <c r="O349" t="str">
        <f t="shared" si="17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15"/>
        <v>1782</v>
      </c>
      <c r="M350">
        <f t="shared" si="15"/>
        <v>135</v>
      </c>
      <c r="N350">
        <f t="shared" si="16"/>
        <v>28749</v>
      </c>
      <c r="O350" t="str">
        <f t="shared" si="17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15"/>
        <v>1782</v>
      </c>
      <c r="M351">
        <f t="shared" si="15"/>
        <v>180</v>
      </c>
      <c r="N351">
        <f t="shared" si="16"/>
        <v>37704</v>
      </c>
      <c r="O351" t="str">
        <f t="shared" si="17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15"/>
        <v>1782</v>
      </c>
      <c r="M352">
        <f t="shared" si="15"/>
        <v>225</v>
      </c>
      <c r="N352">
        <f t="shared" si="16"/>
        <v>46705</v>
      </c>
      <c r="O352" t="str">
        <f t="shared" si="17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15"/>
        <v>1782</v>
      </c>
      <c r="M353">
        <f t="shared" si="15"/>
        <v>270</v>
      </c>
      <c r="N353">
        <f t="shared" si="16"/>
        <v>55751</v>
      </c>
      <c r="O353" t="str">
        <f t="shared" si="17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15"/>
        <v>1782</v>
      </c>
      <c r="M354">
        <f t="shared" si="15"/>
        <v>315</v>
      </c>
      <c r="N354">
        <f t="shared" si="16"/>
        <v>64843</v>
      </c>
      <c r="O354" t="str">
        <f t="shared" si="17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15"/>
        <v>1782</v>
      </c>
      <c r="M355">
        <f t="shared" si="15"/>
        <v>360</v>
      </c>
      <c r="N355">
        <f t="shared" si="16"/>
        <v>73981</v>
      </c>
      <c r="O355" t="str">
        <f t="shared" si="17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15"/>
        <v>1782</v>
      </c>
      <c r="M356">
        <f t="shared" si="15"/>
        <v>405</v>
      </c>
      <c r="N356">
        <f t="shared" si="16"/>
        <v>83163</v>
      </c>
      <c r="O356" t="str">
        <f t="shared" si="17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15"/>
        <v>1782</v>
      </c>
      <c r="M357">
        <f t="shared" si="15"/>
        <v>450</v>
      </c>
      <c r="N357">
        <f t="shared" si="16"/>
        <v>92392</v>
      </c>
      <c r="O357" t="str">
        <f t="shared" si="17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15"/>
        <v>1782</v>
      </c>
      <c r="M358">
        <f t="shared" si="15"/>
        <v>495</v>
      </c>
      <c r="N358">
        <f t="shared" si="16"/>
        <v>101666</v>
      </c>
      <c r="O358" t="str">
        <f t="shared" si="17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15"/>
        <v>1782</v>
      </c>
      <c r="M359">
        <f t="shared" si="15"/>
        <v>540</v>
      </c>
      <c r="N359">
        <f t="shared" si="16"/>
        <v>110985</v>
      </c>
      <c r="O359" t="str">
        <f t="shared" si="17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15"/>
        <v>1782</v>
      </c>
      <c r="M360">
        <f t="shared" si="15"/>
        <v>585</v>
      </c>
      <c r="N360">
        <f t="shared" si="16"/>
        <v>120350</v>
      </c>
      <c r="O360" t="str">
        <f t="shared" si="17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15"/>
        <v>1782</v>
      </c>
      <c r="M361">
        <f t="shared" si="15"/>
        <v>630</v>
      </c>
      <c r="N361">
        <f t="shared" si="16"/>
        <v>129759.99999999999</v>
      </c>
      <c r="O361" t="str">
        <f t="shared" si="17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15"/>
        <v>1782</v>
      </c>
      <c r="M362">
        <f t="shared" si="15"/>
        <v>675</v>
      </c>
      <c r="N362">
        <f t="shared" si="16"/>
        <v>139216</v>
      </c>
      <c r="O362" t="str">
        <f t="shared" si="17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15"/>
        <v>1782</v>
      </c>
      <c r="M363">
        <f t="shared" si="15"/>
        <v>720</v>
      </c>
      <c r="N363">
        <f t="shared" si="16"/>
        <v>148717</v>
      </c>
      <c r="O363" t="str">
        <f t="shared" si="17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15"/>
        <v>1782</v>
      </c>
      <c r="M364">
        <f t="shared" si="15"/>
        <v>765</v>
      </c>
      <c r="N364">
        <f t="shared" si="16"/>
        <v>158264</v>
      </c>
      <c r="O364" t="str">
        <f t="shared" si="17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15"/>
        <v>1782</v>
      </c>
      <c r="M365">
        <f t="shared" si="15"/>
        <v>810</v>
      </c>
      <c r="N365">
        <f t="shared" si="16"/>
        <v>167856</v>
      </c>
      <c r="O365" t="str">
        <f t="shared" si="17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15"/>
        <v>1782</v>
      </c>
      <c r="M366">
        <f t="shared" si="15"/>
        <v>855</v>
      </c>
      <c r="N366">
        <f t="shared" si="16"/>
        <v>177494</v>
      </c>
      <c r="O366" t="str">
        <f t="shared" si="17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15"/>
        <v>1782</v>
      </c>
      <c r="M367">
        <f t="shared" si="15"/>
        <v>900</v>
      </c>
      <c r="N367">
        <f t="shared" si="16"/>
        <v>187177</v>
      </c>
      <c r="O367" t="str">
        <f t="shared" si="17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15"/>
        <v>1782</v>
      </c>
      <c r="M368">
        <f t="shared" si="15"/>
        <v>945</v>
      </c>
      <c r="N368">
        <f t="shared" si="16"/>
        <v>196906</v>
      </c>
      <c r="O368" t="str">
        <f t="shared" si="17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15"/>
        <v>1782</v>
      </c>
      <c r="M369">
        <f t="shared" si="15"/>
        <v>990</v>
      </c>
      <c r="N369">
        <f t="shared" si="16"/>
        <v>206680</v>
      </c>
      <c r="O369" t="str">
        <f t="shared" si="17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15"/>
        <v>2079</v>
      </c>
      <c r="M370">
        <f t="shared" si="15"/>
        <v>-990</v>
      </c>
      <c r="N370">
        <f t="shared" si="16"/>
        <v>-190505</v>
      </c>
      <c r="O370" t="str">
        <f t="shared" si="17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15"/>
        <v>2079</v>
      </c>
      <c r="M371">
        <f t="shared" si="15"/>
        <v>-945</v>
      </c>
      <c r="N371">
        <f t="shared" si="16"/>
        <v>-182275</v>
      </c>
      <c r="O371" t="str">
        <f t="shared" si="17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15"/>
        <v>2079</v>
      </c>
      <c r="M372">
        <f t="shared" si="15"/>
        <v>-900</v>
      </c>
      <c r="N372">
        <f t="shared" si="16"/>
        <v>-173991</v>
      </c>
      <c r="O372" t="str">
        <f t="shared" si="17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15"/>
        <v>2079</v>
      </c>
      <c r="M373">
        <f t="shared" si="15"/>
        <v>-855</v>
      </c>
      <c r="N373">
        <f t="shared" si="16"/>
        <v>-165656</v>
      </c>
      <c r="O373" t="str">
        <f t="shared" si="17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15"/>
        <v>2079</v>
      </c>
      <c r="M374">
        <f t="shared" si="15"/>
        <v>-810</v>
      </c>
      <c r="N374">
        <f t="shared" si="16"/>
        <v>-157267</v>
      </c>
      <c r="O374" t="str">
        <f t="shared" si="17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15"/>
        <v>2079</v>
      </c>
      <c r="M375">
        <f t="shared" si="15"/>
        <v>-765</v>
      </c>
      <c r="N375">
        <f t="shared" si="16"/>
        <v>-148827</v>
      </c>
      <c r="O375" t="str">
        <f t="shared" si="17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15"/>
        <v>2079</v>
      </c>
      <c r="M376">
        <f t="shared" si="15"/>
        <v>-720</v>
      </c>
      <c r="N376">
        <f t="shared" si="16"/>
        <v>-140333</v>
      </c>
      <c r="O376" t="str">
        <f t="shared" si="17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15"/>
        <v>2079</v>
      </c>
      <c r="M377">
        <f t="shared" si="15"/>
        <v>-675</v>
      </c>
      <c r="N377">
        <f t="shared" si="16"/>
        <v>-131787</v>
      </c>
      <c r="O377" t="str">
        <f t="shared" si="17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15"/>
        <v>2079</v>
      </c>
      <c r="M378">
        <f t="shared" si="15"/>
        <v>-630</v>
      </c>
      <c r="N378">
        <f t="shared" si="16"/>
        <v>-123189</v>
      </c>
      <c r="O378" t="str">
        <f t="shared" si="17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15"/>
        <v>2079</v>
      </c>
      <c r="M379">
        <f t="shared" si="15"/>
        <v>-585</v>
      </c>
      <c r="N379">
        <f t="shared" si="16"/>
        <v>-114538</v>
      </c>
      <c r="O379" t="str">
        <f t="shared" si="17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15"/>
        <v>2079</v>
      </c>
      <c r="M380">
        <f t="shared" si="15"/>
        <v>-540</v>
      </c>
      <c r="N380">
        <f t="shared" si="16"/>
        <v>-105835</v>
      </c>
      <c r="O380" t="str">
        <f t="shared" si="17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15"/>
        <v>2079</v>
      </c>
      <c r="M381">
        <f t="shared" si="15"/>
        <v>-495</v>
      </c>
      <c r="N381">
        <f t="shared" si="16"/>
        <v>-97079</v>
      </c>
      <c r="O381" t="str">
        <f t="shared" si="17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15"/>
        <v>2079</v>
      </c>
      <c r="M382">
        <f t="shared" si="15"/>
        <v>-450</v>
      </c>
      <c r="N382">
        <f t="shared" si="16"/>
        <v>-88270</v>
      </c>
      <c r="O382" t="str">
        <f t="shared" si="17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15"/>
        <v>2079</v>
      </c>
      <c r="M383">
        <f t="shared" si="15"/>
        <v>-405</v>
      </c>
      <c r="N383">
        <f t="shared" si="16"/>
        <v>-79409</v>
      </c>
      <c r="O383" t="str">
        <f t="shared" si="17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15"/>
        <v>2079</v>
      </c>
      <c r="M384">
        <f t="shared" si="15"/>
        <v>-360</v>
      </c>
      <c r="N384">
        <f t="shared" si="16"/>
        <v>-70495</v>
      </c>
      <c r="O384" t="str">
        <f t="shared" si="17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15"/>
        <v>2079</v>
      </c>
      <c r="M385">
        <f t="shared" si="15"/>
        <v>-315</v>
      </c>
      <c r="N385">
        <f t="shared" si="16"/>
        <v>-61529</v>
      </c>
      <c r="O385" t="str">
        <f t="shared" si="17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15"/>
        <v>2079</v>
      </c>
      <c r="M386">
        <f t="shared" si="15"/>
        <v>-270</v>
      </c>
      <c r="N386">
        <f t="shared" si="16"/>
        <v>-52510</v>
      </c>
      <c r="O386" t="str">
        <f t="shared" si="17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M450" si="18">A387</f>
        <v>2079</v>
      </c>
      <c r="M387">
        <f t="shared" si="18"/>
        <v>-225</v>
      </c>
      <c r="N387">
        <f t="shared" ref="N387:N450" si="19">C387*1000</f>
        <v>-43439</v>
      </c>
      <c r="O387" t="str">
        <f t="shared" ref="O387:O450" si="20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18"/>
        <v>2079</v>
      </c>
      <c r="M388">
        <f t="shared" si="18"/>
        <v>-180</v>
      </c>
      <c r="N388">
        <f t="shared" si="19"/>
        <v>-34315</v>
      </c>
      <c r="O388" t="str">
        <f t="shared" si="20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18"/>
        <v>2079</v>
      </c>
      <c r="M389">
        <f t="shared" si="18"/>
        <v>-135</v>
      </c>
      <c r="N389">
        <f t="shared" si="19"/>
        <v>-25139</v>
      </c>
      <c r="O389" t="str">
        <f t="shared" si="20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18"/>
        <v>2079</v>
      </c>
      <c r="M390">
        <f t="shared" si="18"/>
        <v>-90</v>
      </c>
      <c r="N390">
        <f t="shared" si="19"/>
        <v>-15910</v>
      </c>
      <c r="O390" t="str">
        <f t="shared" si="20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18"/>
        <v>2079</v>
      </c>
      <c r="M391">
        <f t="shared" si="18"/>
        <v>-45</v>
      </c>
      <c r="N391">
        <f t="shared" si="19"/>
        <v>-6629</v>
      </c>
      <c r="O391" t="str">
        <f t="shared" si="20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18"/>
        <v>2079</v>
      </c>
      <c r="M392">
        <f t="shared" si="18"/>
        <v>-9</v>
      </c>
      <c r="N392">
        <f t="shared" si="19"/>
        <v>0</v>
      </c>
      <c r="O392" t="str">
        <f t="shared" si="20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18"/>
        <v>2079</v>
      </c>
      <c r="M393">
        <f t="shared" si="18"/>
        <v>9</v>
      </c>
      <c r="N393">
        <f t="shared" si="19"/>
        <v>4987</v>
      </c>
      <c r="O393" t="str">
        <f t="shared" si="20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18"/>
        <v>2079</v>
      </c>
      <c r="M394">
        <f t="shared" si="18"/>
        <v>45</v>
      </c>
      <c r="N394">
        <f t="shared" si="19"/>
        <v>13218</v>
      </c>
      <c r="O394" t="str">
        <f t="shared" si="20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18"/>
        <v>2079</v>
      </c>
      <c r="M395">
        <f t="shared" si="18"/>
        <v>90</v>
      </c>
      <c r="N395">
        <f t="shared" si="19"/>
        <v>23557</v>
      </c>
      <c r="O395" t="str">
        <f t="shared" si="20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18"/>
        <v>2079</v>
      </c>
      <c r="M396">
        <f t="shared" si="18"/>
        <v>135</v>
      </c>
      <c r="N396">
        <f t="shared" si="19"/>
        <v>33954</v>
      </c>
      <c r="O396" t="str">
        <f t="shared" si="20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18"/>
        <v>2079</v>
      </c>
      <c r="M397">
        <f t="shared" si="18"/>
        <v>180</v>
      </c>
      <c r="N397">
        <f t="shared" si="19"/>
        <v>44407</v>
      </c>
      <c r="O397" t="str">
        <f t="shared" si="20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18"/>
        <v>2079</v>
      </c>
      <c r="M398">
        <f t="shared" si="18"/>
        <v>225</v>
      </c>
      <c r="N398">
        <f t="shared" si="19"/>
        <v>54918</v>
      </c>
      <c r="O398" t="str">
        <f t="shared" si="20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18"/>
        <v>2079</v>
      </c>
      <c r="M399">
        <f t="shared" si="18"/>
        <v>270</v>
      </c>
      <c r="N399">
        <f t="shared" si="19"/>
        <v>65486.000000000007</v>
      </c>
      <c r="O399" t="str">
        <f t="shared" si="20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18"/>
        <v>2079</v>
      </c>
      <c r="M400">
        <f t="shared" si="18"/>
        <v>315</v>
      </c>
      <c r="N400">
        <f t="shared" si="19"/>
        <v>76110</v>
      </c>
      <c r="O400" t="str">
        <f t="shared" si="20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18"/>
        <v>2079</v>
      </c>
      <c r="M401">
        <f t="shared" si="18"/>
        <v>360</v>
      </c>
      <c r="N401">
        <f t="shared" si="19"/>
        <v>86792</v>
      </c>
      <c r="O401" t="str">
        <f t="shared" si="20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18"/>
        <v>2079</v>
      </c>
      <c r="M402">
        <f t="shared" si="18"/>
        <v>405</v>
      </c>
      <c r="N402">
        <f t="shared" si="19"/>
        <v>97531</v>
      </c>
      <c r="O402" t="str">
        <f t="shared" si="20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18"/>
        <v>2079</v>
      </c>
      <c r="M403">
        <f t="shared" si="18"/>
        <v>450</v>
      </c>
      <c r="N403">
        <f t="shared" si="19"/>
        <v>108326</v>
      </c>
      <c r="O403" t="str">
        <f t="shared" si="20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18"/>
        <v>2079</v>
      </c>
      <c r="M404">
        <f t="shared" si="18"/>
        <v>495</v>
      </c>
      <c r="N404">
        <f t="shared" si="19"/>
        <v>119179</v>
      </c>
      <c r="O404" t="str">
        <f t="shared" si="20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18"/>
        <v>2079</v>
      </c>
      <c r="M405">
        <f t="shared" si="18"/>
        <v>540</v>
      </c>
      <c r="N405">
        <f t="shared" si="19"/>
        <v>130089</v>
      </c>
      <c r="O405" t="str">
        <f t="shared" si="20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18"/>
        <v>2079</v>
      </c>
      <c r="M406">
        <f t="shared" si="18"/>
        <v>585</v>
      </c>
      <c r="N406">
        <f t="shared" si="19"/>
        <v>141055</v>
      </c>
      <c r="O406" t="str">
        <f t="shared" si="20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18"/>
        <v>2079</v>
      </c>
      <c r="M407">
        <f t="shared" si="18"/>
        <v>630</v>
      </c>
      <c r="N407">
        <f t="shared" si="19"/>
        <v>152079</v>
      </c>
      <c r="O407" t="str">
        <f t="shared" si="20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18"/>
        <v>2079</v>
      </c>
      <c r="M408">
        <f t="shared" si="18"/>
        <v>675</v>
      </c>
      <c r="N408">
        <f t="shared" si="19"/>
        <v>163160</v>
      </c>
      <c r="O408" t="str">
        <f t="shared" si="20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18"/>
        <v>2079</v>
      </c>
      <c r="M409">
        <f t="shared" si="18"/>
        <v>720</v>
      </c>
      <c r="N409">
        <f t="shared" si="19"/>
        <v>174297</v>
      </c>
      <c r="O409" t="str">
        <f t="shared" si="20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18"/>
        <v>2079</v>
      </c>
      <c r="M410">
        <f t="shared" si="18"/>
        <v>765</v>
      </c>
      <c r="N410">
        <f t="shared" si="19"/>
        <v>185492</v>
      </c>
      <c r="O410" t="str">
        <f t="shared" si="20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18"/>
        <v>2079</v>
      </c>
      <c r="M411">
        <f t="shared" si="18"/>
        <v>810</v>
      </c>
      <c r="N411">
        <f t="shared" si="19"/>
        <v>196744</v>
      </c>
      <c r="O411" t="str">
        <f t="shared" si="20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18"/>
        <v>2079</v>
      </c>
      <c r="M412">
        <f t="shared" si="18"/>
        <v>855</v>
      </c>
      <c r="N412">
        <f t="shared" si="19"/>
        <v>208052</v>
      </c>
      <c r="O412" t="str">
        <f t="shared" si="20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18"/>
        <v>2079</v>
      </c>
      <c r="M413">
        <f t="shared" si="18"/>
        <v>900</v>
      </c>
      <c r="N413">
        <f t="shared" si="19"/>
        <v>219418</v>
      </c>
      <c r="O413" t="str">
        <f t="shared" si="20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18"/>
        <v>2079</v>
      </c>
      <c r="M414">
        <f t="shared" si="18"/>
        <v>945</v>
      </c>
      <c r="N414">
        <f t="shared" si="19"/>
        <v>230841</v>
      </c>
      <c r="O414" t="str">
        <f t="shared" si="20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18"/>
        <v>2079</v>
      </c>
      <c r="M415">
        <f t="shared" si="18"/>
        <v>990</v>
      </c>
      <c r="N415">
        <f t="shared" si="19"/>
        <v>242320</v>
      </c>
      <c r="O415" t="str">
        <f t="shared" si="20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18"/>
        <v>2376</v>
      </c>
      <c r="M416">
        <f t="shared" si="18"/>
        <v>-990</v>
      </c>
      <c r="N416">
        <f t="shared" si="19"/>
        <v>-216225</v>
      </c>
      <c r="O416" t="str">
        <f t="shared" si="20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18"/>
        <v>2376</v>
      </c>
      <c r="M417">
        <f t="shared" si="18"/>
        <v>-945</v>
      </c>
      <c r="N417">
        <f t="shared" si="19"/>
        <v>-206913</v>
      </c>
      <c r="O417" t="str">
        <f t="shared" si="20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18"/>
        <v>2376</v>
      </c>
      <c r="M418">
        <f t="shared" si="18"/>
        <v>-900</v>
      </c>
      <c r="N418">
        <f t="shared" si="19"/>
        <v>-197537</v>
      </c>
      <c r="O418" t="str">
        <f t="shared" si="20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18"/>
        <v>2376</v>
      </c>
      <c r="M419">
        <f t="shared" si="18"/>
        <v>-855</v>
      </c>
      <c r="N419">
        <f t="shared" si="19"/>
        <v>-188096</v>
      </c>
      <c r="O419" t="str">
        <f t="shared" si="20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18"/>
        <v>2376</v>
      </c>
      <c r="M420">
        <f t="shared" si="18"/>
        <v>-810</v>
      </c>
      <c r="N420">
        <f t="shared" si="19"/>
        <v>-178591</v>
      </c>
      <c r="O420" t="str">
        <f t="shared" si="20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18"/>
        <v>2376</v>
      </c>
      <c r="M421">
        <f t="shared" si="18"/>
        <v>-765</v>
      </c>
      <c r="N421">
        <f t="shared" si="19"/>
        <v>-169020</v>
      </c>
      <c r="O421" t="str">
        <f t="shared" si="20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18"/>
        <v>2376</v>
      </c>
      <c r="M422">
        <f t="shared" si="18"/>
        <v>-720</v>
      </c>
      <c r="N422">
        <f t="shared" si="19"/>
        <v>-159385</v>
      </c>
      <c r="O422" t="str">
        <f t="shared" si="20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18"/>
        <v>2376</v>
      </c>
      <c r="M423">
        <f t="shared" si="18"/>
        <v>-675</v>
      </c>
      <c r="N423">
        <f t="shared" si="19"/>
        <v>-149685</v>
      </c>
      <c r="O423" t="str">
        <f t="shared" si="20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18"/>
        <v>2376</v>
      </c>
      <c r="M424">
        <f t="shared" si="18"/>
        <v>-630</v>
      </c>
      <c r="N424">
        <f t="shared" si="19"/>
        <v>-139920</v>
      </c>
      <c r="O424" t="str">
        <f t="shared" si="20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18"/>
        <v>2376</v>
      </c>
      <c r="M425">
        <f t="shared" si="18"/>
        <v>-585</v>
      </c>
      <c r="N425">
        <f t="shared" si="19"/>
        <v>-130091.00000000001</v>
      </c>
      <c r="O425" t="str">
        <f t="shared" si="20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18"/>
        <v>2376</v>
      </c>
      <c r="M426">
        <f t="shared" si="18"/>
        <v>-540</v>
      </c>
      <c r="N426">
        <f t="shared" si="19"/>
        <v>-120197</v>
      </c>
      <c r="O426" t="str">
        <f t="shared" si="20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18"/>
        <v>2376</v>
      </c>
      <c r="M427">
        <f t="shared" si="18"/>
        <v>-495</v>
      </c>
      <c r="N427">
        <f t="shared" si="19"/>
        <v>-110238</v>
      </c>
      <c r="O427" t="str">
        <f t="shared" si="20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18"/>
        <v>2376</v>
      </c>
      <c r="M428">
        <f t="shared" si="18"/>
        <v>-450</v>
      </c>
      <c r="N428">
        <f t="shared" si="19"/>
        <v>-100214</v>
      </c>
      <c r="O428" t="str">
        <f t="shared" si="20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18"/>
        <v>2376</v>
      </c>
      <c r="M429">
        <f t="shared" si="18"/>
        <v>-405</v>
      </c>
      <c r="N429">
        <f t="shared" si="19"/>
        <v>-90125</v>
      </c>
      <c r="O429" t="str">
        <f t="shared" si="20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18"/>
        <v>2376</v>
      </c>
      <c r="M430">
        <f t="shared" si="18"/>
        <v>-360</v>
      </c>
      <c r="N430">
        <f t="shared" si="19"/>
        <v>-79972</v>
      </c>
      <c r="O430" t="str">
        <f t="shared" si="20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18"/>
        <v>2376</v>
      </c>
      <c r="M431">
        <f t="shared" si="18"/>
        <v>-315</v>
      </c>
      <c r="N431">
        <f t="shared" si="19"/>
        <v>-69754</v>
      </c>
      <c r="O431" t="str">
        <f t="shared" si="20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18"/>
        <v>2376</v>
      </c>
      <c r="M432">
        <f t="shared" si="18"/>
        <v>-270</v>
      </c>
      <c r="N432">
        <f t="shared" si="19"/>
        <v>-59471</v>
      </c>
      <c r="O432" t="str">
        <f t="shared" si="20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18"/>
        <v>2376</v>
      </c>
      <c r="M433">
        <f t="shared" si="18"/>
        <v>-225</v>
      </c>
      <c r="N433">
        <f t="shared" si="19"/>
        <v>-49123</v>
      </c>
      <c r="O433" t="str">
        <f t="shared" si="20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18"/>
        <v>2376</v>
      </c>
      <c r="M434">
        <f t="shared" si="18"/>
        <v>-180</v>
      </c>
      <c r="N434">
        <f t="shared" si="19"/>
        <v>-38711</v>
      </c>
      <c r="O434" t="str">
        <f t="shared" si="20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18"/>
        <v>2376</v>
      </c>
      <c r="M435">
        <f t="shared" si="18"/>
        <v>-135</v>
      </c>
      <c r="N435">
        <f t="shared" si="19"/>
        <v>-28234</v>
      </c>
      <c r="O435" t="str">
        <f t="shared" si="20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18"/>
        <v>2376</v>
      </c>
      <c r="M436">
        <f t="shared" si="18"/>
        <v>-90</v>
      </c>
      <c r="N436">
        <f t="shared" si="19"/>
        <v>-17692</v>
      </c>
      <c r="O436" t="str">
        <f t="shared" si="20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18"/>
        <v>2376</v>
      </c>
      <c r="M437">
        <f t="shared" si="18"/>
        <v>-45</v>
      </c>
      <c r="N437">
        <f t="shared" si="19"/>
        <v>-7086</v>
      </c>
      <c r="O437" t="str">
        <f t="shared" si="20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18"/>
        <v>2376</v>
      </c>
      <c r="M438">
        <f t="shared" si="18"/>
        <v>-9</v>
      </c>
      <c r="N438">
        <f t="shared" si="19"/>
        <v>0</v>
      </c>
      <c r="O438" t="str">
        <f t="shared" si="20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18"/>
        <v>2376</v>
      </c>
      <c r="M439">
        <f t="shared" si="18"/>
        <v>9</v>
      </c>
      <c r="N439">
        <f t="shared" si="19"/>
        <v>6235</v>
      </c>
      <c r="O439" t="str">
        <f t="shared" si="20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18"/>
        <v>2376</v>
      </c>
      <c r="M440">
        <f t="shared" si="18"/>
        <v>45</v>
      </c>
      <c r="N440">
        <f t="shared" si="19"/>
        <v>15638</v>
      </c>
      <c r="O440" t="str">
        <f t="shared" si="20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18"/>
        <v>2376</v>
      </c>
      <c r="M441">
        <f t="shared" si="18"/>
        <v>90</v>
      </c>
      <c r="N441">
        <f t="shared" si="19"/>
        <v>27455</v>
      </c>
      <c r="O441" t="str">
        <f t="shared" si="20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18"/>
        <v>2376</v>
      </c>
      <c r="M442">
        <f t="shared" si="18"/>
        <v>135</v>
      </c>
      <c r="N442">
        <f t="shared" si="19"/>
        <v>39343</v>
      </c>
      <c r="O442" t="str">
        <f t="shared" si="20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18"/>
        <v>2376</v>
      </c>
      <c r="M443">
        <f t="shared" si="18"/>
        <v>180</v>
      </c>
      <c r="N443">
        <f t="shared" si="19"/>
        <v>51301</v>
      </c>
      <c r="O443" t="str">
        <f t="shared" si="20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18"/>
        <v>2376</v>
      </c>
      <c r="M444">
        <f t="shared" si="18"/>
        <v>225</v>
      </c>
      <c r="N444">
        <f t="shared" si="19"/>
        <v>63329</v>
      </c>
      <c r="O444" t="str">
        <f t="shared" si="20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18"/>
        <v>2376</v>
      </c>
      <c r="M445">
        <f t="shared" si="18"/>
        <v>270</v>
      </c>
      <c r="N445">
        <f t="shared" si="19"/>
        <v>75428</v>
      </c>
      <c r="O445" t="str">
        <f t="shared" si="20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18"/>
        <v>2376</v>
      </c>
      <c r="M446">
        <f t="shared" si="18"/>
        <v>315</v>
      </c>
      <c r="N446">
        <f t="shared" si="19"/>
        <v>87596</v>
      </c>
      <c r="O446" t="str">
        <f t="shared" si="20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18"/>
        <v>2376</v>
      </c>
      <c r="M447">
        <f t="shared" si="18"/>
        <v>360</v>
      </c>
      <c r="N447">
        <f t="shared" si="19"/>
        <v>99836</v>
      </c>
      <c r="O447" t="str">
        <f t="shared" si="20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18"/>
        <v>2376</v>
      </c>
      <c r="M448">
        <f t="shared" si="18"/>
        <v>405</v>
      </c>
      <c r="N448">
        <f t="shared" si="19"/>
        <v>112145</v>
      </c>
      <c r="O448" t="str">
        <f t="shared" si="20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18"/>
        <v>2376</v>
      </c>
      <c r="M449">
        <f t="shared" si="18"/>
        <v>450</v>
      </c>
      <c r="N449">
        <f t="shared" si="19"/>
        <v>124524</v>
      </c>
      <c r="O449" t="str">
        <f t="shared" si="20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18"/>
        <v>2376</v>
      </c>
      <c r="M450">
        <f t="shared" si="18"/>
        <v>495</v>
      </c>
      <c r="N450">
        <f t="shared" si="19"/>
        <v>136974</v>
      </c>
      <c r="O450" t="str">
        <f t="shared" si="20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M514" si="21">A451</f>
        <v>2376</v>
      </c>
      <c r="M451">
        <f t="shared" si="21"/>
        <v>540</v>
      </c>
      <c r="N451">
        <f t="shared" ref="N451:N514" si="22">C451*1000</f>
        <v>149494</v>
      </c>
      <c r="O451" t="str">
        <f t="shared" ref="O451:O514" si="23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1"/>
        <v>2376</v>
      </c>
      <c r="M452">
        <f t="shared" si="21"/>
        <v>585</v>
      </c>
      <c r="N452">
        <f t="shared" si="22"/>
        <v>162085</v>
      </c>
      <c r="O452" t="str">
        <f t="shared" si="23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1"/>
        <v>2376</v>
      </c>
      <c r="M453">
        <f t="shared" si="21"/>
        <v>630</v>
      </c>
      <c r="N453">
        <f t="shared" si="22"/>
        <v>174745</v>
      </c>
      <c r="O453" t="str">
        <f t="shared" si="23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1"/>
        <v>2376</v>
      </c>
      <c r="M454">
        <f t="shared" si="21"/>
        <v>675</v>
      </c>
      <c r="N454">
        <f t="shared" si="22"/>
        <v>187476</v>
      </c>
      <c r="O454" t="str">
        <f t="shared" si="23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1"/>
        <v>2376</v>
      </c>
      <c r="M455">
        <f t="shared" si="21"/>
        <v>720</v>
      </c>
      <c r="N455">
        <f t="shared" si="22"/>
        <v>200277</v>
      </c>
      <c r="O455" t="str">
        <f t="shared" si="23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1"/>
        <v>2376</v>
      </c>
      <c r="M456">
        <f t="shared" si="21"/>
        <v>765</v>
      </c>
      <c r="N456">
        <f t="shared" si="22"/>
        <v>213149</v>
      </c>
      <c r="O456" t="str">
        <f t="shared" si="23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1"/>
        <v>2376</v>
      </c>
      <c r="M457">
        <f t="shared" si="21"/>
        <v>810</v>
      </c>
      <c r="N457">
        <f t="shared" si="22"/>
        <v>226091</v>
      </c>
      <c r="O457" t="str">
        <f t="shared" si="23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1"/>
        <v>2376</v>
      </c>
      <c r="M458">
        <f t="shared" si="21"/>
        <v>855</v>
      </c>
      <c r="N458">
        <f t="shared" si="22"/>
        <v>239103</v>
      </c>
      <c r="O458" t="str">
        <f t="shared" si="23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1"/>
        <v>2376</v>
      </c>
      <c r="M459">
        <f t="shared" si="21"/>
        <v>900</v>
      </c>
      <c r="N459">
        <f t="shared" si="22"/>
        <v>252185</v>
      </c>
      <c r="O459" t="str">
        <f t="shared" si="23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1"/>
        <v>2376</v>
      </c>
      <c r="M460">
        <f t="shared" si="21"/>
        <v>945</v>
      </c>
      <c r="N460">
        <f t="shared" si="22"/>
        <v>265338</v>
      </c>
      <c r="O460" t="str">
        <f t="shared" si="23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1"/>
        <v>2376</v>
      </c>
      <c r="M461">
        <f t="shared" si="21"/>
        <v>990</v>
      </c>
      <c r="N461">
        <f t="shared" si="22"/>
        <v>278560</v>
      </c>
      <c r="O461" t="str">
        <f t="shared" si="23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1"/>
        <v>2673</v>
      </c>
      <c r="M462">
        <f t="shared" si="21"/>
        <v>-990</v>
      </c>
      <c r="N462">
        <f t="shared" si="22"/>
        <v>-241372</v>
      </c>
      <c r="O462" t="str">
        <f t="shared" si="23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1"/>
        <v>2673</v>
      </c>
      <c r="M463">
        <f t="shared" si="21"/>
        <v>-945</v>
      </c>
      <c r="N463">
        <f t="shared" si="22"/>
        <v>-231015</v>
      </c>
      <c r="O463" t="str">
        <f t="shared" si="23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1"/>
        <v>2673</v>
      </c>
      <c r="M464">
        <f t="shared" si="21"/>
        <v>-900</v>
      </c>
      <c r="N464">
        <f t="shared" si="22"/>
        <v>-220579</v>
      </c>
      <c r="O464" t="str">
        <f t="shared" si="23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1"/>
        <v>2673</v>
      </c>
      <c r="M465">
        <f t="shared" si="21"/>
        <v>-855</v>
      </c>
      <c r="N465">
        <f t="shared" si="22"/>
        <v>-210064</v>
      </c>
      <c r="O465" t="str">
        <f t="shared" si="23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1"/>
        <v>2673</v>
      </c>
      <c r="M466">
        <f t="shared" si="21"/>
        <v>-810</v>
      </c>
      <c r="N466">
        <f t="shared" si="22"/>
        <v>-199471</v>
      </c>
      <c r="O466" t="str">
        <f t="shared" si="23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1"/>
        <v>2673</v>
      </c>
      <c r="M467">
        <f t="shared" si="21"/>
        <v>-765</v>
      </c>
      <c r="N467">
        <f t="shared" si="22"/>
        <v>-188799</v>
      </c>
      <c r="O467" t="str">
        <f t="shared" si="23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1"/>
        <v>2673</v>
      </c>
      <c r="M468">
        <f t="shared" si="21"/>
        <v>-720</v>
      </c>
      <c r="N468">
        <f t="shared" si="22"/>
        <v>-178049</v>
      </c>
      <c r="O468" t="str">
        <f t="shared" si="23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1"/>
        <v>2673</v>
      </c>
      <c r="M469">
        <f t="shared" si="21"/>
        <v>-675</v>
      </c>
      <c r="N469">
        <f t="shared" si="22"/>
        <v>-167220</v>
      </c>
      <c r="O469" t="str">
        <f t="shared" si="23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1"/>
        <v>2673</v>
      </c>
      <c r="M470">
        <f t="shared" si="21"/>
        <v>-630</v>
      </c>
      <c r="N470">
        <f t="shared" si="22"/>
        <v>-156312</v>
      </c>
      <c r="O470" t="str">
        <f t="shared" si="23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1"/>
        <v>2673</v>
      </c>
      <c r="M471">
        <f t="shared" si="21"/>
        <v>-585</v>
      </c>
      <c r="N471">
        <f t="shared" si="22"/>
        <v>-145326</v>
      </c>
      <c r="O471" t="str">
        <f t="shared" si="23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1"/>
        <v>2673</v>
      </c>
      <c r="M472">
        <f t="shared" si="21"/>
        <v>-540</v>
      </c>
      <c r="N472">
        <f t="shared" si="22"/>
        <v>-134261</v>
      </c>
      <c r="O472" t="str">
        <f t="shared" si="23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1"/>
        <v>2673</v>
      </c>
      <c r="M473">
        <f t="shared" si="21"/>
        <v>-495</v>
      </c>
      <c r="N473">
        <f t="shared" si="22"/>
        <v>-123117</v>
      </c>
      <c r="O473" t="str">
        <f t="shared" si="23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1"/>
        <v>2673</v>
      </c>
      <c r="M474">
        <f t="shared" si="21"/>
        <v>-450</v>
      </c>
      <c r="N474">
        <f t="shared" si="22"/>
        <v>-111895</v>
      </c>
      <c r="O474" t="str">
        <f t="shared" si="23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1"/>
        <v>2673</v>
      </c>
      <c r="M475">
        <f t="shared" si="21"/>
        <v>-405</v>
      </c>
      <c r="N475">
        <f t="shared" si="22"/>
        <v>-100595</v>
      </c>
      <c r="O475" t="str">
        <f t="shared" si="23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1"/>
        <v>2673</v>
      </c>
      <c r="M476">
        <f t="shared" si="21"/>
        <v>-360</v>
      </c>
      <c r="N476">
        <f t="shared" si="22"/>
        <v>-89215</v>
      </c>
      <c r="O476" t="str">
        <f t="shared" si="23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1"/>
        <v>2673</v>
      </c>
      <c r="M477">
        <f t="shared" si="21"/>
        <v>-315</v>
      </c>
      <c r="N477">
        <f t="shared" si="22"/>
        <v>-77757</v>
      </c>
      <c r="O477" t="str">
        <f t="shared" si="23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1"/>
        <v>2673</v>
      </c>
      <c r="M478">
        <f t="shared" si="21"/>
        <v>-270</v>
      </c>
      <c r="N478">
        <f t="shared" si="22"/>
        <v>-66221</v>
      </c>
      <c r="O478" t="str">
        <f t="shared" si="23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1"/>
        <v>2673</v>
      </c>
      <c r="M479">
        <f t="shared" si="21"/>
        <v>-225</v>
      </c>
      <c r="N479">
        <f t="shared" si="22"/>
        <v>-54606</v>
      </c>
      <c r="O479" t="str">
        <f t="shared" si="23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1"/>
        <v>2673</v>
      </c>
      <c r="M480">
        <f t="shared" si="21"/>
        <v>-180</v>
      </c>
      <c r="N480">
        <f t="shared" si="22"/>
        <v>-42912</v>
      </c>
      <c r="O480" t="str">
        <f t="shared" si="23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1"/>
        <v>2673</v>
      </c>
      <c r="M481">
        <f t="shared" si="21"/>
        <v>-135</v>
      </c>
      <c r="N481">
        <f t="shared" si="22"/>
        <v>-31140</v>
      </c>
      <c r="O481" t="str">
        <f t="shared" si="23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1"/>
        <v>2673</v>
      </c>
      <c r="M482">
        <f t="shared" si="21"/>
        <v>-90</v>
      </c>
      <c r="N482">
        <f t="shared" si="22"/>
        <v>-19289</v>
      </c>
      <c r="O482" t="str">
        <f t="shared" si="23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1"/>
        <v>2673</v>
      </c>
      <c r="M483">
        <f t="shared" si="21"/>
        <v>-45</v>
      </c>
      <c r="N483">
        <f t="shared" si="22"/>
        <v>-7360</v>
      </c>
      <c r="O483" t="str">
        <f t="shared" si="23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1"/>
        <v>2673</v>
      </c>
      <c r="M484">
        <f t="shared" si="21"/>
        <v>-9</v>
      </c>
      <c r="N484">
        <f t="shared" si="22"/>
        <v>0</v>
      </c>
      <c r="O484" t="str">
        <f t="shared" si="23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1"/>
        <v>2673</v>
      </c>
      <c r="M485">
        <f t="shared" si="21"/>
        <v>9</v>
      </c>
      <c r="N485">
        <f t="shared" si="22"/>
        <v>7679</v>
      </c>
      <c r="O485" t="str">
        <f t="shared" si="23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1"/>
        <v>2673</v>
      </c>
      <c r="M486">
        <f t="shared" si="21"/>
        <v>45</v>
      </c>
      <c r="N486">
        <f t="shared" si="22"/>
        <v>18256</v>
      </c>
      <c r="O486" t="str">
        <f t="shared" si="23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1"/>
        <v>2673</v>
      </c>
      <c r="M487">
        <f t="shared" si="21"/>
        <v>90</v>
      </c>
      <c r="N487">
        <f t="shared" si="22"/>
        <v>31554</v>
      </c>
      <c r="O487" t="str">
        <f t="shared" si="23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1"/>
        <v>2673</v>
      </c>
      <c r="M488">
        <f t="shared" si="21"/>
        <v>135</v>
      </c>
      <c r="N488">
        <f t="shared" si="22"/>
        <v>44937</v>
      </c>
      <c r="O488" t="str">
        <f t="shared" si="23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1"/>
        <v>2673</v>
      </c>
      <c r="M489">
        <f t="shared" si="21"/>
        <v>180</v>
      </c>
      <c r="N489">
        <f t="shared" si="22"/>
        <v>58406</v>
      </c>
      <c r="O489" t="str">
        <f t="shared" si="23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1"/>
        <v>2673</v>
      </c>
      <c r="M490">
        <f t="shared" si="21"/>
        <v>225</v>
      </c>
      <c r="N490">
        <f t="shared" si="22"/>
        <v>71959</v>
      </c>
      <c r="O490" t="str">
        <f t="shared" si="23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1"/>
        <v>2673</v>
      </c>
      <c r="M491">
        <f t="shared" si="21"/>
        <v>270</v>
      </c>
      <c r="N491">
        <f t="shared" si="22"/>
        <v>85598</v>
      </c>
      <c r="O491" t="str">
        <f t="shared" si="23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1"/>
        <v>2673</v>
      </c>
      <c r="M492">
        <f t="shared" si="21"/>
        <v>315</v>
      </c>
      <c r="N492">
        <f t="shared" si="22"/>
        <v>99323</v>
      </c>
      <c r="O492" t="str">
        <f t="shared" si="23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1"/>
        <v>2673</v>
      </c>
      <c r="M493">
        <f t="shared" si="21"/>
        <v>360</v>
      </c>
      <c r="N493">
        <f t="shared" si="22"/>
        <v>113132</v>
      </c>
      <c r="O493" t="str">
        <f t="shared" si="23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1"/>
        <v>2673</v>
      </c>
      <c r="M494">
        <f t="shared" si="21"/>
        <v>405</v>
      </c>
      <c r="N494">
        <f t="shared" si="22"/>
        <v>127027</v>
      </c>
      <c r="O494" t="str">
        <f t="shared" si="23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1"/>
        <v>2673</v>
      </c>
      <c r="M495">
        <f t="shared" si="21"/>
        <v>450</v>
      </c>
      <c r="N495">
        <f t="shared" si="22"/>
        <v>141007</v>
      </c>
      <c r="O495" t="str">
        <f t="shared" si="23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1"/>
        <v>2673</v>
      </c>
      <c r="M496">
        <f t="shared" si="21"/>
        <v>495</v>
      </c>
      <c r="N496">
        <f t="shared" si="22"/>
        <v>155072</v>
      </c>
      <c r="O496" t="str">
        <f t="shared" si="23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1"/>
        <v>2673</v>
      </c>
      <c r="M497">
        <f t="shared" si="21"/>
        <v>540</v>
      </c>
      <c r="N497">
        <f t="shared" si="22"/>
        <v>169223</v>
      </c>
      <c r="O497" t="str">
        <f t="shared" si="23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1"/>
        <v>2673</v>
      </c>
      <c r="M498">
        <f t="shared" si="21"/>
        <v>585</v>
      </c>
      <c r="N498">
        <f t="shared" si="22"/>
        <v>183459</v>
      </c>
      <c r="O498" t="str">
        <f t="shared" si="23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1"/>
        <v>2673</v>
      </c>
      <c r="M499">
        <f t="shared" si="21"/>
        <v>630</v>
      </c>
      <c r="N499">
        <f t="shared" si="22"/>
        <v>197780</v>
      </c>
      <c r="O499" t="str">
        <f t="shared" si="23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1"/>
        <v>2673</v>
      </c>
      <c r="M500">
        <f t="shared" si="21"/>
        <v>675</v>
      </c>
      <c r="N500">
        <f t="shared" si="22"/>
        <v>212187</v>
      </c>
      <c r="O500" t="str">
        <f t="shared" si="23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1"/>
        <v>2673</v>
      </c>
      <c r="M501">
        <f t="shared" si="21"/>
        <v>720</v>
      </c>
      <c r="N501">
        <f t="shared" si="22"/>
        <v>226679</v>
      </c>
      <c r="O501" t="str">
        <f t="shared" si="23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1"/>
        <v>2673</v>
      </c>
      <c r="M502">
        <f t="shared" si="21"/>
        <v>765</v>
      </c>
      <c r="N502">
        <f t="shared" si="22"/>
        <v>241256</v>
      </c>
      <c r="O502" t="str">
        <f t="shared" si="23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1"/>
        <v>2673</v>
      </c>
      <c r="M503">
        <f t="shared" si="21"/>
        <v>810</v>
      </c>
      <c r="N503">
        <f t="shared" si="22"/>
        <v>255918</v>
      </c>
      <c r="O503" t="str">
        <f t="shared" si="23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1"/>
        <v>2673</v>
      </c>
      <c r="M504">
        <f t="shared" si="21"/>
        <v>855</v>
      </c>
      <c r="N504">
        <f t="shared" si="22"/>
        <v>270666</v>
      </c>
      <c r="O504" t="str">
        <f t="shared" si="23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1"/>
        <v>2673</v>
      </c>
      <c r="M505">
        <f t="shared" si="21"/>
        <v>900</v>
      </c>
      <c r="N505">
        <f t="shared" si="22"/>
        <v>285499</v>
      </c>
      <c r="O505" t="str">
        <f t="shared" si="23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1"/>
        <v>2673</v>
      </c>
      <c r="M506">
        <f t="shared" si="21"/>
        <v>945</v>
      </c>
      <c r="N506">
        <f t="shared" si="22"/>
        <v>300417</v>
      </c>
      <c r="O506" t="str">
        <f t="shared" si="23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1"/>
        <v>2673</v>
      </c>
      <c r="M507">
        <f t="shared" si="21"/>
        <v>990</v>
      </c>
      <c r="N507">
        <f t="shared" si="22"/>
        <v>315421</v>
      </c>
      <c r="O507" t="str">
        <f t="shared" si="23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1"/>
        <v>2970</v>
      </c>
      <c r="M508">
        <f t="shared" si="21"/>
        <v>-990</v>
      </c>
      <c r="N508">
        <f t="shared" si="22"/>
        <v>-265929</v>
      </c>
      <c r="O508" t="str">
        <f t="shared" si="23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1"/>
        <v>2970</v>
      </c>
      <c r="M509">
        <f t="shared" si="21"/>
        <v>-945</v>
      </c>
      <c r="N509">
        <f t="shared" si="22"/>
        <v>-254560</v>
      </c>
      <c r="O509" t="str">
        <f t="shared" si="23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1"/>
        <v>2970</v>
      </c>
      <c r="M510">
        <f t="shared" si="21"/>
        <v>-900</v>
      </c>
      <c r="N510">
        <f t="shared" si="22"/>
        <v>-243097</v>
      </c>
      <c r="O510" t="str">
        <f t="shared" si="23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1"/>
        <v>2970</v>
      </c>
      <c r="M511">
        <f t="shared" si="21"/>
        <v>-855</v>
      </c>
      <c r="N511">
        <f t="shared" si="22"/>
        <v>-231540</v>
      </c>
      <c r="O511" t="str">
        <f t="shared" si="23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1"/>
        <v>2970</v>
      </c>
      <c r="M512">
        <f t="shared" si="21"/>
        <v>-810</v>
      </c>
      <c r="N512">
        <f t="shared" si="22"/>
        <v>-219889</v>
      </c>
      <c r="O512" t="str">
        <f t="shared" si="23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1"/>
        <v>2970</v>
      </c>
      <c r="M513">
        <f t="shared" si="21"/>
        <v>-765</v>
      </c>
      <c r="N513">
        <f t="shared" si="22"/>
        <v>-208144</v>
      </c>
      <c r="O513" t="str">
        <f t="shared" si="23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1"/>
        <v>2970</v>
      </c>
      <c r="M514">
        <f t="shared" si="21"/>
        <v>-720</v>
      </c>
      <c r="N514">
        <f t="shared" si="22"/>
        <v>-196305</v>
      </c>
      <c r="O514" t="str">
        <f t="shared" si="23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M578" si="24">A515</f>
        <v>2970</v>
      </c>
      <c r="M515">
        <f t="shared" si="24"/>
        <v>-675</v>
      </c>
      <c r="N515">
        <f t="shared" ref="N515:N578" si="25">C515*1000</f>
        <v>-184372</v>
      </c>
      <c r="O515" t="str">
        <f t="shared" ref="O515:O578" si="26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24"/>
        <v>2970</v>
      </c>
      <c r="M516">
        <f t="shared" si="24"/>
        <v>-630</v>
      </c>
      <c r="N516">
        <f t="shared" si="25"/>
        <v>-172344</v>
      </c>
      <c r="O516" t="str">
        <f t="shared" si="26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24"/>
        <v>2970</v>
      </c>
      <c r="M517">
        <f t="shared" si="24"/>
        <v>-585</v>
      </c>
      <c r="N517">
        <f t="shared" si="25"/>
        <v>-160223</v>
      </c>
      <c r="O517" t="str">
        <f t="shared" si="26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24"/>
        <v>2970</v>
      </c>
      <c r="M518">
        <f t="shared" si="24"/>
        <v>-540</v>
      </c>
      <c r="N518">
        <f t="shared" si="25"/>
        <v>-148008</v>
      </c>
      <c r="O518" t="str">
        <f t="shared" si="26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24"/>
        <v>2970</v>
      </c>
      <c r="M519">
        <f t="shared" si="24"/>
        <v>-495</v>
      </c>
      <c r="N519">
        <f t="shared" si="25"/>
        <v>-135699</v>
      </c>
      <c r="O519" t="str">
        <f t="shared" si="26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24"/>
        <v>2970</v>
      </c>
      <c r="M520">
        <f t="shared" si="24"/>
        <v>-450</v>
      </c>
      <c r="N520">
        <f t="shared" si="25"/>
        <v>-123295</v>
      </c>
      <c r="O520" t="str">
        <f t="shared" si="26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24"/>
        <v>2970</v>
      </c>
      <c r="M521">
        <f t="shared" si="24"/>
        <v>-405</v>
      </c>
      <c r="N521">
        <f t="shared" si="25"/>
        <v>-110798</v>
      </c>
      <c r="O521" t="str">
        <f t="shared" si="26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24"/>
        <v>2970</v>
      </c>
      <c r="M522">
        <f t="shared" si="24"/>
        <v>-360</v>
      </c>
      <c r="N522">
        <f t="shared" si="25"/>
        <v>-98206</v>
      </c>
      <c r="O522" t="str">
        <f t="shared" si="26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24"/>
        <v>2970</v>
      </c>
      <c r="M523">
        <f t="shared" si="24"/>
        <v>-315</v>
      </c>
      <c r="N523">
        <f t="shared" si="25"/>
        <v>-85521</v>
      </c>
      <c r="O523" t="str">
        <f t="shared" si="26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24"/>
        <v>2970</v>
      </c>
      <c r="M524">
        <f t="shared" si="24"/>
        <v>-270</v>
      </c>
      <c r="N524">
        <f t="shared" si="25"/>
        <v>-72741</v>
      </c>
      <c r="O524" t="str">
        <f t="shared" si="26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24"/>
        <v>2970</v>
      </c>
      <c r="M525">
        <f t="shared" si="24"/>
        <v>-225</v>
      </c>
      <c r="N525">
        <f t="shared" si="25"/>
        <v>-59867</v>
      </c>
      <c r="O525" t="str">
        <f t="shared" si="26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24"/>
        <v>2970</v>
      </c>
      <c r="M526">
        <f t="shared" si="24"/>
        <v>-180</v>
      </c>
      <c r="N526">
        <f t="shared" si="25"/>
        <v>-46900</v>
      </c>
      <c r="O526" t="str">
        <f t="shared" si="26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24"/>
        <v>2970</v>
      </c>
      <c r="M527">
        <f t="shared" si="24"/>
        <v>-135</v>
      </c>
      <c r="N527">
        <f t="shared" si="25"/>
        <v>-33838</v>
      </c>
      <c r="O527" t="str">
        <f t="shared" si="26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24"/>
        <v>2970</v>
      </c>
      <c r="M528">
        <f t="shared" si="24"/>
        <v>-90</v>
      </c>
      <c r="N528">
        <f t="shared" si="25"/>
        <v>-20682</v>
      </c>
      <c r="O528" t="str">
        <f t="shared" si="26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24"/>
        <v>2970</v>
      </c>
      <c r="M529">
        <f t="shared" si="24"/>
        <v>-45</v>
      </c>
      <c r="N529">
        <f t="shared" si="25"/>
        <v>-7432</v>
      </c>
      <c r="O529" t="str">
        <f t="shared" si="26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24"/>
        <v>2970</v>
      </c>
      <c r="M530">
        <f t="shared" si="24"/>
        <v>-9</v>
      </c>
      <c r="N530">
        <f t="shared" si="25"/>
        <v>0</v>
      </c>
      <c r="O530" t="str">
        <f t="shared" si="26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24"/>
        <v>2970</v>
      </c>
      <c r="M531">
        <f t="shared" si="24"/>
        <v>9</v>
      </c>
      <c r="N531">
        <f t="shared" si="25"/>
        <v>9342</v>
      </c>
      <c r="O531" t="str">
        <f t="shared" si="26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24"/>
        <v>2970</v>
      </c>
      <c r="M532">
        <f t="shared" si="24"/>
        <v>45</v>
      </c>
      <c r="N532">
        <f t="shared" si="25"/>
        <v>21094</v>
      </c>
      <c r="O532" t="str">
        <f t="shared" si="26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24"/>
        <v>2970</v>
      </c>
      <c r="M533">
        <f t="shared" si="24"/>
        <v>90</v>
      </c>
      <c r="N533">
        <f t="shared" si="25"/>
        <v>35874</v>
      </c>
      <c r="O533" t="str">
        <f t="shared" si="26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24"/>
        <v>2970</v>
      </c>
      <c r="M534">
        <f t="shared" si="24"/>
        <v>135</v>
      </c>
      <c r="N534">
        <f t="shared" si="25"/>
        <v>50757</v>
      </c>
      <c r="O534" t="str">
        <f t="shared" si="26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24"/>
        <v>2970</v>
      </c>
      <c r="M535">
        <f t="shared" si="24"/>
        <v>180</v>
      </c>
      <c r="N535">
        <f t="shared" si="25"/>
        <v>65742</v>
      </c>
      <c r="O535" t="str">
        <f t="shared" si="26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24"/>
        <v>2970</v>
      </c>
      <c r="M536">
        <f t="shared" si="24"/>
        <v>225</v>
      </c>
      <c r="N536">
        <f t="shared" si="25"/>
        <v>80829</v>
      </c>
      <c r="O536" t="str">
        <f t="shared" si="26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24"/>
        <v>2970</v>
      </c>
      <c r="M537">
        <f t="shared" si="24"/>
        <v>270</v>
      </c>
      <c r="N537">
        <f t="shared" si="25"/>
        <v>96018</v>
      </c>
      <c r="O537" t="str">
        <f t="shared" si="26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24"/>
        <v>2970</v>
      </c>
      <c r="M538">
        <f t="shared" si="24"/>
        <v>315</v>
      </c>
      <c r="N538">
        <f t="shared" si="25"/>
        <v>111310</v>
      </c>
      <c r="O538" t="str">
        <f t="shared" si="26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24"/>
        <v>2970</v>
      </c>
      <c r="M539">
        <f t="shared" si="24"/>
        <v>360</v>
      </c>
      <c r="N539">
        <f t="shared" si="25"/>
        <v>126703</v>
      </c>
      <c r="O539" t="str">
        <f t="shared" si="26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24"/>
        <v>2970</v>
      </c>
      <c r="M540">
        <f t="shared" si="24"/>
        <v>405</v>
      </c>
      <c r="N540">
        <f t="shared" si="25"/>
        <v>142198</v>
      </c>
      <c r="O540" t="str">
        <f t="shared" si="26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24"/>
        <v>2970</v>
      </c>
      <c r="M541">
        <f t="shared" si="24"/>
        <v>450</v>
      </c>
      <c r="N541">
        <f t="shared" si="25"/>
        <v>157795</v>
      </c>
      <c r="O541" t="str">
        <f t="shared" si="26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24"/>
        <v>2970</v>
      </c>
      <c r="M542">
        <f t="shared" si="24"/>
        <v>495</v>
      </c>
      <c r="N542">
        <f t="shared" si="25"/>
        <v>173495</v>
      </c>
      <c r="O542" t="str">
        <f t="shared" si="26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24"/>
        <v>2970</v>
      </c>
      <c r="M543">
        <f t="shared" si="24"/>
        <v>540</v>
      </c>
      <c r="N543">
        <f t="shared" si="25"/>
        <v>189296</v>
      </c>
      <c r="O543" t="str">
        <f t="shared" si="26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24"/>
        <v>2970</v>
      </c>
      <c r="M544">
        <f t="shared" si="24"/>
        <v>585</v>
      </c>
      <c r="N544">
        <f t="shared" si="25"/>
        <v>205199</v>
      </c>
      <c r="O544" t="str">
        <f t="shared" si="26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24"/>
        <v>2970</v>
      </c>
      <c r="M545">
        <f t="shared" si="24"/>
        <v>630</v>
      </c>
      <c r="N545">
        <f t="shared" si="25"/>
        <v>221205</v>
      </c>
      <c r="O545" t="str">
        <f t="shared" si="26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24"/>
        <v>2970</v>
      </c>
      <c r="M546">
        <f t="shared" si="24"/>
        <v>675</v>
      </c>
      <c r="N546">
        <f t="shared" si="25"/>
        <v>237313</v>
      </c>
      <c r="O546" t="str">
        <f t="shared" si="26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24"/>
        <v>2970</v>
      </c>
      <c r="M547">
        <f t="shared" si="24"/>
        <v>720</v>
      </c>
      <c r="N547">
        <f t="shared" si="25"/>
        <v>253522</v>
      </c>
      <c r="O547" t="str">
        <f t="shared" si="26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24"/>
        <v>2970</v>
      </c>
      <c r="M548">
        <f t="shared" si="24"/>
        <v>765</v>
      </c>
      <c r="N548">
        <f t="shared" si="25"/>
        <v>269834</v>
      </c>
      <c r="O548" t="str">
        <f t="shared" si="26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24"/>
        <v>2970</v>
      </c>
      <c r="M549">
        <f t="shared" si="24"/>
        <v>810</v>
      </c>
      <c r="N549">
        <f t="shared" si="25"/>
        <v>286248</v>
      </c>
      <c r="O549" t="str">
        <f t="shared" si="26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24"/>
        <v>2970</v>
      </c>
      <c r="M550">
        <f t="shared" si="24"/>
        <v>855</v>
      </c>
      <c r="N550">
        <f t="shared" si="25"/>
        <v>302763</v>
      </c>
      <c r="O550" t="str">
        <f t="shared" si="26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24"/>
        <v>2970</v>
      </c>
      <c r="M551">
        <f t="shared" si="24"/>
        <v>900</v>
      </c>
      <c r="N551">
        <f t="shared" si="25"/>
        <v>319381</v>
      </c>
      <c r="O551" t="str">
        <f t="shared" si="26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24"/>
        <v>2970</v>
      </c>
      <c r="M552">
        <f t="shared" si="24"/>
        <v>945</v>
      </c>
      <c r="N552">
        <f t="shared" si="25"/>
        <v>336101</v>
      </c>
      <c r="O552" t="str">
        <f t="shared" si="26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24"/>
        <v>2970</v>
      </c>
      <c r="M553">
        <f t="shared" si="24"/>
        <v>990</v>
      </c>
      <c r="N553">
        <f t="shared" si="25"/>
        <v>352923</v>
      </c>
      <c r="O553" t="str">
        <f t="shared" si="26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24"/>
        <v>3267</v>
      </c>
      <c r="M554">
        <f t="shared" si="24"/>
        <v>-990</v>
      </c>
      <c r="N554">
        <f t="shared" si="25"/>
        <v>-289874</v>
      </c>
      <c r="O554" t="str">
        <f t="shared" si="26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24"/>
        <v>3267</v>
      </c>
      <c r="M555">
        <f t="shared" si="24"/>
        <v>-945</v>
      </c>
      <c r="N555">
        <f t="shared" si="25"/>
        <v>-277529</v>
      </c>
      <c r="O555" t="str">
        <f t="shared" si="26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24"/>
        <v>3267</v>
      </c>
      <c r="M556">
        <f t="shared" si="24"/>
        <v>-900</v>
      </c>
      <c r="N556">
        <f t="shared" si="25"/>
        <v>-265072</v>
      </c>
      <c r="O556" t="str">
        <f t="shared" si="26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24"/>
        <v>3267</v>
      </c>
      <c r="M557">
        <f t="shared" si="24"/>
        <v>-855</v>
      </c>
      <c r="N557">
        <f t="shared" si="25"/>
        <v>-252504</v>
      </c>
      <c r="O557" t="str">
        <f t="shared" si="26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24"/>
        <v>3267</v>
      </c>
      <c r="M558">
        <f t="shared" si="24"/>
        <v>-810</v>
      </c>
      <c r="N558">
        <f t="shared" si="25"/>
        <v>-239825</v>
      </c>
      <c r="O558" t="str">
        <f t="shared" si="26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24"/>
        <v>3267</v>
      </c>
      <c r="M559">
        <f t="shared" si="24"/>
        <v>-765</v>
      </c>
      <c r="N559">
        <f t="shared" si="25"/>
        <v>-227035</v>
      </c>
      <c r="O559" t="str">
        <f t="shared" si="26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24"/>
        <v>3267</v>
      </c>
      <c r="M560">
        <f t="shared" si="24"/>
        <v>-720</v>
      </c>
      <c r="N560">
        <f t="shared" si="25"/>
        <v>-214134</v>
      </c>
      <c r="O560" t="str">
        <f t="shared" si="26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24"/>
        <v>3267</v>
      </c>
      <c r="M561">
        <f t="shared" si="24"/>
        <v>-675</v>
      </c>
      <c r="N561">
        <f t="shared" si="25"/>
        <v>-201122</v>
      </c>
      <c r="O561" t="str">
        <f t="shared" si="26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24"/>
        <v>3267</v>
      </c>
      <c r="M562">
        <f t="shared" si="24"/>
        <v>-630</v>
      </c>
      <c r="N562">
        <f t="shared" si="25"/>
        <v>-187999</v>
      </c>
      <c r="O562" t="str">
        <f t="shared" si="26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24"/>
        <v>3267</v>
      </c>
      <c r="M563">
        <f t="shared" si="24"/>
        <v>-585</v>
      </c>
      <c r="N563">
        <f t="shared" si="25"/>
        <v>-174764</v>
      </c>
      <c r="O563" t="str">
        <f t="shared" si="26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24"/>
        <v>3267</v>
      </c>
      <c r="M564">
        <f t="shared" si="24"/>
        <v>-540</v>
      </c>
      <c r="N564">
        <f t="shared" si="25"/>
        <v>-161419</v>
      </c>
      <c r="O564" t="str">
        <f t="shared" si="26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24"/>
        <v>3267</v>
      </c>
      <c r="M565">
        <f t="shared" si="24"/>
        <v>-495</v>
      </c>
      <c r="N565">
        <f t="shared" si="25"/>
        <v>-147962</v>
      </c>
      <c r="O565" t="str">
        <f t="shared" si="26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24"/>
        <v>3267</v>
      </c>
      <c r="M566">
        <f t="shared" si="24"/>
        <v>-450</v>
      </c>
      <c r="N566">
        <f t="shared" si="25"/>
        <v>-134394</v>
      </c>
      <c r="O566" t="str">
        <f t="shared" si="26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24"/>
        <v>3267</v>
      </c>
      <c r="M567">
        <f t="shared" si="24"/>
        <v>-405</v>
      </c>
      <c r="N567">
        <f t="shared" si="25"/>
        <v>-120715</v>
      </c>
      <c r="O567" t="str">
        <f t="shared" si="26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24"/>
        <v>3267</v>
      </c>
      <c r="M568">
        <f t="shared" si="24"/>
        <v>-360</v>
      </c>
      <c r="N568">
        <f t="shared" si="25"/>
        <v>-106925</v>
      </c>
      <c r="O568" t="str">
        <f t="shared" si="26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24"/>
        <v>3267</v>
      </c>
      <c r="M569">
        <f t="shared" si="24"/>
        <v>-315</v>
      </c>
      <c r="N569">
        <f t="shared" si="25"/>
        <v>-93024</v>
      </c>
      <c r="O569" t="str">
        <f t="shared" si="26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24"/>
        <v>3267</v>
      </c>
      <c r="M570">
        <f t="shared" si="24"/>
        <v>-270</v>
      </c>
      <c r="N570">
        <f t="shared" si="25"/>
        <v>-79012</v>
      </c>
      <c r="O570" t="str">
        <f t="shared" si="26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24"/>
        <v>3267</v>
      </c>
      <c r="M571">
        <f t="shared" si="24"/>
        <v>-225</v>
      </c>
      <c r="N571">
        <f t="shared" si="25"/>
        <v>-64888.000000000007</v>
      </c>
      <c r="O571" t="str">
        <f t="shared" si="26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24"/>
        <v>3267</v>
      </c>
      <c r="M572">
        <f t="shared" si="24"/>
        <v>-180</v>
      </c>
      <c r="N572">
        <f t="shared" si="25"/>
        <v>-50654</v>
      </c>
      <c r="O572" t="str">
        <f t="shared" si="26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24"/>
        <v>3267</v>
      </c>
      <c r="M573">
        <f t="shared" si="24"/>
        <v>-135</v>
      </c>
      <c r="N573">
        <f t="shared" si="25"/>
        <v>-36308</v>
      </c>
      <c r="O573" t="str">
        <f t="shared" si="26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24"/>
        <v>3267</v>
      </c>
      <c r="M574">
        <f t="shared" si="24"/>
        <v>-90</v>
      </c>
      <c r="N574">
        <f t="shared" si="25"/>
        <v>-21851</v>
      </c>
      <c r="O574" t="str">
        <f t="shared" si="26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24"/>
        <v>3267</v>
      </c>
      <c r="M575">
        <f t="shared" si="24"/>
        <v>-45</v>
      </c>
      <c r="N575">
        <f t="shared" si="25"/>
        <v>-7283</v>
      </c>
      <c r="O575" t="str">
        <f t="shared" si="26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24"/>
        <v>3267</v>
      </c>
      <c r="M576">
        <f t="shared" si="24"/>
        <v>-9</v>
      </c>
      <c r="N576">
        <f t="shared" si="25"/>
        <v>0</v>
      </c>
      <c r="O576" t="str">
        <f t="shared" si="26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24"/>
        <v>3267</v>
      </c>
      <c r="M577">
        <f t="shared" si="24"/>
        <v>9</v>
      </c>
      <c r="N577">
        <f t="shared" si="25"/>
        <v>11244</v>
      </c>
      <c r="O577" t="str">
        <f t="shared" si="26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24"/>
        <v>3267</v>
      </c>
      <c r="M578">
        <f t="shared" si="24"/>
        <v>45</v>
      </c>
      <c r="N578">
        <f t="shared" si="25"/>
        <v>24171</v>
      </c>
      <c r="O578" t="str">
        <f t="shared" si="26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M642" si="27">A579</f>
        <v>3267</v>
      </c>
      <c r="M579">
        <f t="shared" si="27"/>
        <v>90</v>
      </c>
      <c r="N579">
        <f t="shared" ref="N579:N642" si="28">C579*1000</f>
        <v>40437</v>
      </c>
      <c r="O579" t="str">
        <f t="shared" ref="O579:O642" si="2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27"/>
        <v>3267</v>
      </c>
      <c r="M580">
        <f t="shared" si="27"/>
        <v>135</v>
      </c>
      <c r="N580">
        <f t="shared" si="28"/>
        <v>56824</v>
      </c>
      <c r="O580" t="str">
        <f t="shared" si="2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27"/>
        <v>3267</v>
      </c>
      <c r="M581">
        <f t="shared" si="27"/>
        <v>180</v>
      </c>
      <c r="N581">
        <f t="shared" si="28"/>
        <v>73332</v>
      </c>
      <c r="O581" t="str">
        <f t="shared" si="2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27"/>
        <v>3267</v>
      </c>
      <c r="M582">
        <f t="shared" si="27"/>
        <v>225</v>
      </c>
      <c r="N582">
        <f t="shared" si="28"/>
        <v>89960</v>
      </c>
      <c r="O582" t="str">
        <f t="shared" si="2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27"/>
        <v>3267</v>
      </c>
      <c r="M583">
        <f t="shared" si="27"/>
        <v>270</v>
      </c>
      <c r="N583">
        <f t="shared" si="28"/>
        <v>106709</v>
      </c>
      <c r="O583" t="str">
        <f t="shared" si="2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27"/>
        <v>3267</v>
      </c>
      <c r="M584">
        <f t="shared" si="27"/>
        <v>315</v>
      </c>
      <c r="N584">
        <f t="shared" si="28"/>
        <v>123579</v>
      </c>
      <c r="O584" t="str">
        <f t="shared" si="2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27"/>
        <v>3267</v>
      </c>
      <c r="M585">
        <f t="shared" si="27"/>
        <v>360</v>
      </c>
      <c r="N585">
        <f t="shared" si="28"/>
        <v>140569</v>
      </c>
      <c r="O585" t="str">
        <f t="shared" si="2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27"/>
        <v>3267</v>
      </c>
      <c r="M586">
        <f t="shared" si="27"/>
        <v>405</v>
      </c>
      <c r="N586">
        <f t="shared" si="28"/>
        <v>157679</v>
      </c>
      <c r="O586" t="str">
        <f t="shared" si="2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27"/>
        <v>3267</v>
      </c>
      <c r="M587">
        <f t="shared" si="27"/>
        <v>450</v>
      </c>
      <c r="N587">
        <f t="shared" si="28"/>
        <v>174910</v>
      </c>
      <c r="O587" t="str">
        <f t="shared" si="2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27"/>
        <v>3267</v>
      </c>
      <c r="M588">
        <f t="shared" si="27"/>
        <v>495</v>
      </c>
      <c r="N588">
        <f t="shared" si="28"/>
        <v>192262</v>
      </c>
      <c r="O588" t="str">
        <f t="shared" si="2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27"/>
        <v>3267</v>
      </c>
      <c r="M589">
        <f t="shared" si="27"/>
        <v>540</v>
      </c>
      <c r="N589">
        <f t="shared" si="28"/>
        <v>209734</v>
      </c>
      <c r="O589" t="str">
        <f t="shared" si="2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27"/>
        <v>3267</v>
      </c>
      <c r="M590">
        <f t="shared" si="27"/>
        <v>585</v>
      </c>
      <c r="N590">
        <f t="shared" si="28"/>
        <v>227327</v>
      </c>
      <c r="O590" t="str">
        <f t="shared" si="2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27"/>
        <v>3267</v>
      </c>
      <c r="M591">
        <f t="shared" si="27"/>
        <v>630</v>
      </c>
      <c r="N591">
        <f t="shared" si="28"/>
        <v>245040</v>
      </c>
      <c r="O591" t="str">
        <f t="shared" si="2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27"/>
        <v>3267</v>
      </c>
      <c r="M592">
        <f t="shared" si="27"/>
        <v>675</v>
      </c>
      <c r="N592">
        <f t="shared" si="28"/>
        <v>262874</v>
      </c>
      <c r="O592" t="str">
        <f t="shared" si="2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27"/>
        <v>3267</v>
      </c>
      <c r="M593">
        <f t="shared" si="27"/>
        <v>720</v>
      </c>
      <c r="N593">
        <f t="shared" si="28"/>
        <v>280829</v>
      </c>
      <c r="O593" t="str">
        <f t="shared" si="2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27"/>
        <v>3267</v>
      </c>
      <c r="M594">
        <f t="shared" si="27"/>
        <v>765</v>
      </c>
      <c r="N594">
        <f t="shared" si="28"/>
        <v>298904</v>
      </c>
      <c r="O594" t="str">
        <f t="shared" si="2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27"/>
        <v>3267</v>
      </c>
      <c r="M595">
        <f t="shared" si="27"/>
        <v>810</v>
      </c>
      <c r="N595">
        <f t="shared" si="28"/>
        <v>317099</v>
      </c>
      <c r="O595" t="str">
        <f t="shared" si="2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27"/>
        <v>3267</v>
      </c>
      <c r="M596">
        <f t="shared" si="27"/>
        <v>855</v>
      </c>
      <c r="N596">
        <f t="shared" si="28"/>
        <v>335415</v>
      </c>
      <c r="O596" t="str">
        <f t="shared" si="2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27"/>
        <v>3267</v>
      </c>
      <c r="M597">
        <f t="shared" si="27"/>
        <v>900</v>
      </c>
      <c r="N597">
        <f t="shared" si="28"/>
        <v>353852</v>
      </c>
      <c r="O597" t="str">
        <f t="shared" si="2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27"/>
        <v>3267</v>
      </c>
      <c r="M598">
        <f t="shared" si="27"/>
        <v>945</v>
      </c>
      <c r="N598">
        <f t="shared" si="28"/>
        <v>372410</v>
      </c>
      <c r="O598" t="str">
        <f t="shared" si="2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27"/>
        <v>3267</v>
      </c>
      <c r="M599">
        <f t="shared" si="27"/>
        <v>990</v>
      </c>
      <c r="N599">
        <f t="shared" si="28"/>
        <v>391087</v>
      </c>
      <c r="O599" t="str">
        <f t="shared" si="2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27"/>
        <v>3564</v>
      </c>
      <c r="M600">
        <f t="shared" si="27"/>
        <v>-990</v>
      </c>
      <c r="N600">
        <f t="shared" si="28"/>
        <v>-313190</v>
      </c>
      <c r="O600" t="str">
        <f t="shared" si="2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27"/>
        <v>3564</v>
      </c>
      <c r="M601">
        <f t="shared" si="27"/>
        <v>-945</v>
      </c>
      <c r="N601">
        <f t="shared" si="28"/>
        <v>-299903</v>
      </c>
      <c r="O601" t="str">
        <f t="shared" si="2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27"/>
        <v>3564</v>
      </c>
      <c r="M602">
        <f t="shared" si="27"/>
        <v>-900</v>
      </c>
      <c r="N602">
        <f t="shared" si="28"/>
        <v>-286485</v>
      </c>
      <c r="O602" t="str">
        <f t="shared" si="2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27"/>
        <v>3564</v>
      </c>
      <c r="M603">
        <f t="shared" si="27"/>
        <v>-855</v>
      </c>
      <c r="N603">
        <f t="shared" si="28"/>
        <v>-272938</v>
      </c>
      <c r="O603" t="str">
        <f t="shared" si="2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27"/>
        <v>3564</v>
      </c>
      <c r="M604">
        <f t="shared" si="27"/>
        <v>-810</v>
      </c>
      <c r="N604">
        <f t="shared" si="28"/>
        <v>-259261.00000000003</v>
      </c>
      <c r="O604" t="str">
        <f t="shared" si="2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27"/>
        <v>3564</v>
      </c>
      <c r="M605">
        <f t="shared" si="27"/>
        <v>-765</v>
      </c>
      <c r="N605">
        <f t="shared" si="28"/>
        <v>-245454</v>
      </c>
      <c r="O605" t="str">
        <f t="shared" si="2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27"/>
        <v>3564</v>
      </c>
      <c r="M606">
        <f t="shared" si="27"/>
        <v>-720</v>
      </c>
      <c r="N606">
        <f t="shared" si="28"/>
        <v>-231518</v>
      </c>
      <c r="O606" t="str">
        <f t="shared" si="2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27"/>
        <v>3564</v>
      </c>
      <c r="M607">
        <f t="shared" si="27"/>
        <v>-675</v>
      </c>
      <c r="N607">
        <f t="shared" si="28"/>
        <v>-217451</v>
      </c>
      <c r="O607" t="str">
        <f t="shared" si="2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27"/>
        <v>3564</v>
      </c>
      <c r="M608">
        <f t="shared" si="27"/>
        <v>-630</v>
      </c>
      <c r="N608">
        <f t="shared" si="28"/>
        <v>-203255</v>
      </c>
      <c r="O608" t="str">
        <f t="shared" si="2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27"/>
        <v>3564</v>
      </c>
      <c r="M609">
        <f t="shared" si="27"/>
        <v>-585</v>
      </c>
      <c r="N609">
        <f t="shared" si="28"/>
        <v>-188929</v>
      </c>
      <c r="O609" t="str">
        <f t="shared" si="2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27"/>
        <v>3564</v>
      </c>
      <c r="M610">
        <f t="shared" si="27"/>
        <v>-540</v>
      </c>
      <c r="N610">
        <f t="shared" si="28"/>
        <v>-174474</v>
      </c>
      <c r="O610" t="str">
        <f t="shared" si="2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27"/>
        <v>3564</v>
      </c>
      <c r="M611">
        <f t="shared" si="27"/>
        <v>-495</v>
      </c>
      <c r="N611">
        <f t="shared" si="28"/>
        <v>-159888</v>
      </c>
      <c r="O611" t="str">
        <f t="shared" si="2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27"/>
        <v>3564</v>
      </c>
      <c r="M612">
        <f t="shared" si="27"/>
        <v>-450</v>
      </c>
      <c r="N612">
        <f t="shared" si="28"/>
        <v>-145173</v>
      </c>
      <c r="O612" t="str">
        <f t="shared" si="2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27"/>
        <v>3564</v>
      </c>
      <c r="M613">
        <f t="shared" si="27"/>
        <v>-405</v>
      </c>
      <c r="N613">
        <f t="shared" si="28"/>
        <v>-130328</v>
      </c>
      <c r="O613" t="str">
        <f t="shared" si="2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27"/>
        <v>3564</v>
      </c>
      <c r="M614">
        <f t="shared" si="27"/>
        <v>-360</v>
      </c>
      <c r="N614">
        <f t="shared" si="28"/>
        <v>-115353</v>
      </c>
      <c r="O614" t="str">
        <f t="shared" si="2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27"/>
        <v>3564</v>
      </c>
      <c r="M615">
        <f t="shared" si="27"/>
        <v>-315</v>
      </c>
      <c r="N615">
        <f t="shared" si="28"/>
        <v>-100248</v>
      </c>
      <c r="O615" t="str">
        <f t="shared" si="2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27"/>
        <v>3564</v>
      </c>
      <c r="M616">
        <f t="shared" si="27"/>
        <v>-270</v>
      </c>
      <c r="N616">
        <f t="shared" si="28"/>
        <v>-85013</v>
      </c>
      <c r="O616" t="str">
        <f t="shared" si="2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27"/>
        <v>3564</v>
      </c>
      <c r="M617">
        <f t="shared" si="27"/>
        <v>-225</v>
      </c>
      <c r="N617">
        <f t="shared" si="28"/>
        <v>-69649</v>
      </c>
      <c r="O617" t="str">
        <f t="shared" si="2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27"/>
        <v>3564</v>
      </c>
      <c r="M618">
        <f t="shared" si="27"/>
        <v>-180</v>
      </c>
      <c r="N618">
        <f t="shared" si="28"/>
        <v>-54155</v>
      </c>
      <c r="O618" t="str">
        <f t="shared" si="2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27"/>
        <v>3564</v>
      </c>
      <c r="M619">
        <f t="shared" si="27"/>
        <v>-135</v>
      </c>
      <c r="N619">
        <f t="shared" si="28"/>
        <v>-38531</v>
      </c>
      <c r="O619" t="str">
        <f t="shared" si="2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27"/>
        <v>3564</v>
      </c>
      <c r="M620">
        <f t="shared" si="27"/>
        <v>-90</v>
      </c>
      <c r="N620">
        <f t="shared" si="28"/>
        <v>-22777</v>
      </c>
      <c r="O620" t="str">
        <f t="shared" si="2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27"/>
        <v>3564</v>
      </c>
      <c r="M621">
        <f t="shared" si="27"/>
        <v>-45</v>
      </c>
      <c r="N621">
        <f t="shared" si="28"/>
        <v>-6894</v>
      </c>
      <c r="O621" t="str">
        <f t="shared" si="2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27"/>
        <v>3564</v>
      </c>
      <c r="M622">
        <f t="shared" si="27"/>
        <v>-9</v>
      </c>
      <c r="N622">
        <f t="shared" si="28"/>
        <v>0</v>
      </c>
      <c r="O622" t="str">
        <f t="shared" si="2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27"/>
        <v>3564</v>
      </c>
      <c r="M623">
        <f t="shared" si="27"/>
        <v>9</v>
      </c>
      <c r="N623">
        <f t="shared" si="28"/>
        <v>13407</v>
      </c>
      <c r="O623" t="str">
        <f t="shared" si="2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27"/>
        <v>3564</v>
      </c>
      <c r="M624">
        <f t="shared" si="27"/>
        <v>45</v>
      </c>
      <c r="N624">
        <f t="shared" si="28"/>
        <v>27509</v>
      </c>
      <c r="O624" t="str">
        <f t="shared" si="2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27"/>
        <v>3564</v>
      </c>
      <c r="M625">
        <f t="shared" si="27"/>
        <v>90</v>
      </c>
      <c r="N625">
        <f t="shared" si="28"/>
        <v>45264</v>
      </c>
      <c r="O625" t="str">
        <f t="shared" si="2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27"/>
        <v>3564</v>
      </c>
      <c r="M626">
        <f t="shared" si="27"/>
        <v>135</v>
      </c>
      <c r="N626">
        <f t="shared" si="28"/>
        <v>63160</v>
      </c>
      <c r="O626" t="str">
        <f t="shared" si="2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27"/>
        <v>3564</v>
      </c>
      <c r="M627">
        <f t="shared" si="27"/>
        <v>180</v>
      </c>
      <c r="N627">
        <f t="shared" si="28"/>
        <v>81196</v>
      </c>
      <c r="O627" t="str">
        <f t="shared" si="2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27"/>
        <v>3564</v>
      </c>
      <c r="M628">
        <f t="shared" si="27"/>
        <v>225</v>
      </c>
      <c r="N628">
        <f t="shared" si="28"/>
        <v>99373</v>
      </c>
      <c r="O628" t="str">
        <f t="shared" si="2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27"/>
        <v>3564</v>
      </c>
      <c r="M629">
        <f t="shared" si="27"/>
        <v>270</v>
      </c>
      <c r="N629">
        <f t="shared" si="28"/>
        <v>117692</v>
      </c>
      <c r="O629" t="str">
        <f t="shared" si="2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27"/>
        <v>3564</v>
      </c>
      <c r="M630">
        <f t="shared" si="27"/>
        <v>315</v>
      </c>
      <c r="N630">
        <f t="shared" si="28"/>
        <v>136151</v>
      </c>
      <c r="O630" t="str">
        <f t="shared" si="2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27"/>
        <v>3564</v>
      </c>
      <c r="M631">
        <f t="shared" si="27"/>
        <v>360</v>
      </c>
      <c r="N631">
        <f t="shared" si="28"/>
        <v>154750</v>
      </c>
      <c r="O631" t="str">
        <f t="shared" si="2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27"/>
        <v>3564</v>
      </c>
      <c r="M632">
        <f t="shared" si="27"/>
        <v>405</v>
      </c>
      <c r="N632">
        <f t="shared" si="28"/>
        <v>173491</v>
      </c>
      <c r="O632" t="str">
        <f t="shared" si="2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27"/>
        <v>3564</v>
      </c>
      <c r="M633">
        <f t="shared" si="27"/>
        <v>450</v>
      </c>
      <c r="N633">
        <f t="shared" si="28"/>
        <v>192372</v>
      </c>
      <c r="O633" t="str">
        <f t="shared" si="2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27"/>
        <v>3564</v>
      </c>
      <c r="M634">
        <f t="shared" si="27"/>
        <v>495</v>
      </c>
      <c r="N634">
        <f t="shared" si="28"/>
        <v>211395</v>
      </c>
      <c r="O634" t="str">
        <f t="shared" si="2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27"/>
        <v>3564</v>
      </c>
      <c r="M635">
        <f t="shared" si="27"/>
        <v>540</v>
      </c>
      <c r="N635">
        <f t="shared" si="28"/>
        <v>230558</v>
      </c>
      <c r="O635" t="str">
        <f t="shared" si="2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27"/>
        <v>3564</v>
      </c>
      <c r="M636">
        <f t="shared" si="27"/>
        <v>585</v>
      </c>
      <c r="N636">
        <f t="shared" si="28"/>
        <v>249862</v>
      </c>
      <c r="O636" t="str">
        <f t="shared" si="2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27"/>
        <v>3564</v>
      </c>
      <c r="M637">
        <f t="shared" si="27"/>
        <v>630</v>
      </c>
      <c r="N637">
        <f t="shared" si="28"/>
        <v>269307</v>
      </c>
      <c r="O637" t="str">
        <f t="shared" si="2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27"/>
        <v>3564</v>
      </c>
      <c r="M638">
        <f t="shared" si="27"/>
        <v>675</v>
      </c>
      <c r="N638">
        <f t="shared" si="28"/>
        <v>288892</v>
      </c>
      <c r="O638" t="str">
        <f t="shared" si="2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27"/>
        <v>3564</v>
      </c>
      <c r="M639">
        <f t="shared" si="27"/>
        <v>720</v>
      </c>
      <c r="N639">
        <f t="shared" si="28"/>
        <v>308619</v>
      </c>
      <c r="O639" t="str">
        <f t="shared" si="2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27"/>
        <v>3564</v>
      </c>
      <c r="M640">
        <f t="shared" si="27"/>
        <v>765</v>
      </c>
      <c r="N640">
        <f t="shared" si="28"/>
        <v>328486</v>
      </c>
      <c r="O640" t="str">
        <f t="shared" si="2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27"/>
        <v>3564</v>
      </c>
      <c r="M641">
        <f t="shared" si="27"/>
        <v>810</v>
      </c>
      <c r="N641">
        <f t="shared" si="28"/>
        <v>348494</v>
      </c>
      <c r="O641" t="str">
        <f t="shared" si="2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27"/>
        <v>3564</v>
      </c>
      <c r="M642">
        <f t="shared" si="27"/>
        <v>855</v>
      </c>
      <c r="N642">
        <f t="shared" si="28"/>
        <v>368643</v>
      </c>
      <c r="O642" t="str">
        <f t="shared" si="2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M706" si="30">A643</f>
        <v>3564</v>
      </c>
      <c r="M643">
        <f t="shared" si="30"/>
        <v>900</v>
      </c>
      <c r="N643">
        <f t="shared" ref="N643:N706" si="31">C643*1000</f>
        <v>388933</v>
      </c>
      <c r="O643" t="str">
        <f t="shared" ref="O643:O706" si="32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30"/>
        <v>3564</v>
      </c>
      <c r="M644">
        <f t="shared" si="30"/>
        <v>945</v>
      </c>
      <c r="N644">
        <f t="shared" si="31"/>
        <v>409364</v>
      </c>
      <c r="O644" t="str">
        <f t="shared" si="32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30"/>
        <v>3564</v>
      </c>
      <c r="M645">
        <f t="shared" si="30"/>
        <v>990</v>
      </c>
      <c r="N645">
        <f t="shared" si="31"/>
        <v>429935</v>
      </c>
      <c r="O645" t="str">
        <f t="shared" si="32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30"/>
        <v>3861</v>
      </c>
      <c r="M646">
        <f t="shared" si="30"/>
        <v>-990</v>
      </c>
      <c r="N646">
        <f t="shared" si="31"/>
        <v>-335857</v>
      </c>
      <c r="O646" t="str">
        <f t="shared" si="32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30"/>
        <v>3861</v>
      </c>
      <c r="M647">
        <f t="shared" si="30"/>
        <v>-945</v>
      </c>
      <c r="N647">
        <f t="shared" si="31"/>
        <v>-321662</v>
      </c>
      <c r="O647" t="str">
        <f t="shared" si="32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30"/>
        <v>3861</v>
      </c>
      <c r="M648">
        <f t="shared" si="30"/>
        <v>-900</v>
      </c>
      <c r="N648">
        <f t="shared" si="31"/>
        <v>-307317</v>
      </c>
      <c r="O648" t="str">
        <f t="shared" si="32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30"/>
        <v>3861</v>
      </c>
      <c r="M649">
        <f t="shared" si="30"/>
        <v>-855</v>
      </c>
      <c r="N649">
        <f t="shared" si="31"/>
        <v>-292822</v>
      </c>
      <c r="O649" t="str">
        <f t="shared" si="32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30"/>
        <v>3861</v>
      </c>
      <c r="M650">
        <f t="shared" si="30"/>
        <v>-810</v>
      </c>
      <c r="N650">
        <f t="shared" si="31"/>
        <v>-278177</v>
      </c>
      <c r="O650" t="str">
        <f t="shared" si="32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30"/>
        <v>3861</v>
      </c>
      <c r="M651">
        <f t="shared" si="30"/>
        <v>-765</v>
      </c>
      <c r="N651">
        <f t="shared" si="31"/>
        <v>-263381</v>
      </c>
      <c r="O651" t="str">
        <f t="shared" si="32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30"/>
        <v>3861</v>
      </c>
      <c r="M652">
        <f t="shared" si="30"/>
        <v>-720</v>
      </c>
      <c r="N652">
        <f t="shared" si="31"/>
        <v>-248436</v>
      </c>
      <c r="O652" t="str">
        <f t="shared" si="32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30"/>
        <v>3861</v>
      </c>
      <c r="M653">
        <f t="shared" si="30"/>
        <v>-675</v>
      </c>
      <c r="N653">
        <f t="shared" si="31"/>
        <v>-233340</v>
      </c>
      <c r="O653" t="str">
        <f t="shared" si="32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30"/>
        <v>3861</v>
      </c>
      <c r="M654">
        <f t="shared" si="30"/>
        <v>-630</v>
      </c>
      <c r="N654">
        <f t="shared" si="31"/>
        <v>-218095</v>
      </c>
      <c r="O654" t="str">
        <f t="shared" si="32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30"/>
        <v>3861</v>
      </c>
      <c r="M655">
        <f t="shared" si="30"/>
        <v>-585</v>
      </c>
      <c r="N655">
        <f t="shared" si="31"/>
        <v>-202699</v>
      </c>
      <c r="O655" t="str">
        <f t="shared" si="32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30"/>
        <v>3861</v>
      </c>
      <c r="M656">
        <f t="shared" si="30"/>
        <v>-540</v>
      </c>
      <c r="N656">
        <f t="shared" si="31"/>
        <v>-187153</v>
      </c>
      <c r="O656" t="str">
        <f t="shared" si="32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30"/>
        <v>3861</v>
      </c>
      <c r="M657">
        <f t="shared" si="30"/>
        <v>-495</v>
      </c>
      <c r="N657">
        <f t="shared" si="31"/>
        <v>-171457</v>
      </c>
      <c r="O657" t="str">
        <f t="shared" si="32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30"/>
        <v>3861</v>
      </c>
      <c r="M658">
        <f t="shared" si="30"/>
        <v>-450</v>
      </c>
      <c r="N658">
        <f t="shared" si="31"/>
        <v>-155612</v>
      </c>
      <c r="O658" t="str">
        <f t="shared" si="32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30"/>
        <v>3861</v>
      </c>
      <c r="M659">
        <f t="shared" si="30"/>
        <v>-405</v>
      </c>
      <c r="N659">
        <f t="shared" si="31"/>
        <v>-139616</v>
      </c>
      <c r="O659" t="str">
        <f t="shared" si="32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30"/>
        <v>3861</v>
      </c>
      <c r="M660">
        <f t="shared" si="30"/>
        <v>-360</v>
      </c>
      <c r="N660">
        <f t="shared" si="31"/>
        <v>-123470</v>
      </c>
      <c r="O660" t="str">
        <f t="shared" si="32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30"/>
        <v>3861</v>
      </c>
      <c r="M661">
        <f t="shared" si="30"/>
        <v>-315</v>
      </c>
      <c r="N661">
        <f t="shared" si="31"/>
        <v>-107173</v>
      </c>
      <c r="O661" t="str">
        <f t="shared" si="32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30"/>
        <v>3861</v>
      </c>
      <c r="M662">
        <f t="shared" si="30"/>
        <v>-270</v>
      </c>
      <c r="N662">
        <f t="shared" si="31"/>
        <v>-90727</v>
      </c>
      <c r="O662" t="str">
        <f t="shared" si="32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30"/>
        <v>3861</v>
      </c>
      <c r="M663">
        <f t="shared" si="30"/>
        <v>-225</v>
      </c>
      <c r="N663">
        <f t="shared" si="31"/>
        <v>-74131</v>
      </c>
      <c r="O663" t="str">
        <f t="shared" si="32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30"/>
        <v>3861</v>
      </c>
      <c r="M664">
        <f t="shared" si="30"/>
        <v>-180</v>
      </c>
      <c r="N664">
        <f t="shared" si="31"/>
        <v>-57384</v>
      </c>
      <c r="O664" t="str">
        <f t="shared" si="32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30"/>
        <v>3861</v>
      </c>
      <c r="M665">
        <f t="shared" si="30"/>
        <v>-135</v>
      </c>
      <c r="N665">
        <f t="shared" si="31"/>
        <v>-40488</v>
      </c>
      <c r="O665" t="str">
        <f t="shared" si="32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30"/>
        <v>3861</v>
      </c>
      <c r="M666">
        <f t="shared" si="30"/>
        <v>-90</v>
      </c>
      <c r="N666">
        <f t="shared" si="31"/>
        <v>-23441</v>
      </c>
      <c r="O666" t="str">
        <f t="shared" si="32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30"/>
        <v>3861</v>
      </c>
      <c r="M667">
        <f t="shared" si="30"/>
        <v>-45</v>
      </c>
      <c r="N667">
        <f t="shared" si="31"/>
        <v>-6245</v>
      </c>
      <c r="O667" t="str">
        <f t="shared" si="32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30"/>
        <v>3861</v>
      </c>
      <c r="M668">
        <f t="shared" si="30"/>
        <v>-9</v>
      </c>
      <c r="N668">
        <f t="shared" si="31"/>
        <v>0</v>
      </c>
      <c r="O668" t="str">
        <f t="shared" si="32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30"/>
        <v>3861</v>
      </c>
      <c r="M669">
        <f t="shared" si="30"/>
        <v>9</v>
      </c>
      <c r="N669">
        <f t="shared" si="31"/>
        <v>15850</v>
      </c>
      <c r="O669" t="str">
        <f t="shared" si="32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30"/>
        <v>3861</v>
      </c>
      <c r="M670">
        <f t="shared" si="30"/>
        <v>45</v>
      </c>
      <c r="N670">
        <f t="shared" si="31"/>
        <v>31129</v>
      </c>
      <c r="O670" t="str">
        <f t="shared" si="32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30"/>
        <v>3861</v>
      </c>
      <c r="M671">
        <f t="shared" si="30"/>
        <v>90</v>
      </c>
      <c r="N671">
        <f t="shared" si="31"/>
        <v>50375</v>
      </c>
      <c r="O671" t="str">
        <f t="shared" si="32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30"/>
        <v>3861</v>
      </c>
      <c r="M672">
        <f t="shared" si="30"/>
        <v>135</v>
      </c>
      <c r="N672">
        <f t="shared" si="31"/>
        <v>69784</v>
      </c>
      <c r="O672" t="str">
        <f t="shared" si="32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30"/>
        <v>3861</v>
      </c>
      <c r="M673">
        <f t="shared" si="30"/>
        <v>180</v>
      </c>
      <c r="N673">
        <f t="shared" si="31"/>
        <v>89355</v>
      </c>
      <c r="O673" t="str">
        <f t="shared" si="32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30"/>
        <v>3861</v>
      </c>
      <c r="M674">
        <f t="shared" si="30"/>
        <v>225</v>
      </c>
      <c r="N674">
        <f t="shared" si="31"/>
        <v>109089</v>
      </c>
      <c r="O674" t="str">
        <f t="shared" si="32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30"/>
        <v>3861</v>
      </c>
      <c r="M675">
        <f t="shared" si="30"/>
        <v>270</v>
      </c>
      <c r="N675">
        <f t="shared" si="31"/>
        <v>128985.99999999999</v>
      </c>
      <c r="O675" t="str">
        <f t="shared" si="32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30"/>
        <v>3861</v>
      </c>
      <c r="M676">
        <f t="shared" si="30"/>
        <v>315</v>
      </c>
      <c r="N676">
        <f t="shared" si="31"/>
        <v>149046</v>
      </c>
      <c r="O676" t="str">
        <f t="shared" si="32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30"/>
        <v>3861</v>
      </c>
      <c r="M677">
        <f t="shared" si="30"/>
        <v>360</v>
      </c>
      <c r="N677">
        <f t="shared" si="31"/>
        <v>169269</v>
      </c>
      <c r="O677" t="str">
        <f t="shared" si="32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30"/>
        <v>3861</v>
      </c>
      <c r="M678">
        <f t="shared" si="30"/>
        <v>405</v>
      </c>
      <c r="N678">
        <f t="shared" si="31"/>
        <v>189655</v>
      </c>
      <c r="O678" t="str">
        <f t="shared" si="32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30"/>
        <v>3861</v>
      </c>
      <c r="M679">
        <f t="shared" si="30"/>
        <v>450</v>
      </c>
      <c r="N679">
        <f t="shared" si="31"/>
        <v>210203</v>
      </c>
      <c r="O679" t="str">
        <f t="shared" si="32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30"/>
        <v>3861</v>
      </c>
      <c r="M680">
        <f t="shared" si="30"/>
        <v>495</v>
      </c>
      <c r="N680">
        <f t="shared" si="31"/>
        <v>230915</v>
      </c>
      <c r="O680" t="str">
        <f t="shared" si="32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30"/>
        <v>3861</v>
      </c>
      <c r="M681">
        <f t="shared" si="30"/>
        <v>540</v>
      </c>
      <c r="N681">
        <f t="shared" si="31"/>
        <v>251789</v>
      </c>
      <c r="O681" t="str">
        <f t="shared" si="32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30"/>
        <v>3861</v>
      </c>
      <c r="M682">
        <f t="shared" si="30"/>
        <v>585</v>
      </c>
      <c r="N682">
        <f t="shared" si="31"/>
        <v>272826</v>
      </c>
      <c r="O682" t="str">
        <f t="shared" si="32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30"/>
        <v>3861</v>
      </c>
      <c r="M683">
        <f t="shared" si="30"/>
        <v>630</v>
      </c>
      <c r="N683">
        <f t="shared" si="31"/>
        <v>294026</v>
      </c>
      <c r="O683" t="str">
        <f t="shared" si="32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30"/>
        <v>3861</v>
      </c>
      <c r="M684">
        <f t="shared" si="30"/>
        <v>675</v>
      </c>
      <c r="N684">
        <f t="shared" si="31"/>
        <v>315389</v>
      </c>
      <c r="O684" t="str">
        <f t="shared" si="32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30"/>
        <v>3861</v>
      </c>
      <c r="M685">
        <f t="shared" si="30"/>
        <v>720</v>
      </c>
      <c r="N685">
        <f t="shared" si="31"/>
        <v>336914</v>
      </c>
      <c r="O685" t="str">
        <f t="shared" si="32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30"/>
        <v>3861</v>
      </c>
      <c r="M686">
        <f t="shared" si="30"/>
        <v>765</v>
      </c>
      <c r="N686">
        <f t="shared" si="31"/>
        <v>358603</v>
      </c>
      <c r="O686" t="str">
        <f t="shared" si="32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30"/>
        <v>3861</v>
      </c>
      <c r="M687">
        <f t="shared" si="30"/>
        <v>810</v>
      </c>
      <c r="N687">
        <f t="shared" si="31"/>
        <v>380454</v>
      </c>
      <c r="O687" t="str">
        <f t="shared" si="32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30"/>
        <v>3861</v>
      </c>
      <c r="M688">
        <f t="shared" si="30"/>
        <v>855</v>
      </c>
      <c r="N688">
        <f t="shared" si="31"/>
        <v>402468</v>
      </c>
      <c r="O688" t="str">
        <f t="shared" si="32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30"/>
        <v>3861</v>
      </c>
      <c r="M689">
        <f t="shared" si="30"/>
        <v>900</v>
      </c>
      <c r="N689">
        <f t="shared" si="31"/>
        <v>424645</v>
      </c>
      <c r="O689" t="str">
        <f t="shared" si="32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30"/>
        <v>3861</v>
      </c>
      <c r="M690">
        <f t="shared" si="30"/>
        <v>945</v>
      </c>
      <c r="N690">
        <f t="shared" si="31"/>
        <v>446985</v>
      </c>
      <c r="O690" t="str">
        <f t="shared" si="32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30"/>
        <v>3861</v>
      </c>
      <c r="M691">
        <f t="shared" si="30"/>
        <v>990</v>
      </c>
      <c r="N691">
        <f t="shared" si="31"/>
        <v>469488</v>
      </c>
      <c r="O691" t="str">
        <f t="shared" si="32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30"/>
        <v>4158</v>
      </c>
      <c r="M692">
        <f t="shared" si="30"/>
        <v>-990</v>
      </c>
      <c r="N692">
        <f t="shared" si="31"/>
        <v>-357855</v>
      </c>
      <c r="O692" t="str">
        <f t="shared" si="32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30"/>
        <v>4158</v>
      </c>
      <c r="M693">
        <f t="shared" si="30"/>
        <v>-945</v>
      </c>
      <c r="N693">
        <f t="shared" si="31"/>
        <v>-342788</v>
      </c>
      <c r="O693" t="str">
        <f t="shared" si="32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30"/>
        <v>4158</v>
      </c>
      <c r="M694">
        <f t="shared" si="30"/>
        <v>-900</v>
      </c>
      <c r="N694">
        <f t="shared" si="31"/>
        <v>-327548</v>
      </c>
      <c r="O694" t="str">
        <f t="shared" si="32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30"/>
        <v>4158</v>
      </c>
      <c r="M695">
        <f t="shared" si="30"/>
        <v>-855</v>
      </c>
      <c r="N695">
        <f t="shared" si="31"/>
        <v>-312136</v>
      </c>
      <c r="O695" t="str">
        <f t="shared" si="32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30"/>
        <v>4158</v>
      </c>
      <c r="M696">
        <f t="shared" si="30"/>
        <v>-810</v>
      </c>
      <c r="N696">
        <f t="shared" si="31"/>
        <v>-296552</v>
      </c>
      <c r="O696" t="str">
        <f t="shared" si="32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30"/>
        <v>4158</v>
      </c>
      <c r="M697">
        <f t="shared" si="30"/>
        <v>-765</v>
      </c>
      <c r="N697">
        <f t="shared" si="31"/>
        <v>-280797</v>
      </c>
      <c r="O697" t="str">
        <f t="shared" si="32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30"/>
        <v>4158</v>
      </c>
      <c r="M698">
        <f t="shared" si="30"/>
        <v>-720</v>
      </c>
      <c r="N698">
        <f t="shared" si="31"/>
        <v>-264869</v>
      </c>
      <c r="O698" t="str">
        <f t="shared" si="32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30"/>
        <v>4158</v>
      </c>
      <c r="M699">
        <f t="shared" si="30"/>
        <v>-675</v>
      </c>
      <c r="N699">
        <f t="shared" si="31"/>
        <v>-248769</v>
      </c>
      <c r="O699" t="str">
        <f t="shared" si="32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30"/>
        <v>4158</v>
      </c>
      <c r="M700">
        <f t="shared" si="30"/>
        <v>-630</v>
      </c>
      <c r="N700">
        <f t="shared" si="31"/>
        <v>-232498</v>
      </c>
      <c r="O700" t="str">
        <f t="shared" si="32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30"/>
        <v>4158</v>
      </c>
      <c r="M701">
        <f t="shared" si="30"/>
        <v>-585</v>
      </c>
      <c r="N701">
        <f t="shared" si="31"/>
        <v>-216054</v>
      </c>
      <c r="O701" t="str">
        <f t="shared" si="32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30"/>
        <v>4158</v>
      </c>
      <c r="M702">
        <f t="shared" si="30"/>
        <v>-540</v>
      </c>
      <c r="N702">
        <f t="shared" si="31"/>
        <v>-199439</v>
      </c>
      <c r="O702" t="str">
        <f t="shared" si="32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30"/>
        <v>4158</v>
      </c>
      <c r="M703">
        <f t="shared" si="30"/>
        <v>-495</v>
      </c>
      <c r="N703">
        <f t="shared" si="31"/>
        <v>-182651</v>
      </c>
      <c r="O703" t="str">
        <f t="shared" si="32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30"/>
        <v>4158</v>
      </c>
      <c r="M704">
        <f t="shared" si="30"/>
        <v>-450</v>
      </c>
      <c r="N704">
        <f t="shared" si="31"/>
        <v>-165691</v>
      </c>
      <c r="O704" t="str">
        <f t="shared" si="32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30"/>
        <v>4158</v>
      </c>
      <c r="M705">
        <f t="shared" si="30"/>
        <v>-405</v>
      </c>
      <c r="N705">
        <f t="shared" si="31"/>
        <v>-148560</v>
      </c>
      <c r="O705" t="str">
        <f t="shared" si="32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30"/>
        <v>4158</v>
      </c>
      <c r="M706">
        <f t="shared" si="30"/>
        <v>-360</v>
      </c>
      <c r="N706">
        <f t="shared" si="31"/>
        <v>-131256</v>
      </c>
      <c r="O706" t="str">
        <f t="shared" si="32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M770" si="33">A707</f>
        <v>4158</v>
      </c>
      <c r="M707">
        <f t="shared" si="33"/>
        <v>-315</v>
      </c>
      <c r="N707">
        <f t="shared" ref="N707:N770" si="34">C707*1000</f>
        <v>-113781</v>
      </c>
      <c r="O707" t="str">
        <f t="shared" ref="O707:O770" si="35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33"/>
        <v>4158</v>
      </c>
      <c r="M708">
        <f t="shared" si="33"/>
        <v>-270</v>
      </c>
      <c r="N708">
        <f t="shared" si="34"/>
        <v>-96134</v>
      </c>
      <c r="O708" t="str">
        <f t="shared" si="35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33"/>
        <v>4158</v>
      </c>
      <c r="M709">
        <f t="shared" si="33"/>
        <v>-225</v>
      </c>
      <c r="N709">
        <f t="shared" si="34"/>
        <v>-78314</v>
      </c>
      <c r="O709" t="str">
        <f t="shared" si="35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33"/>
        <v>4158</v>
      </c>
      <c r="M710">
        <f t="shared" si="33"/>
        <v>-180</v>
      </c>
      <c r="N710">
        <f t="shared" si="34"/>
        <v>-60323</v>
      </c>
      <c r="O710" t="str">
        <f t="shared" si="35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33"/>
        <v>4158</v>
      </c>
      <c r="M711">
        <f t="shared" si="33"/>
        <v>-135</v>
      </c>
      <c r="N711">
        <f t="shared" si="34"/>
        <v>-42159</v>
      </c>
      <c r="O711" t="str">
        <f t="shared" si="35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33"/>
        <v>4158</v>
      </c>
      <c r="M712">
        <f t="shared" si="33"/>
        <v>-90</v>
      </c>
      <c r="N712">
        <f t="shared" si="34"/>
        <v>-23824</v>
      </c>
      <c r="O712" t="str">
        <f t="shared" si="35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33"/>
        <v>4158</v>
      </c>
      <c r="M713">
        <f t="shared" si="33"/>
        <v>-45</v>
      </c>
      <c r="N713">
        <f t="shared" si="34"/>
        <v>-5316</v>
      </c>
      <c r="O713" t="str">
        <f t="shared" si="35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33"/>
        <v>4158</v>
      </c>
      <c r="M714">
        <f t="shared" si="33"/>
        <v>-9</v>
      </c>
      <c r="N714">
        <f t="shared" si="34"/>
        <v>0</v>
      </c>
      <c r="O714" t="str">
        <f t="shared" si="35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33"/>
        <v>4158</v>
      </c>
      <c r="M715">
        <f t="shared" si="33"/>
        <v>9</v>
      </c>
      <c r="N715">
        <f t="shared" si="34"/>
        <v>18595</v>
      </c>
      <c r="O715" t="str">
        <f t="shared" si="35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33"/>
        <v>4158</v>
      </c>
      <c r="M716">
        <f t="shared" si="33"/>
        <v>45</v>
      </c>
      <c r="N716">
        <f t="shared" si="34"/>
        <v>35052</v>
      </c>
      <c r="O716" t="str">
        <f t="shared" si="35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33"/>
        <v>4158</v>
      </c>
      <c r="M717">
        <f t="shared" si="33"/>
        <v>90</v>
      </c>
      <c r="N717">
        <f t="shared" si="34"/>
        <v>55792</v>
      </c>
      <c r="O717" t="str">
        <f t="shared" si="35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33"/>
        <v>4158</v>
      </c>
      <c r="M718">
        <f t="shared" si="33"/>
        <v>135</v>
      </c>
      <c r="N718">
        <f t="shared" si="34"/>
        <v>76718</v>
      </c>
      <c r="O718" t="str">
        <f t="shared" si="35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33"/>
        <v>4158</v>
      </c>
      <c r="M719">
        <f t="shared" si="33"/>
        <v>180</v>
      </c>
      <c r="N719">
        <f t="shared" si="34"/>
        <v>97830</v>
      </c>
      <c r="O719" t="str">
        <f t="shared" si="35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33"/>
        <v>4158</v>
      </c>
      <c r="M720">
        <f t="shared" si="33"/>
        <v>225</v>
      </c>
      <c r="N720">
        <f t="shared" si="34"/>
        <v>119129</v>
      </c>
      <c r="O720" t="str">
        <f t="shared" si="35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33"/>
        <v>4158</v>
      </c>
      <c r="M721">
        <f t="shared" si="33"/>
        <v>270</v>
      </c>
      <c r="N721">
        <f t="shared" si="34"/>
        <v>140615</v>
      </c>
      <c r="O721" t="str">
        <f t="shared" si="35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33"/>
        <v>4158</v>
      </c>
      <c r="M722">
        <f t="shared" si="33"/>
        <v>315</v>
      </c>
      <c r="N722">
        <f t="shared" si="34"/>
        <v>162287</v>
      </c>
      <c r="O722" t="str">
        <f t="shared" si="35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33"/>
        <v>4158</v>
      </c>
      <c r="M723">
        <f t="shared" si="33"/>
        <v>360</v>
      </c>
      <c r="N723">
        <f t="shared" si="34"/>
        <v>184146</v>
      </c>
      <c r="O723" t="str">
        <f t="shared" si="35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33"/>
        <v>4158</v>
      </c>
      <c r="M724">
        <f t="shared" si="33"/>
        <v>405</v>
      </c>
      <c r="N724">
        <f t="shared" si="34"/>
        <v>206192</v>
      </c>
      <c r="O724" t="str">
        <f t="shared" si="35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33"/>
        <v>4158</v>
      </c>
      <c r="M725">
        <f t="shared" si="33"/>
        <v>450</v>
      </c>
      <c r="N725">
        <f t="shared" si="34"/>
        <v>228424</v>
      </c>
      <c r="O725" t="str">
        <f t="shared" si="35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33"/>
        <v>4158</v>
      </c>
      <c r="M726">
        <f t="shared" si="33"/>
        <v>495</v>
      </c>
      <c r="N726">
        <f t="shared" si="34"/>
        <v>250843</v>
      </c>
      <c r="O726" t="str">
        <f t="shared" si="35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33"/>
        <v>4158</v>
      </c>
      <c r="M727">
        <f t="shared" si="33"/>
        <v>540</v>
      </c>
      <c r="N727">
        <f t="shared" si="34"/>
        <v>273448</v>
      </c>
      <c r="O727" t="str">
        <f t="shared" si="35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33"/>
        <v>4158</v>
      </c>
      <c r="M728">
        <f t="shared" si="33"/>
        <v>585</v>
      </c>
      <c r="N728">
        <f t="shared" si="34"/>
        <v>296240</v>
      </c>
      <c r="O728" t="str">
        <f t="shared" si="35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33"/>
        <v>4158</v>
      </c>
      <c r="M729">
        <f t="shared" si="33"/>
        <v>630</v>
      </c>
      <c r="N729">
        <f t="shared" si="34"/>
        <v>319219</v>
      </c>
      <c r="O729" t="str">
        <f t="shared" si="35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33"/>
        <v>4158</v>
      </c>
      <c r="M730">
        <f t="shared" si="33"/>
        <v>675</v>
      </c>
      <c r="N730">
        <f t="shared" si="34"/>
        <v>342384</v>
      </c>
      <c r="O730" t="str">
        <f t="shared" si="35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33"/>
        <v>4158</v>
      </c>
      <c r="M731">
        <f t="shared" si="33"/>
        <v>720</v>
      </c>
      <c r="N731">
        <f t="shared" si="34"/>
        <v>365736</v>
      </c>
      <c r="O731" t="str">
        <f t="shared" si="35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33"/>
        <v>4158</v>
      </c>
      <c r="M732">
        <f t="shared" si="33"/>
        <v>765</v>
      </c>
      <c r="N732">
        <f t="shared" si="34"/>
        <v>389274</v>
      </c>
      <c r="O732" t="str">
        <f t="shared" si="35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33"/>
        <v>4158</v>
      </c>
      <c r="M733">
        <f t="shared" si="33"/>
        <v>810</v>
      </c>
      <c r="N733">
        <f t="shared" si="34"/>
        <v>412999</v>
      </c>
      <c r="O733" t="str">
        <f t="shared" si="35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33"/>
        <v>4158</v>
      </c>
      <c r="M734">
        <f t="shared" si="33"/>
        <v>855</v>
      </c>
      <c r="N734">
        <f t="shared" si="34"/>
        <v>436911</v>
      </c>
      <c r="O734" t="str">
        <f t="shared" si="35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33"/>
        <v>4158</v>
      </c>
      <c r="M735">
        <f t="shared" si="33"/>
        <v>900</v>
      </c>
      <c r="N735">
        <f t="shared" si="34"/>
        <v>461009</v>
      </c>
      <c r="O735" t="str">
        <f t="shared" si="35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33"/>
        <v>4158</v>
      </c>
      <c r="M736">
        <f t="shared" si="33"/>
        <v>945</v>
      </c>
      <c r="N736">
        <f t="shared" si="34"/>
        <v>485294</v>
      </c>
      <c r="O736" t="str">
        <f t="shared" si="35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33"/>
        <v>4158</v>
      </c>
      <c r="M737">
        <f t="shared" si="33"/>
        <v>990</v>
      </c>
      <c r="N737">
        <f t="shared" si="34"/>
        <v>509766</v>
      </c>
      <c r="O737" t="str">
        <f t="shared" si="35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33"/>
        <v>4455</v>
      </c>
      <c r="M738">
        <f t="shared" si="33"/>
        <v>-990</v>
      </c>
      <c r="N738">
        <f t="shared" si="34"/>
        <v>-379166</v>
      </c>
      <c r="O738" t="str">
        <f t="shared" si="35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33"/>
        <v>4455</v>
      </c>
      <c r="M739">
        <f t="shared" si="33"/>
        <v>-945</v>
      </c>
      <c r="N739">
        <f t="shared" si="34"/>
        <v>-363260</v>
      </c>
      <c r="O739" t="str">
        <f t="shared" si="35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33"/>
        <v>4455</v>
      </c>
      <c r="M740">
        <f t="shared" si="33"/>
        <v>-900</v>
      </c>
      <c r="N740">
        <f t="shared" si="34"/>
        <v>-347158</v>
      </c>
      <c r="O740" t="str">
        <f t="shared" si="35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33"/>
        <v>4455</v>
      </c>
      <c r="M741">
        <f t="shared" si="33"/>
        <v>-855</v>
      </c>
      <c r="N741">
        <f t="shared" si="34"/>
        <v>-330862</v>
      </c>
      <c r="O741" t="str">
        <f t="shared" si="35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33"/>
        <v>4455</v>
      </c>
      <c r="M742">
        <f t="shared" si="33"/>
        <v>-810</v>
      </c>
      <c r="N742">
        <f t="shared" si="34"/>
        <v>-314369</v>
      </c>
      <c r="O742" t="str">
        <f t="shared" si="35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33"/>
        <v>4455</v>
      </c>
      <c r="M743">
        <f t="shared" si="33"/>
        <v>-765</v>
      </c>
      <c r="N743">
        <f t="shared" si="34"/>
        <v>-297681</v>
      </c>
      <c r="O743" t="str">
        <f t="shared" si="35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33"/>
        <v>4455</v>
      </c>
      <c r="M744">
        <f t="shared" si="33"/>
        <v>-720</v>
      </c>
      <c r="N744">
        <f t="shared" si="34"/>
        <v>-280798</v>
      </c>
      <c r="O744" t="str">
        <f t="shared" si="35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33"/>
        <v>4455</v>
      </c>
      <c r="M745">
        <f t="shared" si="33"/>
        <v>-675</v>
      </c>
      <c r="N745">
        <f t="shared" si="34"/>
        <v>-263719</v>
      </c>
      <c r="O745" t="str">
        <f t="shared" si="35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33"/>
        <v>4455</v>
      </c>
      <c r="M746">
        <f t="shared" si="33"/>
        <v>-630</v>
      </c>
      <c r="N746">
        <f t="shared" si="34"/>
        <v>-246445</v>
      </c>
      <c r="O746" t="str">
        <f t="shared" si="35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33"/>
        <v>4455</v>
      </c>
      <c r="M747">
        <f t="shared" si="33"/>
        <v>-585</v>
      </c>
      <c r="N747">
        <f t="shared" si="34"/>
        <v>-228975</v>
      </c>
      <c r="O747" t="str">
        <f t="shared" si="35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33"/>
        <v>4455</v>
      </c>
      <c r="M748">
        <f t="shared" si="33"/>
        <v>-540</v>
      </c>
      <c r="N748">
        <f t="shared" si="34"/>
        <v>-211310</v>
      </c>
      <c r="O748" t="str">
        <f t="shared" si="35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33"/>
        <v>4455</v>
      </c>
      <c r="M749">
        <f t="shared" si="33"/>
        <v>-495</v>
      </c>
      <c r="N749">
        <f t="shared" si="34"/>
        <v>-193449</v>
      </c>
      <c r="O749" t="str">
        <f t="shared" si="35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33"/>
        <v>4455</v>
      </c>
      <c r="M750">
        <f t="shared" si="33"/>
        <v>-450</v>
      </c>
      <c r="N750">
        <f t="shared" si="34"/>
        <v>-175393</v>
      </c>
      <c r="O750" t="str">
        <f t="shared" si="35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33"/>
        <v>4455</v>
      </c>
      <c r="M751">
        <f t="shared" si="33"/>
        <v>-405</v>
      </c>
      <c r="N751">
        <f t="shared" si="34"/>
        <v>-157141</v>
      </c>
      <c r="O751" t="str">
        <f t="shared" si="35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33"/>
        <v>4455</v>
      </c>
      <c r="M752">
        <f t="shared" si="33"/>
        <v>-360</v>
      </c>
      <c r="N752">
        <f t="shared" si="34"/>
        <v>-138694</v>
      </c>
      <c r="O752" t="str">
        <f t="shared" si="35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33"/>
        <v>4455</v>
      </c>
      <c r="M753">
        <f t="shared" si="33"/>
        <v>-315</v>
      </c>
      <c r="N753">
        <f t="shared" si="34"/>
        <v>-120051</v>
      </c>
      <c r="O753" t="str">
        <f t="shared" si="35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33"/>
        <v>4455</v>
      </c>
      <c r="M754">
        <f t="shared" si="33"/>
        <v>-270</v>
      </c>
      <c r="N754">
        <f t="shared" si="34"/>
        <v>-101213</v>
      </c>
      <c r="O754" t="str">
        <f t="shared" si="35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33"/>
        <v>4455</v>
      </c>
      <c r="M755">
        <f t="shared" si="33"/>
        <v>-225</v>
      </c>
      <c r="N755">
        <f t="shared" si="34"/>
        <v>-82179</v>
      </c>
      <c r="O755" t="str">
        <f t="shared" si="35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33"/>
        <v>4455</v>
      </c>
      <c r="M756">
        <f t="shared" si="33"/>
        <v>-180</v>
      </c>
      <c r="N756">
        <f t="shared" si="34"/>
        <v>-62950</v>
      </c>
      <c r="O756" t="str">
        <f t="shared" si="35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33"/>
        <v>4455</v>
      </c>
      <c r="M757">
        <f t="shared" si="33"/>
        <v>-135</v>
      </c>
      <c r="N757">
        <f t="shared" si="34"/>
        <v>-43525</v>
      </c>
      <c r="O757" t="str">
        <f t="shared" si="35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33"/>
        <v>4455</v>
      </c>
      <c r="M758">
        <f t="shared" si="33"/>
        <v>-90</v>
      </c>
      <c r="N758">
        <f t="shared" si="34"/>
        <v>-23905</v>
      </c>
      <c r="O758" t="str">
        <f t="shared" si="35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33"/>
        <v>4455</v>
      </c>
      <c r="M759">
        <f t="shared" si="33"/>
        <v>-45</v>
      </c>
      <c r="N759">
        <f t="shared" si="34"/>
        <v>-4090</v>
      </c>
      <c r="O759" t="str">
        <f t="shared" si="35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33"/>
        <v>4455</v>
      </c>
      <c r="M760">
        <f t="shared" si="33"/>
        <v>-9</v>
      </c>
      <c r="N760">
        <f t="shared" si="34"/>
        <v>0</v>
      </c>
      <c r="O760" t="str">
        <f t="shared" si="35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33"/>
        <v>4455</v>
      </c>
      <c r="M761">
        <f t="shared" si="33"/>
        <v>9</v>
      </c>
      <c r="N761">
        <f t="shared" si="34"/>
        <v>21664</v>
      </c>
      <c r="O761" t="str">
        <f t="shared" si="35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33"/>
        <v>4455</v>
      </c>
      <c r="M762">
        <f t="shared" si="33"/>
        <v>45</v>
      </c>
      <c r="N762">
        <f t="shared" si="34"/>
        <v>39299</v>
      </c>
      <c r="O762" t="str">
        <f t="shared" si="35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33"/>
        <v>4455</v>
      </c>
      <c r="M763">
        <f t="shared" si="33"/>
        <v>90</v>
      </c>
      <c r="N763">
        <f t="shared" si="34"/>
        <v>61535</v>
      </c>
      <c r="O763" t="str">
        <f t="shared" si="35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33"/>
        <v>4455</v>
      </c>
      <c r="M764">
        <f t="shared" si="33"/>
        <v>135</v>
      </c>
      <c r="N764">
        <f t="shared" si="34"/>
        <v>83982</v>
      </c>
      <c r="O764" t="str">
        <f t="shared" si="35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33"/>
        <v>4455</v>
      </c>
      <c r="M765">
        <f t="shared" si="33"/>
        <v>180</v>
      </c>
      <c r="N765">
        <f t="shared" si="34"/>
        <v>106642</v>
      </c>
      <c r="O765" t="str">
        <f t="shared" si="35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33"/>
        <v>4455</v>
      </c>
      <c r="M766">
        <f t="shared" si="33"/>
        <v>225</v>
      </c>
      <c r="N766">
        <f t="shared" si="34"/>
        <v>129514.00000000001</v>
      </c>
      <c r="O766" t="str">
        <f t="shared" si="35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33"/>
        <v>4455</v>
      </c>
      <c r="M767">
        <f t="shared" si="33"/>
        <v>270</v>
      </c>
      <c r="N767">
        <f t="shared" si="34"/>
        <v>152598</v>
      </c>
      <c r="O767" t="str">
        <f t="shared" si="35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33"/>
        <v>4455</v>
      </c>
      <c r="M768">
        <f t="shared" si="33"/>
        <v>315</v>
      </c>
      <c r="N768">
        <f t="shared" si="34"/>
        <v>175894</v>
      </c>
      <c r="O768" t="str">
        <f t="shared" si="35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33"/>
        <v>4455</v>
      </c>
      <c r="M769">
        <f t="shared" si="33"/>
        <v>360</v>
      </c>
      <c r="N769">
        <f t="shared" si="34"/>
        <v>199402</v>
      </c>
      <c r="O769" t="str">
        <f t="shared" si="35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33"/>
        <v>4455</v>
      </c>
      <c r="M770">
        <f t="shared" si="33"/>
        <v>405</v>
      </c>
      <c r="N770">
        <f t="shared" si="34"/>
        <v>223122</v>
      </c>
      <c r="O770" t="str">
        <f t="shared" si="35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M834" si="36">A771</f>
        <v>4455</v>
      </c>
      <c r="M771">
        <f t="shared" si="36"/>
        <v>450</v>
      </c>
      <c r="N771">
        <f t="shared" ref="N771:N834" si="37">C771*1000</f>
        <v>247055</v>
      </c>
      <c r="O771" t="str">
        <f t="shared" ref="O771:O834" si="38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36"/>
        <v>4455</v>
      </c>
      <c r="M772">
        <f t="shared" si="36"/>
        <v>495</v>
      </c>
      <c r="N772">
        <f t="shared" si="37"/>
        <v>271200</v>
      </c>
      <c r="O772" t="str">
        <f t="shared" si="38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36"/>
        <v>4455</v>
      </c>
      <c r="M773">
        <f t="shared" si="36"/>
        <v>540</v>
      </c>
      <c r="N773">
        <f t="shared" si="37"/>
        <v>295556</v>
      </c>
      <c r="O773" t="str">
        <f t="shared" si="38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36"/>
        <v>4455</v>
      </c>
      <c r="M774">
        <f t="shared" si="36"/>
        <v>585</v>
      </c>
      <c r="N774">
        <f t="shared" si="37"/>
        <v>320125</v>
      </c>
      <c r="O774" t="str">
        <f t="shared" si="38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36"/>
        <v>4455</v>
      </c>
      <c r="M775">
        <f t="shared" si="36"/>
        <v>630</v>
      </c>
      <c r="N775">
        <f t="shared" si="37"/>
        <v>344906</v>
      </c>
      <c r="O775" t="str">
        <f t="shared" si="38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36"/>
        <v>4455</v>
      </c>
      <c r="M776">
        <f t="shared" si="36"/>
        <v>675</v>
      </c>
      <c r="N776">
        <f t="shared" si="37"/>
        <v>369899</v>
      </c>
      <c r="O776" t="str">
        <f t="shared" si="38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36"/>
        <v>4455</v>
      </c>
      <c r="M777">
        <f t="shared" si="36"/>
        <v>720</v>
      </c>
      <c r="N777">
        <f t="shared" si="37"/>
        <v>395104</v>
      </c>
      <c r="O777" t="str">
        <f t="shared" si="38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36"/>
        <v>4455</v>
      </c>
      <c r="M778">
        <f t="shared" si="36"/>
        <v>765</v>
      </c>
      <c r="N778">
        <f t="shared" si="37"/>
        <v>420522</v>
      </c>
      <c r="O778" t="str">
        <f t="shared" si="38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36"/>
        <v>4455</v>
      </c>
      <c r="M779">
        <f t="shared" si="36"/>
        <v>810</v>
      </c>
      <c r="N779">
        <f t="shared" si="37"/>
        <v>446151</v>
      </c>
      <c r="O779" t="str">
        <f t="shared" si="38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36"/>
        <v>4455</v>
      </c>
      <c r="M780">
        <f t="shared" si="36"/>
        <v>855</v>
      </c>
      <c r="N780">
        <f t="shared" si="37"/>
        <v>471993</v>
      </c>
      <c r="O780" t="str">
        <f t="shared" si="38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36"/>
        <v>4455</v>
      </c>
      <c r="M781">
        <f t="shared" si="36"/>
        <v>900</v>
      </c>
      <c r="N781">
        <f t="shared" si="37"/>
        <v>498046</v>
      </c>
      <c r="O781" t="str">
        <f t="shared" si="38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36"/>
        <v>4455</v>
      </c>
      <c r="M782">
        <f t="shared" si="36"/>
        <v>945</v>
      </c>
      <c r="N782">
        <f t="shared" si="37"/>
        <v>524312</v>
      </c>
      <c r="O782" t="str">
        <f t="shared" si="38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36"/>
        <v>4455</v>
      </c>
      <c r="M783">
        <f t="shared" si="36"/>
        <v>990</v>
      </c>
      <c r="N783">
        <f t="shared" si="37"/>
        <v>550790</v>
      </c>
      <c r="O783" t="str">
        <f t="shared" si="38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36"/>
        <v>4752</v>
      </c>
      <c r="M784">
        <f t="shared" si="36"/>
        <v>-990</v>
      </c>
      <c r="N784">
        <f t="shared" si="37"/>
        <v>-399769</v>
      </c>
      <c r="O784" t="str">
        <f t="shared" si="38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36"/>
        <v>4752</v>
      </c>
      <c r="M785">
        <f t="shared" si="36"/>
        <v>-945</v>
      </c>
      <c r="N785">
        <f t="shared" si="37"/>
        <v>-383059</v>
      </c>
      <c r="O785" t="str">
        <f t="shared" si="38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36"/>
        <v>4752</v>
      </c>
      <c r="M786">
        <f t="shared" si="36"/>
        <v>-900</v>
      </c>
      <c r="N786">
        <f t="shared" si="37"/>
        <v>-366129</v>
      </c>
      <c r="O786" t="str">
        <f t="shared" si="38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36"/>
        <v>4752</v>
      </c>
      <c r="M787">
        <f t="shared" si="36"/>
        <v>-855</v>
      </c>
      <c r="N787">
        <f t="shared" si="37"/>
        <v>-348979</v>
      </c>
      <c r="O787" t="str">
        <f t="shared" si="38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36"/>
        <v>4752</v>
      </c>
      <c r="M788">
        <f t="shared" si="36"/>
        <v>-810</v>
      </c>
      <c r="N788">
        <f t="shared" si="37"/>
        <v>-331608</v>
      </c>
      <c r="O788" t="str">
        <f t="shared" si="38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36"/>
        <v>4752</v>
      </c>
      <c r="M789">
        <f t="shared" si="36"/>
        <v>-765</v>
      </c>
      <c r="N789">
        <f t="shared" si="37"/>
        <v>-314016</v>
      </c>
      <c r="O789" t="str">
        <f t="shared" si="38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36"/>
        <v>4752</v>
      </c>
      <c r="M790">
        <f t="shared" si="36"/>
        <v>-720</v>
      </c>
      <c r="N790">
        <f t="shared" si="37"/>
        <v>-296204</v>
      </c>
      <c r="O790" t="str">
        <f t="shared" si="38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36"/>
        <v>4752</v>
      </c>
      <c r="M791">
        <f t="shared" si="36"/>
        <v>-675</v>
      </c>
      <c r="N791">
        <f t="shared" si="37"/>
        <v>-278171</v>
      </c>
      <c r="O791" t="str">
        <f t="shared" si="38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36"/>
        <v>4752</v>
      </c>
      <c r="M792">
        <f t="shared" si="36"/>
        <v>-630</v>
      </c>
      <c r="N792">
        <f t="shared" si="37"/>
        <v>-259916.99999999997</v>
      </c>
      <c r="O792" t="str">
        <f t="shared" si="38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36"/>
        <v>4752</v>
      </c>
      <c r="M793">
        <f t="shared" si="36"/>
        <v>-585</v>
      </c>
      <c r="N793">
        <f t="shared" si="37"/>
        <v>-241443</v>
      </c>
      <c r="O793" t="str">
        <f t="shared" si="38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36"/>
        <v>4752</v>
      </c>
      <c r="M794">
        <f t="shared" si="36"/>
        <v>-540</v>
      </c>
      <c r="N794">
        <f t="shared" si="37"/>
        <v>-222748</v>
      </c>
      <c r="O794" t="str">
        <f t="shared" si="38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36"/>
        <v>4752</v>
      </c>
      <c r="M795">
        <f t="shared" si="36"/>
        <v>-495</v>
      </c>
      <c r="N795">
        <f t="shared" si="37"/>
        <v>-203833</v>
      </c>
      <c r="O795" t="str">
        <f t="shared" si="38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36"/>
        <v>4752</v>
      </c>
      <c r="M796">
        <f t="shared" si="36"/>
        <v>-450</v>
      </c>
      <c r="N796">
        <f t="shared" si="37"/>
        <v>-184697</v>
      </c>
      <c r="O796" t="str">
        <f t="shared" si="38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36"/>
        <v>4752</v>
      </c>
      <c r="M797">
        <f t="shared" si="36"/>
        <v>-405</v>
      </c>
      <c r="N797">
        <f t="shared" si="37"/>
        <v>-165340</v>
      </c>
      <c r="O797" t="str">
        <f t="shared" si="38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36"/>
        <v>4752</v>
      </c>
      <c r="M798">
        <f t="shared" si="36"/>
        <v>-360</v>
      </c>
      <c r="N798">
        <f t="shared" si="37"/>
        <v>-145763</v>
      </c>
      <c r="O798" t="str">
        <f t="shared" si="38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36"/>
        <v>4752</v>
      </c>
      <c r="M799">
        <f t="shared" si="36"/>
        <v>-315</v>
      </c>
      <c r="N799">
        <f t="shared" si="37"/>
        <v>-125965</v>
      </c>
      <c r="O799" t="str">
        <f t="shared" si="38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36"/>
        <v>4752</v>
      </c>
      <c r="M800">
        <f t="shared" si="36"/>
        <v>-270</v>
      </c>
      <c r="N800">
        <f t="shared" si="37"/>
        <v>-105947</v>
      </c>
      <c r="O800" t="str">
        <f t="shared" si="38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36"/>
        <v>4752</v>
      </c>
      <c r="M801">
        <f t="shared" si="36"/>
        <v>-225</v>
      </c>
      <c r="N801">
        <f t="shared" si="37"/>
        <v>-85707</v>
      </c>
      <c r="O801" t="str">
        <f t="shared" si="38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36"/>
        <v>4752</v>
      </c>
      <c r="M802">
        <f t="shared" si="36"/>
        <v>-180</v>
      </c>
      <c r="N802">
        <f t="shared" si="37"/>
        <v>-65248.000000000007</v>
      </c>
      <c r="O802" t="str">
        <f t="shared" si="38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36"/>
        <v>4752</v>
      </c>
      <c r="M803">
        <f t="shared" si="36"/>
        <v>-135</v>
      </c>
      <c r="N803">
        <f t="shared" si="37"/>
        <v>-44567</v>
      </c>
      <c r="O803" t="str">
        <f t="shared" si="38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36"/>
        <v>4752</v>
      </c>
      <c r="M804">
        <f t="shared" si="36"/>
        <v>-90</v>
      </c>
      <c r="N804">
        <f t="shared" si="37"/>
        <v>-23666</v>
      </c>
      <c r="O804" t="str">
        <f t="shared" si="38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36"/>
        <v>4752</v>
      </c>
      <c r="M805">
        <f t="shared" si="36"/>
        <v>-45</v>
      </c>
      <c r="N805">
        <f t="shared" si="37"/>
        <v>-2545</v>
      </c>
      <c r="O805" t="str">
        <f t="shared" si="38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36"/>
        <v>4752</v>
      </c>
      <c r="M806">
        <f t="shared" si="36"/>
        <v>-9</v>
      </c>
      <c r="N806">
        <f t="shared" si="37"/>
        <v>0</v>
      </c>
      <c r="O806" t="str">
        <f t="shared" si="38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36"/>
        <v>4752</v>
      </c>
      <c r="M807">
        <f t="shared" si="36"/>
        <v>9</v>
      </c>
      <c r="N807">
        <f t="shared" si="37"/>
        <v>25076</v>
      </c>
      <c r="O807" t="str">
        <f t="shared" si="38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36"/>
        <v>4752</v>
      </c>
      <c r="M808">
        <f t="shared" si="36"/>
        <v>45</v>
      </c>
      <c r="N808">
        <f t="shared" si="37"/>
        <v>43891</v>
      </c>
      <c r="O808" t="str">
        <f t="shared" si="38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36"/>
        <v>4752</v>
      </c>
      <c r="M809">
        <f t="shared" si="36"/>
        <v>90</v>
      </c>
      <c r="N809">
        <f t="shared" si="37"/>
        <v>67626</v>
      </c>
      <c r="O809" t="str">
        <f t="shared" si="38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36"/>
        <v>4752</v>
      </c>
      <c r="M810">
        <f t="shared" si="36"/>
        <v>135</v>
      </c>
      <c r="N810">
        <f t="shared" si="37"/>
        <v>91599</v>
      </c>
      <c r="O810" t="str">
        <f t="shared" si="38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36"/>
        <v>4752</v>
      </c>
      <c r="M811">
        <f t="shared" si="36"/>
        <v>180</v>
      </c>
      <c r="N811">
        <f t="shared" si="37"/>
        <v>115812</v>
      </c>
      <c r="O811" t="str">
        <f t="shared" si="38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36"/>
        <v>4752</v>
      </c>
      <c r="M812">
        <f t="shared" si="36"/>
        <v>225</v>
      </c>
      <c r="N812">
        <f t="shared" si="37"/>
        <v>140265</v>
      </c>
      <c r="O812" t="str">
        <f t="shared" si="38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36"/>
        <v>4752</v>
      </c>
      <c r="M813">
        <f t="shared" si="36"/>
        <v>270</v>
      </c>
      <c r="N813">
        <f t="shared" si="37"/>
        <v>164956</v>
      </c>
      <c r="O813" t="str">
        <f t="shared" si="38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36"/>
        <v>4752</v>
      </c>
      <c r="M814">
        <f t="shared" si="36"/>
        <v>315</v>
      </c>
      <c r="N814">
        <f t="shared" si="37"/>
        <v>189888</v>
      </c>
      <c r="O814" t="str">
        <f t="shared" si="38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36"/>
        <v>4752</v>
      </c>
      <c r="M815">
        <f t="shared" si="36"/>
        <v>360</v>
      </c>
      <c r="N815">
        <f t="shared" si="37"/>
        <v>215058</v>
      </c>
      <c r="O815" t="str">
        <f t="shared" si="38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36"/>
        <v>4752</v>
      </c>
      <c r="M816">
        <f t="shared" si="36"/>
        <v>405</v>
      </c>
      <c r="N816">
        <f t="shared" si="37"/>
        <v>240468</v>
      </c>
      <c r="O816" t="str">
        <f t="shared" si="38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36"/>
        <v>4752</v>
      </c>
      <c r="M817">
        <f t="shared" si="36"/>
        <v>450</v>
      </c>
      <c r="N817">
        <f t="shared" si="37"/>
        <v>266118</v>
      </c>
      <c r="O817" t="str">
        <f t="shared" si="38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36"/>
        <v>4752</v>
      </c>
      <c r="M818">
        <f t="shared" si="36"/>
        <v>495</v>
      </c>
      <c r="N818">
        <f t="shared" si="37"/>
        <v>292006</v>
      </c>
      <c r="O818" t="str">
        <f t="shared" si="38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36"/>
        <v>4752</v>
      </c>
      <c r="M819">
        <f t="shared" si="36"/>
        <v>540</v>
      </c>
      <c r="N819">
        <f t="shared" si="37"/>
        <v>318134</v>
      </c>
      <c r="O819" t="str">
        <f t="shared" si="38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36"/>
        <v>4752</v>
      </c>
      <c r="M820">
        <f t="shared" si="36"/>
        <v>585</v>
      </c>
      <c r="N820">
        <f t="shared" si="37"/>
        <v>344502</v>
      </c>
      <c r="O820" t="str">
        <f t="shared" si="38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36"/>
        <v>4752</v>
      </c>
      <c r="M821">
        <f t="shared" si="36"/>
        <v>630</v>
      </c>
      <c r="N821">
        <f t="shared" si="37"/>
        <v>371109</v>
      </c>
      <c r="O821" t="str">
        <f t="shared" si="38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36"/>
        <v>4752</v>
      </c>
      <c r="M822">
        <f t="shared" si="36"/>
        <v>675</v>
      </c>
      <c r="N822">
        <f t="shared" si="37"/>
        <v>397955</v>
      </c>
      <c r="O822" t="str">
        <f t="shared" si="38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36"/>
        <v>4752</v>
      </c>
      <c r="M823">
        <f t="shared" si="36"/>
        <v>720</v>
      </c>
      <c r="N823">
        <f t="shared" si="37"/>
        <v>425041</v>
      </c>
      <c r="O823" t="str">
        <f t="shared" si="38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36"/>
        <v>4752</v>
      </c>
      <c r="M824">
        <f t="shared" si="36"/>
        <v>765</v>
      </c>
      <c r="N824">
        <f t="shared" si="37"/>
        <v>452366</v>
      </c>
      <c r="O824" t="str">
        <f t="shared" si="38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36"/>
        <v>4752</v>
      </c>
      <c r="M825">
        <f t="shared" si="36"/>
        <v>810</v>
      </c>
      <c r="N825">
        <f t="shared" si="37"/>
        <v>479930</v>
      </c>
      <c r="O825" t="str">
        <f t="shared" si="38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36"/>
        <v>4752</v>
      </c>
      <c r="M826">
        <f t="shared" si="36"/>
        <v>855</v>
      </c>
      <c r="N826">
        <f t="shared" si="37"/>
        <v>507734</v>
      </c>
      <c r="O826" t="str">
        <f t="shared" si="38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36"/>
        <v>4752</v>
      </c>
      <c r="M827">
        <f t="shared" si="36"/>
        <v>900</v>
      </c>
      <c r="N827">
        <f t="shared" si="37"/>
        <v>535777</v>
      </c>
      <c r="O827" t="str">
        <f t="shared" si="38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36"/>
        <v>4752</v>
      </c>
      <c r="M828">
        <f t="shared" si="36"/>
        <v>945</v>
      </c>
      <c r="N828">
        <f t="shared" si="37"/>
        <v>564060</v>
      </c>
      <c r="O828" t="str">
        <f t="shared" si="38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36"/>
        <v>4752</v>
      </c>
      <c r="M829">
        <f t="shared" si="36"/>
        <v>990</v>
      </c>
      <c r="N829">
        <f t="shared" si="37"/>
        <v>592582</v>
      </c>
      <c r="O829" t="str">
        <f t="shared" si="38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36"/>
        <v>5049</v>
      </c>
      <c r="M830">
        <f t="shared" si="36"/>
        <v>-990</v>
      </c>
      <c r="N830">
        <f t="shared" si="37"/>
        <v>-419645</v>
      </c>
      <c r="O830" t="str">
        <f t="shared" si="38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36"/>
        <v>5049</v>
      </c>
      <c r="M831">
        <f t="shared" si="36"/>
        <v>-945</v>
      </c>
      <c r="N831">
        <f t="shared" si="37"/>
        <v>-402167</v>
      </c>
      <c r="O831" t="str">
        <f t="shared" si="38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36"/>
        <v>5049</v>
      </c>
      <c r="M832">
        <f t="shared" si="36"/>
        <v>-900</v>
      </c>
      <c r="N832">
        <f t="shared" si="37"/>
        <v>-384442</v>
      </c>
      <c r="O832" t="str">
        <f t="shared" si="38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36"/>
        <v>5049</v>
      </c>
      <c r="M833">
        <f t="shared" si="36"/>
        <v>-855</v>
      </c>
      <c r="N833">
        <f t="shared" si="37"/>
        <v>-366469</v>
      </c>
      <c r="O833" t="str">
        <f t="shared" si="38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36"/>
        <v>5049</v>
      </c>
      <c r="M834">
        <f t="shared" si="36"/>
        <v>-810</v>
      </c>
      <c r="N834">
        <f t="shared" si="37"/>
        <v>-348249</v>
      </c>
      <c r="O834" t="str">
        <f t="shared" si="38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M898" si="39">A835</f>
        <v>5049</v>
      </c>
      <c r="M835">
        <f t="shared" si="39"/>
        <v>-765</v>
      </c>
      <c r="N835">
        <f t="shared" ref="N835:N898" si="40">C835*1000</f>
        <v>-329781</v>
      </c>
      <c r="O835" t="str">
        <f t="shared" ref="O835:O898" si="41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39"/>
        <v>5049</v>
      </c>
      <c r="M836">
        <f t="shared" si="39"/>
        <v>-720</v>
      </c>
      <c r="N836">
        <f t="shared" si="40"/>
        <v>-311067</v>
      </c>
      <c r="O836" t="str">
        <f t="shared" si="41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39"/>
        <v>5049</v>
      </c>
      <c r="M837">
        <f t="shared" si="39"/>
        <v>-675</v>
      </c>
      <c r="N837">
        <f t="shared" si="40"/>
        <v>-292105</v>
      </c>
      <c r="O837" t="str">
        <f t="shared" si="41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39"/>
        <v>5049</v>
      </c>
      <c r="M838">
        <f t="shared" si="39"/>
        <v>-630</v>
      </c>
      <c r="N838">
        <f t="shared" si="40"/>
        <v>-272895</v>
      </c>
      <c r="O838" t="str">
        <f t="shared" si="41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39"/>
        <v>5049</v>
      </c>
      <c r="M839">
        <f t="shared" si="39"/>
        <v>-585</v>
      </c>
      <c r="N839">
        <f t="shared" si="40"/>
        <v>-253438</v>
      </c>
      <c r="O839" t="str">
        <f t="shared" si="41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39"/>
        <v>5049</v>
      </c>
      <c r="M840">
        <f t="shared" si="39"/>
        <v>-540</v>
      </c>
      <c r="N840">
        <f t="shared" si="40"/>
        <v>-233734</v>
      </c>
      <c r="O840" t="str">
        <f t="shared" si="41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39"/>
        <v>5049</v>
      </c>
      <c r="M841">
        <f t="shared" si="39"/>
        <v>-495</v>
      </c>
      <c r="N841">
        <f t="shared" si="40"/>
        <v>-213783</v>
      </c>
      <c r="O841" t="str">
        <f t="shared" si="41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39"/>
        <v>5049</v>
      </c>
      <c r="M842">
        <f t="shared" si="39"/>
        <v>-450</v>
      </c>
      <c r="N842">
        <f t="shared" si="40"/>
        <v>-193584</v>
      </c>
      <c r="O842" t="str">
        <f t="shared" si="41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39"/>
        <v>5049</v>
      </c>
      <c r="M843">
        <f t="shared" si="39"/>
        <v>-405</v>
      </c>
      <c r="N843">
        <f t="shared" si="40"/>
        <v>-173138</v>
      </c>
      <c r="O843" t="str">
        <f t="shared" si="41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39"/>
        <v>5049</v>
      </c>
      <c r="M844">
        <f t="shared" si="39"/>
        <v>-360</v>
      </c>
      <c r="N844">
        <f t="shared" si="40"/>
        <v>-152444</v>
      </c>
      <c r="O844" t="str">
        <f t="shared" si="41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39"/>
        <v>5049</v>
      </c>
      <c r="M845">
        <f t="shared" si="39"/>
        <v>-315</v>
      </c>
      <c r="N845">
        <f t="shared" si="40"/>
        <v>-131503</v>
      </c>
      <c r="O845" t="str">
        <f t="shared" si="41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39"/>
        <v>5049</v>
      </c>
      <c r="M846">
        <f t="shared" si="39"/>
        <v>-270</v>
      </c>
      <c r="N846">
        <f t="shared" si="40"/>
        <v>-110315</v>
      </c>
      <c r="O846" t="str">
        <f t="shared" si="41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39"/>
        <v>5049</v>
      </c>
      <c r="M847">
        <f t="shared" si="39"/>
        <v>-225</v>
      </c>
      <c r="N847">
        <f t="shared" si="40"/>
        <v>-88879</v>
      </c>
      <c r="O847" t="str">
        <f t="shared" si="41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39"/>
        <v>5049</v>
      </c>
      <c r="M848">
        <f t="shared" si="39"/>
        <v>-180</v>
      </c>
      <c r="N848">
        <f t="shared" si="40"/>
        <v>-67196</v>
      </c>
      <c r="O848" t="str">
        <f t="shared" si="41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39"/>
        <v>5049</v>
      </c>
      <c r="M849">
        <f t="shared" si="39"/>
        <v>-135</v>
      </c>
      <c r="N849">
        <f t="shared" si="40"/>
        <v>-45266</v>
      </c>
      <c r="O849" t="str">
        <f t="shared" si="41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39"/>
        <v>5049</v>
      </c>
      <c r="M850">
        <f t="shared" si="39"/>
        <v>-90</v>
      </c>
      <c r="N850">
        <f t="shared" si="40"/>
        <v>-23088</v>
      </c>
      <c r="O850" t="str">
        <f t="shared" si="41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39"/>
        <v>5049</v>
      </c>
      <c r="M851">
        <f t="shared" si="39"/>
        <v>-45</v>
      </c>
      <c r="N851">
        <f t="shared" si="40"/>
        <v>-663</v>
      </c>
      <c r="O851" t="str">
        <f t="shared" si="41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39"/>
        <v>5049</v>
      </c>
      <c r="M852">
        <f t="shared" si="39"/>
        <v>-9</v>
      </c>
      <c r="N852">
        <f t="shared" si="40"/>
        <v>0</v>
      </c>
      <c r="O852" t="str">
        <f t="shared" si="41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39"/>
        <v>5049</v>
      </c>
      <c r="M853">
        <f t="shared" si="39"/>
        <v>9</v>
      </c>
      <c r="N853">
        <f t="shared" si="40"/>
        <v>28854</v>
      </c>
      <c r="O853" t="str">
        <f t="shared" si="41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39"/>
        <v>5049</v>
      </c>
      <c r="M854">
        <f t="shared" si="39"/>
        <v>45</v>
      </c>
      <c r="N854">
        <f t="shared" si="40"/>
        <v>48849</v>
      </c>
      <c r="O854" t="str">
        <f t="shared" si="41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39"/>
        <v>5049</v>
      </c>
      <c r="M855">
        <f t="shared" si="39"/>
        <v>90</v>
      </c>
      <c r="N855">
        <f t="shared" si="40"/>
        <v>74085</v>
      </c>
      <c r="O855" t="str">
        <f t="shared" si="41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39"/>
        <v>5049</v>
      </c>
      <c r="M856">
        <f t="shared" si="39"/>
        <v>135</v>
      </c>
      <c r="N856">
        <f t="shared" si="40"/>
        <v>99589</v>
      </c>
      <c r="O856" t="str">
        <f t="shared" si="41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39"/>
        <v>5049</v>
      </c>
      <c r="M857">
        <f t="shared" si="39"/>
        <v>180</v>
      </c>
      <c r="N857">
        <f t="shared" si="40"/>
        <v>125362</v>
      </c>
      <c r="O857" t="str">
        <f t="shared" si="41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39"/>
        <v>5049</v>
      </c>
      <c r="M858">
        <f t="shared" si="39"/>
        <v>225</v>
      </c>
      <c r="N858">
        <f t="shared" si="40"/>
        <v>151402</v>
      </c>
      <c r="O858" t="str">
        <f t="shared" si="41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39"/>
        <v>5049</v>
      </c>
      <c r="M859">
        <f t="shared" si="39"/>
        <v>270</v>
      </c>
      <c r="N859">
        <f t="shared" si="40"/>
        <v>177712</v>
      </c>
      <c r="O859" t="str">
        <f t="shared" si="41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39"/>
        <v>5049</v>
      </c>
      <c r="M860">
        <f t="shared" si="39"/>
        <v>315</v>
      </c>
      <c r="N860">
        <f t="shared" si="40"/>
        <v>204289</v>
      </c>
      <c r="O860" t="str">
        <f t="shared" si="41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39"/>
        <v>5049</v>
      </c>
      <c r="M861">
        <f t="shared" si="39"/>
        <v>360</v>
      </c>
      <c r="N861">
        <f t="shared" si="40"/>
        <v>231135</v>
      </c>
      <c r="O861" t="str">
        <f t="shared" si="41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39"/>
        <v>5049</v>
      </c>
      <c r="M862">
        <f t="shared" si="39"/>
        <v>405</v>
      </c>
      <c r="N862">
        <f t="shared" si="40"/>
        <v>258250</v>
      </c>
      <c r="O862" t="str">
        <f t="shared" si="41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39"/>
        <v>5049</v>
      </c>
      <c r="M863">
        <f t="shared" si="39"/>
        <v>450</v>
      </c>
      <c r="N863">
        <f t="shared" si="40"/>
        <v>285633</v>
      </c>
      <c r="O863" t="str">
        <f t="shared" si="41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39"/>
        <v>5049</v>
      </c>
      <c r="M864">
        <f t="shared" si="39"/>
        <v>495</v>
      </c>
      <c r="N864">
        <f t="shared" si="40"/>
        <v>313284</v>
      </c>
      <c r="O864" t="str">
        <f t="shared" si="41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39"/>
        <v>5049</v>
      </c>
      <c r="M865">
        <f t="shared" si="39"/>
        <v>540</v>
      </c>
      <c r="N865">
        <f t="shared" si="40"/>
        <v>341203</v>
      </c>
      <c r="O865" t="str">
        <f t="shared" si="41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39"/>
        <v>5049</v>
      </c>
      <c r="M866">
        <f t="shared" si="39"/>
        <v>585</v>
      </c>
      <c r="N866">
        <f t="shared" si="40"/>
        <v>369392</v>
      </c>
      <c r="O866" t="str">
        <f t="shared" si="41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39"/>
        <v>5049</v>
      </c>
      <c r="M867">
        <f t="shared" si="39"/>
        <v>630</v>
      </c>
      <c r="N867">
        <f t="shared" si="40"/>
        <v>397848</v>
      </c>
      <c r="O867" t="str">
        <f t="shared" si="41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39"/>
        <v>5049</v>
      </c>
      <c r="M868">
        <f t="shared" si="39"/>
        <v>675</v>
      </c>
      <c r="N868">
        <f t="shared" si="40"/>
        <v>426573</v>
      </c>
      <c r="O868" t="str">
        <f t="shared" si="41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39"/>
        <v>5049</v>
      </c>
      <c r="M869">
        <f t="shared" si="39"/>
        <v>720</v>
      </c>
      <c r="N869">
        <f t="shared" si="40"/>
        <v>455566</v>
      </c>
      <c r="O869" t="str">
        <f t="shared" si="41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39"/>
        <v>5049</v>
      </c>
      <c r="M870">
        <f t="shared" si="39"/>
        <v>765</v>
      </c>
      <c r="N870">
        <f t="shared" si="40"/>
        <v>484828</v>
      </c>
      <c r="O870" t="str">
        <f t="shared" si="41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39"/>
        <v>5049</v>
      </c>
      <c r="M871">
        <f t="shared" si="39"/>
        <v>810</v>
      </c>
      <c r="N871">
        <f t="shared" si="40"/>
        <v>514357.99999999994</v>
      </c>
      <c r="O871" t="str">
        <f t="shared" si="41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39"/>
        <v>5049</v>
      </c>
      <c r="M872">
        <f t="shared" si="39"/>
        <v>855</v>
      </c>
      <c r="N872">
        <f t="shared" si="40"/>
        <v>544156</v>
      </c>
      <c r="O872" t="str">
        <f t="shared" si="41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39"/>
        <v>5049</v>
      </c>
      <c r="M873">
        <f t="shared" si="39"/>
        <v>900</v>
      </c>
      <c r="N873">
        <f t="shared" si="40"/>
        <v>574223</v>
      </c>
      <c r="O873" t="str">
        <f t="shared" si="41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39"/>
        <v>5049</v>
      </c>
      <c r="M874">
        <f t="shared" si="39"/>
        <v>945</v>
      </c>
      <c r="N874">
        <f t="shared" si="40"/>
        <v>604558</v>
      </c>
      <c r="O874" t="str">
        <f t="shared" si="41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39"/>
        <v>5049</v>
      </c>
      <c r="M875">
        <f t="shared" si="39"/>
        <v>990</v>
      </c>
      <c r="N875">
        <f t="shared" si="40"/>
        <v>635162</v>
      </c>
      <c r="O875" t="str">
        <f t="shared" si="41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39"/>
        <v>5346</v>
      </c>
      <c r="M876">
        <f t="shared" si="39"/>
        <v>-990</v>
      </c>
      <c r="N876">
        <f t="shared" si="40"/>
        <v>-438775</v>
      </c>
      <c r="O876" t="str">
        <f t="shared" si="41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39"/>
        <v>5346</v>
      </c>
      <c r="M877">
        <f t="shared" si="39"/>
        <v>-945</v>
      </c>
      <c r="N877">
        <f t="shared" si="40"/>
        <v>-420563</v>
      </c>
      <c r="O877" t="str">
        <f t="shared" si="41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39"/>
        <v>5346</v>
      </c>
      <c r="M878">
        <f t="shared" si="39"/>
        <v>-900</v>
      </c>
      <c r="N878">
        <f t="shared" si="40"/>
        <v>-402076</v>
      </c>
      <c r="O878" t="str">
        <f t="shared" si="41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39"/>
        <v>5346</v>
      </c>
      <c r="M879">
        <f t="shared" si="39"/>
        <v>-855</v>
      </c>
      <c r="N879">
        <f t="shared" si="40"/>
        <v>-383312</v>
      </c>
      <c r="O879" t="str">
        <f t="shared" si="41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39"/>
        <v>5346</v>
      </c>
      <c r="M880">
        <f t="shared" si="39"/>
        <v>-810</v>
      </c>
      <c r="N880">
        <f t="shared" si="40"/>
        <v>-364273</v>
      </c>
      <c r="O880" t="str">
        <f t="shared" si="41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39"/>
        <v>5346</v>
      </c>
      <c r="M881">
        <f t="shared" si="39"/>
        <v>-765</v>
      </c>
      <c r="N881">
        <f t="shared" si="40"/>
        <v>-344958</v>
      </c>
      <c r="O881" t="str">
        <f t="shared" si="41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39"/>
        <v>5346</v>
      </c>
      <c r="M882">
        <f t="shared" si="39"/>
        <v>-720</v>
      </c>
      <c r="N882">
        <f t="shared" si="40"/>
        <v>-325367</v>
      </c>
      <c r="O882" t="str">
        <f t="shared" si="41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39"/>
        <v>5346</v>
      </c>
      <c r="M883">
        <f t="shared" si="39"/>
        <v>-675</v>
      </c>
      <c r="N883">
        <f t="shared" si="40"/>
        <v>-305501</v>
      </c>
      <c r="O883" t="str">
        <f t="shared" si="41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39"/>
        <v>5346</v>
      </c>
      <c r="M884">
        <f t="shared" si="39"/>
        <v>-630</v>
      </c>
      <c r="N884">
        <f t="shared" si="40"/>
        <v>-285359</v>
      </c>
      <c r="O884" t="str">
        <f t="shared" si="41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39"/>
        <v>5346</v>
      </c>
      <c r="M885">
        <f t="shared" si="39"/>
        <v>-585</v>
      </c>
      <c r="N885">
        <f t="shared" si="40"/>
        <v>-264941</v>
      </c>
      <c r="O885" t="str">
        <f t="shared" si="41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39"/>
        <v>5346</v>
      </c>
      <c r="M886">
        <f t="shared" si="39"/>
        <v>-540</v>
      </c>
      <c r="N886">
        <f t="shared" si="40"/>
        <v>-244248</v>
      </c>
      <c r="O886" t="str">
        <f t="shared" si="41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39"/>
        <v>5346</v>
      </c>
      <c r="M887">
        <f t="shared" si="39"/>
        <v>-495</v>
      </c>
      <c r="N887">
        <f t="shared" si="40"/>
        <v>-223279</v>
      </c>
      <c r="O887" t="str">
        <f t="shared" si="41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39"/>
        <v>5346</v>
      </c>
      <c r="M888">
        <f t="shared" si="39"/>
        <v>-450</v>
      </c>
      <c r="N888">
        <f t="shared" si="40"/>
        <v>-202034</v>
      </c>
      <c r="O888" t="str">
        <f t="shared" si="41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39"/>
        <v>5346</v>
      </c>
      <c r="M889">
        <f t="shared" si="39"/>
        <v>-405</v>
      </c>
      <c r="N889">
        <f t="shared" si="40"/>
        <v>-180514</v>
      </c>
      <c r="O889" t="str">
        <f t="shared" si="41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39"/>
        <v>5346</v>
      </c>
      <c r="M890">
        <f t="shared" si="39"/>
        <v>-360</v>
      </c>
      <c r="N890">
        <f t="shared" si="40"/>
        <v>-158717</v>
      </c>
      <c r="O890" t="str">
        <f t="shared" si="41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39"/>
        <v>5346</v>
      </c>
      <c r="M891">
        <f t="shared" si="39"/>
        <v>-315</v>
      </c>
      <c r="N891">
        <f t="shared" si="40"/>
        <v>-136645</v>
      </c>
      <c r="O891" t="str">
        <f t="shared" si="41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39"/>
        <v>5346</v>
      </c>
      <c r="M892">
        <f t="shared" si="39"/>
        <v>-270</v>
      </c>
      <c r="N892">
        <f t="shared" si="40"/>
        <v>-114298</v>
      </c>
      <c r="O892" t="str">
        <f t="shared" si="41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39"/>
        <v>5346</v>
      </c>
      <c r="M893">
        <f t="shared" si="39"/>
        <v>-225</v>
      </c>
      <c r="N893">
        <f t="shared" si="40"/>
        <v>-91675</v>
      </c>
      <c r="O893" t="str">
        <f t="shared" si="41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39"/>
        <v>5346</v>
      </c>
      <c r="M894">
        <f t="shared" si="39"/>
        <v>-180</v>
      </c>
      <c r="N894">
        <f t="shared" si="40"/>
        <v>-68775</v>
      </c>
      <c r="O894" t="str">
        <f t="shared" si="41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39"/>
        <v>5346</v>
      </c>
      <c r="M895">
        <f t="shared" si="39"/>
        <v>-135</v>
      </c>
      <c r="N895">
        <f t="shared" si="40"/>
        <v>-45601</v>
      </c>
      <c r="O895" t="str">
        <f t="shared" si="41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39"/>
        <v>5346</v>
      </c>
      <c r="M896">
        <f t="shared" si="39"/>
        <v>-90</v>
      </c>
      <c r="N896">
        <f t="shared" si="40"/>
        <v>-22150</v>
      </c>
      <c r="O896" t="str">
        <f t="shared" si="41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39"/>
        <v>5346</v>
      </c>
      <c r="M897">
        <f t="shared" si="39"/>
        <v>-45</v>
      </c>
      <c r="N897">
        <f t="shared" si="40"/>
        <v>0</v>
      </c>
      <c r="O897" t="str">
        <f t="shared" si="41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39"/>
        <v>5346</v>
      </c>
      <c r="M898">
        <f t="shared" si="39"/>
        <v>-9</v>
      </c>
      <c r="N898">
        <f t="shared" si="40"/>
        <v>0</v>
      </c>
      <c r="O898" t="str">
        <f t="shared" si="41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M962" si="42">A899</f>
        <v>5346</v>
      </c>
      <c r="M899">
        <f t="shared" si="42"/>
        <v>9</v>
      </c>
      <c r="N899">
        <f t="shared" ref="N899:N962" si="43">C899*1000</f>
        <v>33018</v>
      </c>
      <c r="O899" t="str">
        <f t="shared" ref="O899:O962" si="44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42"/>
        <v>5346</v>
      </c>
      <c r="M900">
        <f t="shared" si="42"/>
        <v>45</v>
      </c>
      <c r="N900">
        <f t="shared" si="43"/>
        <v>54194</v>
      </c>
      <c r="O900" t="str">
        <f t="shared" si="44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42"/>
        <v>5346</v>
      </c>
      <c r="M901">
        <f t="shared" si="42"/>
        <v>90</v>
      </c>
      <c r="N901">
        <f t="shared" si="43"/>
        <v>80934</v>
      </c>
      <c r="O901" t="str">
        <f t="shared" si="44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42"/>
        <v>5346</v>
      </c>
      <c r="M902">
        <f t="shared" si="42"/>
        <v>135</v>
      </c>
      <c r="N902">
        <f t="shared" si="43"/>
        <v>107973</v>
      </c>
      <c r="O902" t="str">
        <f t="shared" si="44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42"/>
        <v>5346</v>
      </c>
      <c r="M903">
        <f t="shared" si="42"/>
        <v>180</v>
      </c>
      <c r="N903">
        <f t="shared" si="43"/>
        <v>135311</v>
      </c>
      <c r="O903" t="str">
        <f t="shared" si="44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42"/>
        <v>5346</v>
      </c>
      <c r="M904">
        <f t="shared" si="42"/>
        <v>225</v>
      </c>
      <c r="N904">
        <f t="shared" si="43"/>
        <v>162948</v>
      </c>
      <c r="O904" t="str">
        <f t="shared" si="44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42"/>
        <v>5346</v>
      </c>
      <c r="M905">
        <f t="shared" si="42"/>
        <v>270</v>
      </c>
      <c r="N905">
        <f t="shared" si="43"/>
        <v>190884</v>
      </c>
      <c r="O905" t="str">
        <f t="shared" si="44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42"/>
        <v>5346</v>
      </c>
      <c r="M906">
        <f t="shared" si="42"/>
        <v>315</v>
      </c>
      <c r="N906">
        <f t="shared" si="43"/>
        <v>219120</v>
      </c>
      <c r="O906" t="str">
        <f t="shared" si="44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42"/>
        <v>5346</v>
      </c>
      <c r="M907">
        <f t="shared" si="42"/>
        <v>360</v>
      </c>
      <c r="N907">
        <f t="shared" si="43"/>
        <v>247654</v>
      </c>
      <c r="O907" t="str">
        <f t="shared" si="44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42"/>
        <v>5346</v>
      </c>
      <c r="M908">
        <f t="shared" si="42"/>
        <v>405</v>
      </c>
      <c r="N908">
        <f t="shared" si="43"/>
        <v>276488</v>
      </c>
      <c r="O908" t="str">
        <f t="shared" si="44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42"/>
        <v>5346</v>
      </c>
      <c r="M909">
        <f t="shared" si="42"/>
        <v>450</v>
      </c>
      <c r="N909">
        <f t="shared" si="43"/>
        <v>305621</v>
      </c>
      <c r="O909" t="str">
        <f t="shared" si="44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42"/>
        <v>5346</v>
      </c>
      <c r="M910">
        <f t="shared" si="42"/>
        <v>495</v>
      </c>
      <c r="N910">
        <f t="shared" si="43"/>
        <v>335053</v>
      </c>
      <c r="O910" t="str">
        <f t="shared" si="44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42"/>
        <v>5346</v>
      </c>
      <c r="M911">
        <f t="shared" si="42"/>
        <v>540</v>
      </c>
      <c r="N911">
        <f t="shared" si="43"/>
        <v>364785</v>
      </c>
      <c r="O911" t="str">
        <f t="shared" si="44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42"/>
        <v>5346</v>
      </c>
      <c r="M912">
        <f t="shared" si="42"/>
        <v>585</v>
      </c>
      <c r="N912">
        <f t="shared" si="43"/>
        <v>394815</v>
      </c>
      <c r="O912" t="str">
        <f t="shared" si="44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42"/>
        <v>5346</v>
      </c>
      <c r="M913">
        <f t="shared" si="42"/>
        <v>630</v>
      </c>
      <c r="N913">
        <f t="shared" si="43"/>
        <v>425145</v>
      </c>
      <c r="O913" t="str">
        <f t="shared" si="44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42"/>
        <v>5346</v>
      </c>
      <c r="M914">
        <f t="shared" si="42"/>
        <v>675</v>
      </c>
      <c r="N914">
        <f t="shared" si="43"/>
        <v>455774</v>
      </c>
      <c r="O914" t="str">
        <f t="shared" si="44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42"/>
        <v>5346</v>
      </c>
      <c r="M915">
        <f t="shared" si="42"/>
        <v>720</v>
      </c>
      <c r="N915">
        <f t="shared" si="43"/>
        <v>486701</v>
      </c>
      <c r="O915" t="str">
        <f t="shared" si="44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42"/>
        <v>5346</v>
      </c>
      <c r="M916">
        <f t="shared" si="42"/>
        <v>765</v>
      </c>
      <c r="N916">
        <f t="shared" si="43"/>
        <v>517929</v>
      </c>
      <c r="O916" t="str">
        <f t="shared" si="44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42"/>
        <v>5346</v>
      </c>
      <c r="M917">
        <f t="shared" si="42"/>
        <v>810</v>
      </c>
      <c r="N917">
        <f t="shared" si="43"/>
        <v>549455</v>
      </c>
      <c r="O917" t="str">
        <f t="shared" si="44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42"/>
        <v>5346</v>
      </c>
      <c r="M918">
        <f t="shared" si="42"/>
        <v>855</v>
      </c>
      <c r="N918">
        <f t="shared" si="43"/>
        <v>581280</v>
      </c>
      <c r="O918" t="str">
        <f t="shared" si="44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42"/>
        <v>5346</v>
      </c>
      <c r="M919">
        <f t="shared" si="42"/>
        <v>900</v>
      </c>
      <c r="N919">
        <f t="shared" si="43"/>
        <v>613405</v>
      </c>
      <c r="O919" t="str">
        <f t="shared" si="44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42"/>
        <v>5346</v>
      </c>
      <c r="M920">
        <f t="shared" si="42"/>
        <v>945</v>
      </c>
      <c r="N920">
        <f t="shared" si="43"/>
        <v>645829</v>
      </c>
      <c r="O920" t="str">
        <f t="shared" si="44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42"/>
        <v>5346</v>
      </c>
      <c r="M921">
        <f t="shared" si="42"/>
        <v>990</v>
      </c>
      <c r="N921">
        <f t="shared" si="43"/>
        <v>678551</v>
      </c>
      <c r="O921" t="str">
        <f t="shared" si="44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42"/>
        <v>5643</v>
      </c>
      <c r="M922">
        <f t="shared" si="42"/>
        <v>-990</v>
      </c>
      <c r="N922">
        <f t="shared" si="43"/>
        <v>-457140</v>
      </c>
      <c r="O922" t="str">
        <f t="shared" si="44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42"/>
        <v>5643</v>
      </c>
      <c r="M923">
        <f t="shared" si="42"/>
        <v>-945</v>
      </c>
      <c r="N923">
        <f t="shared" si="43"/>
        <v>-438229</v>
      </c>
      <c r="O923" t="str">
        <f t="shared" si="44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42"/>
        <v>5643</v>
      </c>
      <c r="M924">
        <f t="shared" si="42"/>
        <v>-900</v>
      </c>
      <c r="N924">
        <f t="shared" si="43"/>
        <v>-419012</v>
      </c>
      <c r="O924" t="str">
        <f t="shared" si="44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42"/>
        <v>5643</v>
      </c>
      <c r="M925">
        <f t="shared" si="42"/>
        <v>-855</v>
      </c>
      <c r="N925">
        <f t="shared" si="43"/>
        <v>-399489</v>
      </c>
      <c r="O925" t="str">
        <f t="shared" si="44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42"/>
        <v>5643</v>
      </c>
      <c r="M926">
        <f t="shared" si="42"/>
        <v>-810</v>
      </c>
      <c r="N926">
        <f t="shared" si="43"/>
        <v>-379661</v>
      </c>
      <c r="O926" t="str">
        <f t="shared" si="44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42"/>
        <v>5643</v>
      </c>
      <c r="M927">
        <f t="shared" si="42"/>
        <v>-765</v>
      </c>
      <c r="N927">
        <f t="shared" si="43"/>
        <v>-359526</v>
      </c>
      <c r="O927" t="str">
        <f t="shared" si="44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42"/>
        <v>5643</v>
      </c>
      <c r="M928">
        <f t="shared" si="42"/>
        <v>-720</v>
      </c>
      <c r="N928">
        <f t="shared" si="43"/>
        <v>-339087</v>
      </c>
      <c r="O928" t="str">
        <f t="shared" si="44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42"/>
        <v>5643</v>
      </c>
      <c r="M929">
        <f t="shared" si="42"/>
        <v>-675</v>
      </c>
      <c r="N929">
        <f t="shared" si="43"/>
        <v>-318341</v>
      </c>
      <c r="O929" t="str">
        <f t="shared" si="44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42"/>
        <v>5643</v>
      </c>
      <c r="M930">
        <f t="shared" si="42"/>
        <v>-630</v>
      </c>
      <c r="N930">
        <f t="shared" si="43"/>
        <v>-297290</v>
      </c>
      <c r="O930" t="str">
        <f t="shared" si="44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42"/>
        <v>5643</v>
      </c>
      <c r="M931">
        <f t="shared" si="42"/>
        <v>-585</v>
      </c>
      <c r="N931">
        <f t="shared" si="43"/>
        <v>-275933</v>
      </c>
      <c r="O931" t="str">
        <f t="shared" si="44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42"/>
        <v>5643</v>
      </c>
      <c r="M932">
        <f t="shared" si="42"/>
        <v>-540</v>
      </c>
      <c r="N932">
        <f t="shared" si="43"/>
        <v>-254271</v>
      </c>
      <c r="O932" t="str">
        <f t="shared" si="44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42"/>
        <v>5643</v>
      </c>
      <c r="M933">
        <f t="shared" si="42"/>
        <v>-495</v>
      </c>
      <c r="N933">
        <f t="shared" si="43"/>
        <v>-232303</v>
      </c>
      <c r="O933" t="str">
        <f t="shared" si="44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42"/>
        <v>5643</v>
      </c>
      <c r="M934">
        <f t="shared" si="42"/>
        <v>-450</v>
      </c>
      <c r="N934">
        <f t="shared" si="43"/>
        <v>-210029</v>
      </c>
      <c r="O934" t="str">
        <f t="shared" si="44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42"/>
        <v>5643</v>
      </c>
      <c r="M935">
        <f t="shared" si="42"/>
        <v>-405</v>
      </c>
      <c r="N935">
        <f t="shared" si="43"/>
        <v>-187449</v>
      </c>
      <c r="O935" t="str">
        <f t="shared" si="44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42"/>
        <v>5643</v>
      </c>
      <c r="M936">
        <f t="shared" si="42"/>
        <v>-360</v>
      </c>
      <c r="N936">
        <f t="shared" si="43"/>
        <v>-164564</v>
      </c>
      <c r="O936" t="str">
        <f t="shared" si="44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42"/>
        <v>5643</v>
      </c>
      <c r="M937">
        <f t="shared" si="42"/>
        <v>-315</v>
      </c>
      <c r="N937">
        <f t="shared" si="43"/>
        <v>-141373</v>
      </c>
      <c r="O937" t="str">
        <f t="shared" si="44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42"/>
        <v>5643</v>
      </c>
      <c r="M938">
        <f t="shared" si="42"/>
        <v>-270</v>
      </c>
      <c r="N938">
        <f t="shared" si="43"/>
        <v>-117877</v>
      </c>
      <c r="O938" t="str">
        <f t="shared" si="44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42"/>
        <v>5643</v>
      </c>
      <c r="M939">
        <f t="shared" si="42"/>
        <v>-225</v>
      </c>
      <c r="N939">
        <f t="shared" si="43"/>
        <v>-94075</v>
      </c>
      <c r="O939" t="str">
        <f t="shared" si="44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42"/>
        <v>5643</v>
      </c>
      <c r="M940">
        <f t="shared" si="42"/>
        <v>-180</v>
      </c>
      <c r="N940">
        <f t="shared" si="43"/>
        <v>-69967</v>
      </c>
      <c r="O940" t="str">
        <f t="shared" si="44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42"/>
        <v>5643</v>
      </c>
      <c r="M941">
        <f t="shared" si="42"/>
        <v>-135</v>
      </c>
      <c r="N941">
        <f t="shared" si="43"/>
        <v>-45553</v>
      </c>
      <c r="O941" t="str">
        <f t="shared" si="44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42"/>
        <v>5643</v>
      </c>
      <c r="M942">
        <f t="shared" si="42"/>
        <v>-90</v>
      </c>
      <c r="N942">
        <f t="shared" si="43"/>
        <v>-20834</v>
      </c>
      <c r="O942" t="str">
        <f t="shared" si="44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42"/>
        <v>5643</v>
      </c>
      <c r="M943">
        <f t="shared" si="42"/>
        <v>-45</v>
      </c>
      <c r="N943">
        <f t="shared" si="43"/>
        <v>0</v>
      </c>
      <c r="O943" t="str">
        <f t="shared" si="44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42"/>
        <v>5643</v>
      </c>
      <c r="M944">
        <f t="shared" si="42"/>
        <v>-9</v>
      </c>
      <c r="N944">
        <f t="shared" si="43"/>
        <v>0</v>
      </c>
      <c r="O944" t="str">
        <f t="shared" si="44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42"/>
        <v>5643</v>
      </c>
      <c r="M945">
        <f t="shared" si="42"/>
        <v>9</v>
      </c>
      <c r="N945">
        <f t="shared" si="43"/>
        <v>37589</v>
      </c>
      <c r="O945" t="str">
        <f t="shared" si="44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42"/>
        <v>5643</v>
      </c>
      <c r="M946">
        <f t="shared" si="42"/>
        <v>45</v>
      </c>
      <c r="N946">
        <f t="shared" si="43"/>
        <v>59947</v>
      </c>
      <c r="O946" t="str">
        <f t="shared" si="44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42"/>
        <v>5643</v>
      </c>
      <c r="M947">
        <f t="shared" si="42"/>
        <v>90</v>
      </c>
      <c r="N947">
        <f t="shared" si="43"/>
        <v>88193</v>
      </c>
      <c r="O947" t="str">
        <f t="shared" si="44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42"/>
        <v>5643</v>
      </c>
      <c r="M948">
        <f t="shared" si="42"/>
        <v>135</v>
      </c>
      <c r="N948">
        <f t="shared" si="43"/>
        <v>116771</v>
      </c>
      <c r="O948" t="str">
        <f t="shared" si="44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42"/>
        <v>5643</v>
      </c>
      <c r="M949">
        <f t="shared" si="42"/>
        <v>180</v>
      </c>
      <c r="N949">
        <f t="shared" si="43"/>
        <v>145681</v>
      </c>
      <c r="O949" t="str">
        <f t="shared" si="44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42"/>
        <v>5643</v>
      </c>
      <c r="M950">
        <f t="shared" si="42"/>
        <v>225</v>
      </c>
      <c r="N950">
        <f t="shared" si="43"/>
        <v>174922</v>
      </c>
      <c r="O950" t="str">
        <f t="shared" si="44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42"/>
        <v>5643</v>
      </c>
      <c r="M951">
        <f t="shared" si="42"/>
        <v>270</v>
      </c>
      <c r="N951">
        <f t="shared" si="43"/>
        <v>204495</v>
      </c>
      <c r="O951" t="str">
        <f t="shared" si="44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42"/>
        <v>5643</v>
      </c>
      <c r="M952">
        <f t="shared" si="42"/>
        <v>315</v>
      </c>
      <c r="N952">
        <f t="shared" si="43"/>
        <v>234400</v>
      </c>
      <c r="O952" t="str">
        <f t="shared" si="44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42"/>
        <v>5643</v>
      </c>
      <c r="M953">
        <f t="shared" si="42"/>
        <v>360</v>
      </c>
      <c r="N953">
        <f t="shared" si="43"/>
        <v>264637</v>
      </c>
      <c r="O953" t="str">
        <f t="shared" si="44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42"/>
        <v>5643</v>
      </c>
      <c r="M954">
        <f t="shared" si="42"/>
        <v>405</v>
      </c>
      <c r="N954">
        <f t="shared" si="43"/>
        <v>295205</v>
      </c>
      <c r="O954" t="str">
        <f t="shared" si="44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42"/>
        <v>5643</v>
      </c>
      <c r="M955">
        <f t="shared" si="42"/>
        <v>450</v>
      </c>
      <c r="N955">
        <f t="shared" si="43"/>
        <v>326104</v>
      </c>
      <c r="O955" t="str">
        <f t="shared" si="44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42"/>
        <v>5643</v>
      </c>
      <c r="M956">
        <f t="shared" si="42"/>
        <v>495</v>
      </c>
      <c r="N956">
        <f t="shared" si="43"/>
        <v>357336</v>
      </c>
      <c r="O956" t="str">
        <f t="shared" si="44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42"/>
        <v>5643</v>
      </c>
      <c r="M957">
        <f t="shared" si="42"/>
        <v>540</v>
      </c>
      <c r="N957">
        <f t="shared" si="43"/>
        <v>388899</v>
      </c>
      <c r="O957" t="str">
        <f t="shared" si="44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42"/>
        <v>5643</v>
      </c>
      <c r="M958">
        <f t="shared" si="42"/>
        <v>585</v>
      </c>
      <c r="N958">
        <f t="shared" si="43"/>
        <v>420794</v>
      </c>
      <c r="O958" t="str">
        <f t="shared" si="44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42"/>
        <v>5643</v>
      </c>
      <c r="M959">
        <f t="shared" si="42"/>
        <v>630</v>
      </c>
      <c r="N959">
        <f t="shared" si="43"/>
        <v>453020</v>
      </c>
      <c r="O959" t="str">
        <f t="shared" si="44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42"/>
        <v>5643</v>
      </c>
      <c r="M960">
        <f t="shared" si="42"/>
        <v>675</v>
      </c>
      <c r="N960">
        <f t="shared" si="43"/>
        <v>485578</v>
      </c>
      <c r="O960" t="str">
        <f t="shared" si="44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42"/>
        <v>5643</v>
      </c>
      <c r="M961">
        <f t="shared" si="42"/>
        <v>720</v>
      </c>
      <c r="N961">
        <f t="shared" si="43"/>
        <v>518467.99999999994</v>
      </c>
      <c r="O961" t="str">
        <f t="shared" si="44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42"/>
        <v>5643</v>
      </c>
      <c r="M962">
        <f t="shared" si="42"/>
        <v>765</v>
      </c>
      <c r="N962">
        <f t="shared" si="43"/>
        <v>551689</v>
      </c>
      <c r="O962" t="str">
        <f t="shared" si="44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M1013" si="45">A963</f>
        <v>5643</v>
      </c>
      <c r="M963">
        <f t="shared" si="45"/>
        <v>810</v>
      </c>
      <c r="N963">
        <f t="shared" ref="N963:N1013" si="46">C963*1000</f>
        <v>585242</v>
      </c>
      <c r="O963" t="str">
        <f t="shared" ref="O963:O1013" si="47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45"/>
        <v>5643</v>
      </c>
      <c r="M964">
        <f t="shared" si="45"/>
        <v>855</v>
      </c>
      <c r="N964">
        <f t="shared" si="46"/>
        <v>619127</v>
      </c>
      <c r="O964" t="str">
        <f t="shared" si="47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45"/>
        <v>5643</v>
      </c>
      <c r="M965">
        <f t="shared" si="45"/>
        <v>900</v>
      </c>
      <c r="N965">
        <f t="shared" si="46"/>
        <v>653344</v>
      </c>
      <c r="O965" t="str">
        <f t="shared" si="47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45"/>
        <v>5643</v>
      </c>
      <c r="M966">
        <f t="shared" si="45"/>
        <v>945</v>
      </c>
      <c r="N966">
        <f t="shared" si="46"/>
        <v>687892</v>
      </c>
      <c r="O966" t="str">
        <f t="shared" si="47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45"/>
        <v>5643</v>
      </c>
      <c r="M967">
        <f t="shared" si="45"/>
        <v>990</v>
      </c>
      <c r="N967">
        <f t="shared" si="46"/>
        <v>722771</v>
      </c>
      <c r="O967" t="str">
        <f t="shared" si="47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45"/>
        <v>5940</v>
      </c>
      <c r="M968">
        <f t="shared" si="45"/>
        <v>-990</v>
      </c>
      <c r="N968">
        <f t="shared" si="46"/>
        <v>-474721</v>
      </c>
      <c r="O968" t="str">
        <f t="shared" si="47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45"/>
        <v>5940</v>
      </c>
      <c r="M969">
        <f t="shared" si="45"/>
        <v>-945</v>
      </c>
      <c r="N969">
        <f t="shared" si="46"/>
        <v>-455145</v>
      </c>
      <c r="O969" t="str">
        <f t="shared" si="47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45"/>
        <v>5940</v>
      </c>
      <c r="M970">
        <f t="shared" si="45"/>
        <v>-900</v>
      </c>
      <c r="N970">
        <f t="shared" si="46"/>
        <v>-435231</v>
      </c>
      <c r="O970" t="str">
        <f t="shared" si="47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45"/>
        <v>5940</v>
      </c>
      <c r="M971">
        <f t="shared" si="45"/>
        <v>-855</v>
      </c>
      <c r="N971">
        <f t="shared" si="46"/>
        <v>-414980</v>
      </c>
      <c r="O971" t="str">
        <f t="shared" si="47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45"/>
        <v>5940</v>
      </c>
      <c r="M972">
        <f t="shared" si="45"/>
        <v>-810</v>
      </c>
      <c r="N972">
        <f t="shared" si="46"/>
        <v>-394393</v>
      </c>
      <c r="O972" t="str">
        <f t="shared" si="47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45"/>
        <v>5940</v>
      </c>
      <c r="M973">
        <f t="shared" si="45"/>
        <v>-765</v>
      </c>
      <c r="N973">
        <f t="shared" si="46"/>
        <v>-373467</v>
      </c>
      <c r="O973" t="str">
        <f t="shared" si="47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45"/>
        <v>5940</v>
      </c>
      <c r="M974">
        <f t="shared" si="45"/>
        <v>-720</v>
      </c>
      <c r="N974">
        <f t="shared" si="46"/>
        <v>-352205</v>
      </c>
      <c r="O974" t="str">
        <f t="shared" si="47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45"/>
        <v>5940</v>
      </c>
      <c r="M975">
        <f t="shared" si="45"/>
        <v>-675</v>
      </c>
      <c r="N975">
        <f t="shared" si="46"/>
        <v>-330605</v>
      </c>
      <c r="O975" t="str">
        <f t="shared" si="47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45"/>
        <v>5940</v>
      </c>
      <c r="M976">
        <f t="shared" si="45"/>
        <v>-630</v>
      </c>
      <c r="N976">
        <f t="shared" si="46"/>
        <v>-308668</v>
      </c>
      <c r="O976" t="str">
        <f t="shared" si="47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45"/>
        <v>5940</v>
      </c>
      <c r="M977">
        <f t="shared" si="45"/>
        <v>-585</v>
      </c>
      <c r="N977">
        <f t="shared" si="46"/>
        <v>-286394</v>
      </c>
      <c r="O977" t="str">
        <f t="shared" si="47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45"/>
        <v>5940</v>
      </c>
      <c r="M978">
        <f t="shared" si="45"/>
        <v>-540</v>
      </c>
      <c r="N978">
        <f t="shared" si="46"/>
        <v>-263783</v>
      </c>
      <c r="O978" t="str">
        <f t="shared" si="47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45"/>
        <v>5940</v>
      </c>
      <c r="M979">
        <f t="shared" si="45"/>
        <v>-495</v>
      </c>
      <c r="N979">
        <f t="shared" si="46"/>
        <v>-240834</v>
      </c>
      <c r="O979" t="str">
        <f t="shared" si="47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45"/>
        <v>5940</v>
      </c>
      <c r="M980">
        <f t="shared" si="45"/>
        <v>-450</v>
      </c>
      <c r="N980">
        <f t="shared" si="46"/>
        <v>-217548</v>
      </c>
      <c r="O980" t="str">
        <f t="shared" si="47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45"/>
        <v>5940</v>
      </c>
      <c r="M981">
        <f t="shared" si="45"/>
        <v>-405</v>
      </c>
      <c r="N981">
        <f t="shared" si="46"/>
        <v>-193925</v>
      </c>
      <c r="O981" t="str">
        <f t="shared" si="47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45"/>
        <v>5940</v>
      </c>
      <c r="M982">
        <f t="shared" si="45"/>
        <v>-360</v>
      </c>
      <c r="N982">
        <f t="shared" si="46"/>
        <v>-169965</v>
      </c>
      <c r="O982" t="str">
        <f t="shared" si="47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45"/>
        <v>5940</v>
      </c>
      <c r="M983">
        <f t="shared" si="45"/>
        <v>-315</v>
      </c>
      <c r="N983">
        <f t="shared" si="46"/>
        <v>-145667</v>
      </c>
      <c r="O983" t="str">
        <f t="shared" si="47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45"/>
        <v>5940</v>
      </c>
      <c r="M984">
        <f t="shared" si="45"/>
        <v>-270</v>
      </c>
      <c r="N984">
        <f t="shared" si="46"/>
        <v>-121033</v>
      </c>
      <c r="O984" t="str">
        <f t="shared" si="47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45"/>
        <v>5940</v>
      </c>
      <c r="M985">
        <f t="shared" si="45"/>
        <v>-225</v>
      </c>
      <c r="N985">
        <f t="shared" si="46"/>
        <v>-96060</v>
      </c>
      <c r="O985" t="str">
        <f t="shared" si="47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45"/>
        <v>5940</v>
      </c>
      <c r="M986">
        <f t="shared" si="45"/>
        <v>-180</v>
      </c>
      <c r="N986">
        <f t="shared" si="46"/>
        <v>-70751</v>
      </c>
      <c r="O986" t="str">
        <f t="shared" si="47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45"/>
        <v>5940</v>
      </c>
      <c r="M987">
        <f t="shared" si="45"/>
        <v>-135</v>
      </c>
      <c r="N987">
        <f t="shared" si="46"/>
        <v>-45105</v>
      </c>
      <c r="O987" t="str">
        <f t="shared" si="47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45"/>
        <v>5940</v>
      </c>
      <c r="M988">
        <f t="shared" si="45"/>
        <v>-90</v>
      </c>
      <c r="N988">
        <f t="shared" si="46"/>
        <v>-19121</v>
      </c>
      <c r="O988" t="str">
        <f t="shared" si="47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45"/>
        <v>5940</v>
      </c>
      <c r="M989">
        <f t="shared" si="45"/>
        <v>-45</v>
      </c>
      <c r="N989">
        <f t="shared" si="46"/>
        <v>0</v>
      </c>
      <c r="O989" t="str">
        <f t="shared" si="47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45"/>
        <v>5940</v>
      </c>
      <c r="M990">
        <f t="shared" si="45"/>
        <v>-9</v>
      </c>
      <c r="N990">
        <f t="shared" si="46"/>
        <v>0</v>
      </c>
      <c r="O990" t="str">
        <f t="shared" si="47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45"/>
        <v>5940</v>
      </c>
      <c r="M991">
        <f t="shared" si="45"/>
        <v>9</v>
      </c>
      <c r="N991">
        <f t="shared" si="46"/>
        <v>42588</v>
      </c>
      <c r="O991" t="str">
        <f t="shared" si="47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45"/>
        <v>5940</v>
      </c>
      <c r="M992">
        <f t="shared" si="45"/>
        <v>45</v>
      </c>
      <c r="N992">
        <f t="shared" si="46"/>
        <v>66129</v>
      </c>
      <c r="O992" t="str">
        <f t="shared" si="47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45"/>
        <v>5940</v>
      </c>
      <c r="M993">
        <f t="shared" si="45"/>
        <v>90</v>
      </c>
      <c r="N993">
        <f t="shared" si="46"/>
        <v>95884</v>
      </c>
      <c r="O993" t="str">
        <f t="shared" si="47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45"/>
        <v>5940</v>
      </c>
      <c r="M994">
        <f t="shared" si="45"/>
        <v>135</v>
      </c>
      <c r="N994">
        <f t="shared" si="46"/>
        <v>126006</v>
      </c>
      <c r="O994" t="str">
        <f t="shared" si="47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45"/>
        <v>5940</v>
      </c>
      <c r="M995">
        <f t="shared" si="45"/>
        <v>180</v>
      </c>
      <c r="N995">
        <f t="shared" si="46"/>
        <v>156493</v>
      </c>
      <c r="O995" t="str">
        <f t="shared" si="47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45"/>
        <v>5940</v>
      </c>
      <c r="M996">
        <f t="shared" si="45"/>
        <v>225</v>
      </c>
      <c r="N996">
        <f t="shared" si="46"/>
        <v>187347</v>
      </c>
      <c r="O996" t="str">
        <f t="shared" si="47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45"/>
        <v>5940</v>
      </c>
      <c r="M997">
        <f t="shared" si="45"/>
        <v>270</v>
      </c>
      <c r="N997">
        <f t="shared" si="46"/>
        <v>218566</v>
      </c>
      <c r="O997" t="str">
        <f t="shared" si="47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45"/>
        <v>5940</v>
      </c>
      <c r="M998">
        <f t="shared" si="45"/>
        <v>315</v>
      </c>
      <c r="N998">
        <f t="shared" si="46"/>
        <v>250152</v>
      </c>
      <c r="O998" t="str">
        <f t="shared" si="47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45"/>
        <v>5940</v>
      </c>
      <c r="M999">
        <f t="shared" si="45"/>
        <v>360</v>
      </c>
      <c r="N999">
        <f t="shared" si="46"/>
        <v>282103</v>
      </c>
      <c r="O999" t="str">
        <f t="shared" si="47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45"/>
        <v>5940</v>
      </c>
      <c r="M1000">
        <f t="shared" si="45"/>
        <v>405</v>
      </c>
      <c r="N1000">
        <f t="shared" si="46"/>
        <v>314420</v>
      </c>
      <c r="O1000" t="str">
        <f t="shared" si="47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45"/>
        <v>5940</v>
      </c>
      <c r="M1001">
        <f t="shared" si="45"/>
        <v>450</v>
      </c>
      <c r="N1001">
        <f t="shared" si="46"/>
        <v>347103</v>
      </c>
      <c r="O1001" t="str">
        <f t="shared" si="47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45"/>
        <v>5940</v>
      </c>
      <c r="M1002">
        <f t="shared" si="45"/>
        <v>495</v>
      </c>
      <c r="N1002">
        <f t="shared" si="46"/>
        <v>380152</v>
      </c>
      <c r="O1002" t="str">
        <f t="shared" si="47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45"/>
        <v>5940</v>
      </c>
      <c r="M1003">
        <f t="shared" si="45"/>
        <v>540</v>
      </c>
      <c r="N1003">
        <f t="shared" si="46"/>
        <v>413567</v>
      </c>
      <c r="O1003" t="str">
        <f t="shared" si="47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45"/>
        <v>5940</v>
      </c>
      <c r="M1004">
        <f t="shared" si="45"/>
        <v>585</v>
      </c>
      <c r="N1004">
        <f t="shared" si="46"/>
        <v>447348</v>
      </c>
      <c r="O1004" t="str">
        <f t="shared" si="47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45"/>
        <v>5940</v>
      </c>
      <c r="M1005">
        <f t="shared" si="45"/>
        <v>630</v>
      </c>
      <c r="N1005">
        <f t="shared" si="46"/>
        <v>481495</v>
      </c>
      <c r="O1005" t="str">
        <f t="shared" si="47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45"/>
        <v>5940</v>
      </c>
      <c r="M1006">
        <f t="shared" si="45"/>
        <v>675</v>
      </c>
      <c r="N1006">
        <f t="shared" si="46"/>
        <v>516006.99999999994</v>
      </c>
      <c r="O1006" t="str">
        <f t="shared" si="47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45"/>
        <v>5940</v>
      </c>
      <c r="M1007">
        <f t="shared" si="45"/>
        <v>720</v>
      </c>
      <c r="N1007">
        <f t="shared" si="46"/>
        <v>550886</v>
      </c>
      <c r="O1007" t="str">
        <f t="shared" si="47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45"/>
        <v>5940</v>
      </c>
      <c r="M1008">
        <f t="shared" si="45"/>
        <v>765</v>
      </c>
      <c r="N1008">
        <f t="shared" si="46"/>
        <v>586131</v>
      </c>
      <c r="O1008" t="str">
        <f t="shared" si="47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45"/>
        <v>5940</v>
      </c>
      <c r="M1009">
        <f t="shared" si="45"/>
        <v>810</v>
      </c>
      <c r="N1009">
        <f t="shared" si="46"/>
        <v>621741</v>
      </c>
      <c r="O1009" t="str">
        <f t="shared" si="47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45"/>
        <v>5940</v>
      </c>
      <c r="M1010">
        <f t="shared" si="45"/>
        <v>855</v>
      </c>
      <c r="N1010">
        <f t="shared" si="46"/>
        <v>657718</v>
      </c>
      <c r="O1010" t="str">
        <f t="shared" si="47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45"/>
        <v>5940</v>
      </c>
      <c r="M1011">
        <f t="shared" si="45"/>
        <v>900</v>
      </c>
      <c r="N1011">
        <f t="shared" si="46"/>
        <v>694060</v>
      </c>
      <c r="O1011" t="str">
        <f t="shared" si="47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45"/>
        <v>5940</v>
      </c>
      <c r="M1012">
        <f t="shared" si="45"/>
        <v>945</v>
      </c>
      <c r="N1012">
        <f t="shared" si="46"/>
        <v>730769</v>
      </c>
      <c r="O1012" t="str">
        <f t="shared" si="47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45"/>
        <v>5940</v>
      </c>
      <c r="M1013">
        <f t="shared" si="45"/>
        <v>990</v>
      </c>
      <c r="N1013">
        <f t="shared" si="46"/>
        <v>767843</v>
      </c>
      <c r="O1013" t="str">
        <f t="shared" si="47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281D-398D-43B6-993A-0F88F0F2B5BA}">
  <dimension ref="A1:O1013"/>
  <sheetViews>
    <sheetView tabSelected="1" workbookViewId="0">
      <selection activeCell="W15" sqref="W15"/>
    </sheetView>
  </sheetViews>
  <sheetFormatPr baseColWidth="10" defaultRowHeight="15" x14ac:dyDescent="0.25"/>
  <cols>
    <col min="1" max="1" width="11.42578125" style="2"/>
  </cols>
  <sheetData>
    <row r="1" spans="1:15" x14ac:dyDescent="0.25">
      <c r="A1" s="1" t="s">
        <v>0</v>
      </c>
      <c r="B1" t="s">
        <v>1</v>
      </c>
      <c r="C1" t="s">
        <v>2</v>
      </c>
      <c r="L1" t="str">
        <f>A1</f>
        <v xml:space="preserve">n [rpm] </v>
      </c>
      <c r="M1" t="str">
        <f>B1</f>
        <v xml:space="preserve"> T [Nm]   </v>
      </c>
      <c r="N1" t="s">
        <v>3</v>
      </c>
    </row>
    <row r="2" spans="1:15" x14ac:dyDescent="0.25">
      <c r="A2" s="1">
        <v>0</v>
      </c>
      <c r="B2">
        <v>-990</v>
      </c>
      <c r="C2">
        <v>0.28100000000000003</v>
      </c>
      <c r="L2">
        <f>A2</f>
        <v>0</v>
      </c>
      <c r="M2">
        <f>B2</f>
        <v>-990</v>
      </c>
      <c r="N2">
        <f>C2*1000</f>
        <v>281</v>
      </c>
      <c r="O2" t="str">
        <f>"&lt;Entry outShaftSpeed="""&amp;TEXT(ROUND(L2,2),"#0.00")&amp;""" torque=""" &amp; TEXT(ROUND(M2,2),"#0.00") &amp; """ electricPower="""&amp;TEXT(ROUND(N2,2),"#0.00") &amp;  """/&gt;"</f>
        <v>&lt;Entry outShaftSpeed="0.00" torque="-990.00" electricPower="281.00"/&gt;</v>
      </c>
    </row>
    <row r="3" spans="1:15" x14ac:dyDescent="0.25">
      <c r="A3" s="1">
        <v>0</v>
      </c>
      <c r="B3">
        <v>-945</v>
      </c>
      <c r="C3">
        <v>0.26900000000000002</v>
      </c>
      <c r="L3">
        <f t="shared" ref="L3:M66" si="0">A3</f>
        <v>0</v>
      </c>
      <c r="M3">
        <f t="shared" si="0"/>
        <v>-945</v>
      </c>
      <c r="N3">
        <f t="shared" ref="N3:N66" si="1">C3*1000</f>
        <v>269</v>
      </c>
      <c r="O3" t="str">
        <f t="shared" ref="O3:O66" si="2">"&lt;Entry outShaftSpeed="""&amp;TEXT(ROUND(L3,2),"#0.00")&amp;""" torque=""" &amp; TEXT(ROUND(M3,2),"#0.00") &amp; """ electricPower="""&amp;TEXT(ROUND(N3,2),"#0.00") &amp;  """/&gt;"</f>
        <v>&lt;Entry outShaftSpeed="0.00" torque="-945.00" electricPower="269.00"/&gt;</v>
      </c>
    </row>
    <row r="4" spans="1:15" x14ac:dyDescent="0.25">
      <c r="A4" s="1">
        <v>0</v>
      </c>
      <c r="B4">
        <v>-900</v>
      </c>
      <c r="C4">
        <v>0.25800000000000001</v>
      </c>
      <c r="L4">
        <f t="shared" si="0"/>
        <v>0</v>
      </c>
      <c r="M4">
        <f t="shared" si="0"/>
        <v>-900</v>
      </c>
      <c r="N4">
        <f t="shared" si="1"/>
        <v>258</v>
      </c>
      <c r="O4" t="str">
        <f t="shared" si="2"/>
        <v>&lt;Entry outShaftSpeed="0.00" torque="-900.00" electricPower="258.00"/&gt;</v>
      </c>
    </row>
    <row r="5" spans="1:15" x14ac:dyDescent="0.25">
      <c r="A5" s="1">
        <v>0</v>
      </c>
      <c r="B5">
        <v>-855</v>
      </c>
      <c r="C5">
        <v>0.246</v>
      </c>
      <c r="L5">
        <f t="shared" si="0"/>
        <v>0</v>
      </c>
      <c r="M5">
        <f t="shared" si="0"/>
        <v>-855</v>
      </c>
      <c r="N5">
        <f t="shared" si="1"/>
        <v>246</v>
      </c>
      <c r="O5" t="str">
        <f t="shared" si="2"/>
        <v>&lt;Entry outShaftSpeed="0.00" torque="-855.00" electricPower="246.00"/&gt;</v>
      </c>
    </row>
    <row r="6" spans="1:15" x14ac:dyDescent="0.25">
      <c r="A6" s="1">
        <v>0</v>
      </c>
      <c r="B6">
        <v>-810</v>
      </c>
      <c r="C6">
        <v>0.23499999999999999</v>
      </c>
      <c r="L6">
        <f t="shared" si="0"/>
        <v>0</v>
      </c>
      <c r="M6">
        <f t="shared" si="0"/>
        <v>-810</v>
      </c>
      <c r="N6">
        <f t="shared" si="1"/>
        <v>235</v>
      </c>
      <c r="O6" t="str">
        <f t="shared" si="2"/>
        <v>&lt;Entry outShaftSpeed="0.00" torque="-810.00" electricPower="235.00"/&gt;</v>
      </c>
    </row>
    <row r="7" spans="1:15" x14ac:dyDescent="0.25">
      <c r="A7" s="1">
        <v>0</v>
      </c>
      <c r="B7">
        <v>-765</v>
      </c>
      <c r="C7">
        <v>0.223</v>
      </c>
      <c r="L7">
        <f t="shared" si="0"/>
        <v>0</v>
      </c>
      <c r="M7">
        <f t="shared" si="0"/>
        <v>-765</v>
      </c>
      <c r="N7">
        <f t="shared" si="1"/>
        <v>223</v>
      </c>
      <c r="O7" t="str">
        <f t="shared" si="2"/>
        <v>&lt;Entry outShaftSpeed="0.00" torque="-765.00" electricPower="223.00"/&gt;</v>
      </c>
    </row>
    <row r="8" spans="1:15" x14ac:dyDescent="0.25">
      <c r="A8" s="1">
        <v>0</v>
      </c>
      <c r="B8">
        <v>-720</v>
      </c>
      <c r="C8">
        <v>0.21099999999999999</v>
      </c>
      <c r="L8">
        <f t="shared" si="0"/>
        <v>0</v>
      </c>
      <c r="M8">
        <f t="shared" si="0"/>
        <v>-720</v>
      </c>
      <c r="N8">
        <f t="shared" si="1"/>
        <v>211</v>
      </c>
      <c r="O8" t="str">
        <f t="shared" si="2"/>
        <v>&lt;Entry outShaftSpeed="0.00" torque="-720.00" electricPower="211.00"/&gt;</v>
      </c>
    </row>
    <row r="9" spans="1:15" x14ac:dyDescent="0.25">
      <c r="A9" s="1">
        <v>0</v>
      </c>
      <c r="B9">
        <v>-675</v>
      </c>
      <c r="C9">
        <v>0.19800000000000001</v>
      </c>
      <c r="L9">
        <f t="shared" si="0"/>
        <v>0</v>
      </c>
      <c r="M9">
        <f t="shared" si="0"/>
        <v>-675</v>
      </c>
      <c r="N9">
        <f t="shared" si="1"/>
        <v>198</v>
      </c>
      <c r="O9" t="str">
        <f t="shared" si="2"/>
        <v>&lt;Entry outShaftSpeed="0.00" torque="-675.00" electricPower="198.00"/&gt;</v>
      </c>
    </row>
    <row r="10" spans="1:15" x14ac:dyDescent="0.25">
      <c r="A10" s="1">
        <v>0</v>
      </c>
      <c r="B10">
        <v>-630</v>
      </c>
      <c r="C10">
        <v>0.13</v>
      </c>
      <c r="L10">
        <f t="shared" si="0"/>
        <v>0</v>
      </c>
      <c r="M10">
        <f t="shared" si="0"/>
        <v>-630</v>
      </c>
      <c r="N10">
        <f t="shared" si="1"/>
        <v>130</v>
      </c>
      <c r="O10" t="str">
        <f t="shared" si="2"/>
        <v>&lt;Entry outShaftSpeed="0.00" torque="-630.00" electricPower="130.00"/&gt;</v>
      </c>
    </row>
    <row r="11" spans="1:15" x14ac:dyDescent="0.25">
      <c r="A11" s="1">
        <v>0</v>
      </c>
      <c r="B11">
        <v>-585</v>
      </c>
      <c r="C11">
        <v>3.5000000000000003E-2</v>
      </c>
      <c r="L11">
        <f t="shared" si="0"/>
        <v>0</v>
      </c>
      <c r="M11">
        <f t="shared" si="0"/>
        <v>-585</v>
      </c>
      <c r="N11">
        <f t="shared" si="1"/>
        <v>35</v>
      </c>
      <c r="O11" t="str">
        <f t="shared" si="2"/>
        <v>&lt;Entry outShaftSpeed="0.00" torque="-585.00" electricPower="35.00"/&gt;</v>
      </c>
    </row>
    <row r="12" spans="1:15" x14ac:dyDescent="0.25">
      <c r="A12" s="1">
        <v>0</v>
      </c>
      <c r="B12">
        <v>-540</v>
      </c>
      <c r="C12">
        <v>-4.5999999999999999E-2</v>
      </c>
      <c r="L12">
        <f t="shared" si="0"/>
        <v>0</v>
      </c>
      <c r="M12">
        <f t="shared" si="0"/>
        <v>-540</v>
      </c>
      <c r="N12">
        <f t="shared" si="1"/>
        <v>-46</v>
      </c>
      <c r="O12" t="str">
        <f t="shared" si="2"/>
        <v>&lt;Entry outShaftSpeed="0.00" torque="-540.00" electricPower="-46.00"/&gt;</v>
      </c>
    </row>
    <row r="13" spans="1:15" x14ac:dyDescent="0.25">
      <c r="A13" s="1">
        <v>0</v>
      </c>
      <c r="B13">
        <v>-495</v>
      </c>
      <c r="C13">
        <v>-0.114</v>
      </c>
      <c r="L13">
        <f t="shared" si="0"/>
        <v>0</v>
      </c>
      <c r="M13">
        <f t="shared" si="0"/>
        <v>-495</v>
      </c>
      <c r="N13">
        <f t="shared" si="1"/>
        <v>-114</v>
      </c>
      <c r="O13" t="str">
        <f t="shared" si="2"/>
        <v>&lt;Entry outShaftSpeed="0.00" torque="-495.00" electricPower="-114.00"/&gt;</v>
      </c>
    </row>
    <row r="14" spans="1:15" x14ac:dyDescent="0.25">
      <c r="A14" s="1">
        <v>0</v>
      </c>
      <c r="B14">
        <v>-450</v>
      </c>
      <c r="C14">
        <v>-0.16900000000000001</v>
      </c>
      <c r="L14">
        <f t="shared" si="0"/>
        <v>0</v>
      </c>
      <c r="M14">
        <f t="shared" si="0"/>
        <v>-450</v>
      </c>
      <c r="N14">
        <f t="shared" si="1"/>
        <v>-169</v>
      </c>
      <c r="O14" t="str">
        <f t="shared" si="2"/>
        <v>&lt;Entry outShaftSpeed="0.00" torque="-450.00" electricPower="-169.00"/&gt;</v>
      </c>
    </row>
    <row r="15" spans="1:15" x14ac:dyDescent="0.25">
      <c r="A15" s="1">
        <v>0</v>
      </c>
      <c r="B15">
        <v>-405</v>
      </c>
      <c r="C15">
        <v>-0.21099999999999999</v>
      </c>
      <c r="L15">
        <f t="shared" si="0"/>
        <v>0</v>
      </c>
      <c r="M15">
        <f t="shared" si="0"/>
        <v>-405</v>
      </c>
      <c r="N15">
        <f t="shared" si="1"/>
        <v>-211</v>
      </c>
      <c r="O15" t="str">
        <f t="shared" si="2"/>
        <v>&lt;Entry outShaftSpeed="0.00" torque="-405.00" electricPower="-211.00"/&gt;</v>
      </c>
    </row>
    <row r="16" spans="1:15" x14ac:dyDescent="0.25">
      <c r="A16" s="1">
        <v>0</v>
      </c>
      <c r="B16">
        <v>-360</v>
      </c>
      <c r="C16">
        <v>-0.23899999999999999</v>
      </c>
      <c r="L16">
        <f t="shared" si="0"/>
        <v>0</v>
      </c>
      <c r="M16">
        <f t="shared" si="0"/>
        <v>-360</v>
      </c>
      <c r="N16">
        <f t="shared" si="1"/>
        <v>-239</v>
      </c>
      <c r="O16" t="str">
        <f t="shared" si="2"/>
        <v>&lt;Entry outShaftSpeed="0.00" torque="-360.00" electricPower="-239.00"/&gt;</v>
      </c>
    </row>
    <row r="17" spans="1:15" x14ac:dyDescent="0.25">
      <c r="A17" s="1">
        <v>0</v>
      </c>
      <c r="B17">
        <v>-315</v>
      </c>
      <c r="C17">
        <v>-0.254</v>
      </c>
      <c r="L17">
        <f t="shared" si="0"/>
        <v>0</v>
      </c>
      <c r="M17">
        <f t="shared" si="0"/>
        <v>-315</v>
      </c>
      <c r="N17">
        <f t="shared" si="1"/>
        <v>-254</v>
      </c>
      <c r="O17" t="str">
        <f t="shared" si="2"/>
        <v>&lt;Entry outShaftSpeed="0.00" torque="-315.00" electricPower="-254.00"/&gt;</v>
      </c>
    </row>
    <row r="18" spans="1:15" x14ac:dyDescent="0.25">
      <c r="A18" s="1">
        <v>0</v>
      </c>
      <c r="B18">
        <v>-270</v>
      </c>
      <c r="C18">
        <v>-0.25600000000000001</v>
      </c>
      <c r="L18">
        <f t="shared" si="0"/>
        <v>0</v>
      </c>
      <c r="M18">
        <f t="shared" si="0"/>
        <v>-270</v>
      </c>
      <c r="N18">
        <f t="shared" si="1"/>
        <v>-256</v>
      </c>
      <c r="O18" t="str">
        <f t="shared" si="2"/>
        <v>&lt;Entry outShaftSpeed="0.00" torque="-270.00" electricPower="-256.00"/&gt;</v>
      </c>
    </row>
    <row r="19" spans="1:15" x14ac:dyDescent="0.25">
      <c r="A19" s="1">
        <v>0</v>
      </c>
      <c r="B19">
        <v>-225</v>
      </c>
      <c r="C19">
        <v>-0.24399999999999999</v>
      </c>
      <c r="L19">
        <f t="shared" si="0"/>
        <v>0</v>
      </c>
      <c r="M19">
        <f t="shared" si="0"/>
        <v>-225</v>
      </c>
      <c r="N19">
        <f t="shared" si="1"/>
        <v>-244</v>
      </c>
      <c r="O19" t="str">
        <f t="shared" si="2"/>
        <v>&lt;Entry outShaftSpeed="0.00" torque="-225.00" electricPower="-244.00"/&gt;</v>
      </c>
    </row>
    <row r="20" spans="1:15" x14ac:dyDescent="0.25">
      <c r="A20" s="1">
        <v>0</v>
      </c>
      <c r="B20">
        <v>-180</v>
      </c>
      <c r="C20">
        <v>-0.219</v>
      </c>
      <c r="L20">
        <f t="shared" si="0"/>
        <v>0</v>
      </c>
      <c r="M20">
        <f t="shared" si="0"/>
        <v>-180</v>
      </c>
      <c r="N20">
        <f t="shared" si="1"/>
        <v>-219</v>
      </c>
      <c r="O20" t="str">
        <f t="shared" si="2"/>
        <v>&lt;Entry outShaftSpeed="0.00" torque="-180.00" electricPower="-219.00"/&gt;</v>
      </c>
    </row>
    <row r="21" spans="1:15" x14ac:dyDescent="0.25">
      <c r="A21" s="1">
        <v>0</v>
      </c>
      <c r="B21">
        <v>-135</v>
      </c>
      <c r="C21">
        <v>-0.18099999999999999</v>
      </c>
      <c r="L21">
        <f t="shared" si="0"/>
        <v>0</v>
      </c>
      <c r="M21">
        <f t="shared" si="0"/>
        <v>-135</v>
      </c>
      <c r="N21">
        <f t="shared" si="1"/>
        <v>-181</v>
      </c>
      <c r="O21" t="str">
        <f t="shared" si="2"/>
        <v>&lt;Entry outShaftSpeed="0.00" torque="-135.00" electricPower="-181.00"/&gt;</v>
      </c>
    </row>
    <row r="22" spans="1:15" x14ac:dyDescent="0.25">
      <c r="A22" s="1">
        <v>0</v>
      </c>
      <c r="B22">
        <v>-90</v>
      </c>
      <c r="C22">
        <v>-0.13</v>
      </c>
      <c r="L22">
        <f t="shared" si="0"/>
        <v>0</v>
      </c>
      <c r="M22">
        <f t="shared" si="0"/>
        <v>-90</v>
      </c>
      <c r="N22">
        <f t="shared" si="1"/>
        <v>-130</v>
      </c>
      <c r="O22" t="str">
        <f t="shared" si="2"/>
        <v>&lt;Entry outShaftSpeed="0.00" torque="-90.00" electricPower="-130.00"/&gt;</v>
      </c>
    </row>
    <row r="23" spans="1:15" x14ac:dyDescent="0.25">
      <c r="A23" s="1">
        <v>0</v>
      </c>
      <c r="B23">
        <v>-45</v>
      </c>
      <c r="C23">
        <v>-6.5000000000000002E-2</v>
      </c>
      <c r="L23">
        <f t="shared" si="0"/>
        <v>0</v>
      </c>
      <c r="M23">
        <f t="shared" si="0"/>
        <v>-45</v>
      </c>
      <c r="N23">
        <f t="shared" si="1"/>
        <v>-65</v>
      </c>
      <c r="O23" t="str">
        <f t="shared" si="2"/>
        <v>&lt;Entry outShaftSpeed="0.00" torque="-45.00" electricPower="-65.00"/&gt;</v>
      </c>
    </row>
    <row r="24" spans="1:15" x14ac:dyDescent="0.25">
      <c r="A24" s="1">
        <v>0</v>
      </c>
      <c r="B24">
        <v>-9</v>
      </c>
      <c r="C24">
        <v>-3.0000000000000001E-3</v>
      </c>
      <c r="L24">
        <f t="shared" si="0"/>
        <v>0</v>
      </c>
      <c r="M24">
        <f t="shared" si="0"/>
        <v>-9</v>
      </c>
      <c r="N24">
        <f t="shared" si="1"/>
        <v>-3</v>
      </c>
      <c r="O24" t="str">
        <f t="shared" si="2"/>
        <v>&lt;Entry outShaftSpeed="0.00" torque="-9.00" electricPower="-3.00"/&gt;</v>
      </c>
    </row>
    <row r="25" spans="1:15" x14ac:dyDescent="0.25">
      <c r="A25" s="1">
        <v>0</v>
      </c>
      <c r="B25">
        <v>9</v>
      </c>
      <c r="C25">
        <v>5.5E-2</v>
      </c>
      <c r="L25">
        <f t="shared" si="0"/>
        <v>0</v>
      </c>
      <c r="M25">
        <f t="shared" si="0"/>
        <v>9</v>
      </c>
      <c r="N25">
        <f t="shared" si="1"/>
        <v>55</v>
      </c>
      <c r="O25" t="str">
        <f t="shared" si="2"/>
        <v>&lt;Entry outShaftSpeed="0.00" torque="9.00" electricPower="55.00"/&gt;</v>
      </c>
    </row>
    <row r="26" spans="1:15" x14ac:dyDescent="0.25">
      <c r="A26" s="1">
        <v>0</v>
      </c>
      <c r="B26">
        <v>45</v>
      </c>
      <c r="C26">
        <v>0.221</v>
      </c>
      <c r="L26">
        <f t="shared" si="0"/>
        <v>0</v>
      </c>
      <c r="M26">
        <f t="shared" si="0"/>
        <v>45</v>
      </c>
      <c r="N26">
        <f t="shared" si="1"/>
        <v>221</v>
      </c>
      <c r="O26" t="str">
        <f t="shared" si="2"/>
        <v>&lt;Entry outShaftSpeed="0.00" torque="45.00" electricPower="221.00"/&gt;</v>
      </c>
    </row>
    <row r="27" spans="1:15" x14ac:dyDescent="0.25">
      <c r="A27" s="1">
        <v>0</v>
      </c>
      <c r="B27">
        <v>90</v>
      </c>
      <c r="C27">
        <v>0.442</v>
      </c>
      <c r="L27">
        <f t="shared" si="0"/>
        <v>0</v>
      </c>
      <c r="M27">
        <f t="shared" si="0"/>
        <v>90</v>
      </c>
      <c r="N27">
        <f t="shared" si="1"/>
        <v>442</v>
      </c>
      <c r="O27" t="str">
        <f t="shared" si="2"/>
        <v>&lt;Entry outShaftSpeed="0.00" torque="90.00" electricPower="442.00"/&gt;</v>
      </c>
    </row>
    <row r="28" spans="1:15" x14ac:dyDescent="0.25">
      <c r="A28" s="1">
        <v>0</v>
      </c>
      <c r="B28">
        <v>135</v>
      </c>
      <c r="C28">
        <v>0.67800000000000005</v>
      </c>
      <c r="L28">
        <f t="shared" si="0"/>
        <v>0</v>
      </c>
      <c r="M28">
        <f t="shared" si="0"/>
        <v>135</v>
      </c>
      <c r="N28">
        <f t="shared" si="1"/>
        <v>678</v>
      </c>
      <c r="O28" t="str">
        <f t="shared" si="2"/>
        <v>&lt;Entry outShaftSpeed="0.00" torque="135.00" electricPower="678.00"/&gt;</v>
      </c>
    </row>
    <row r="29" spans="1:15" x14ac:dyDescent="0.25">
      <c r="A29" s="1">
        <v>0</v>
      </c>
      <c r="B29">
        <v>180</v>
      </c>
      <c r="C29">
        <v>0.92800000000000005</v>
      </c>
      <c r="L29">
        <f t="shared" si="0"/>
        <v>0</v>
      </c>
      <c r="M29">
        <f t="shared" si="0"/>
        <v>180</v>
      </c>
      <c r="N29">
        <f t="shared" si="1"/>
        <v>928</v>
      </c>
      <c r="O29" t="str">
        <f t="shared" si="2"/>
        <v>&lt;Entry outShaftSpeed="0.00" torque="180.00" electricPower="928.00"/&gt;</v>
      </c>
    </row>
    <row r="30" spans="1:15" x14ac:dyDescent="0.25">
      <c r="A30" s="1">
        <v>0</v>
      </c>
      <c r="B30">
        <v>225</v>
      </c>
      <c r="C30">
        <v>1.1930000000000001</v>
      </c>
      <c r="L30">
        <f t="shared" si="0"/>
        <v>0</v>
      </c>
      <c r="M30">
        <f t="shared" si="0"/>
        <v>225</v>
      </c>
      <c r="N30">
        <f t="shared" si="1"/>
        <v>1193</v>
      </c>
      <c r="O30" t="str">
        <f t="shared" si="2"/>
        <v>&lt;Entry outShaftSpeed="0.00" torque="225.00" electricPower="1193.00"/&gt;</v>
      </c>
    </row>
    <row r="31" spans="1:15" x14ac:dyDescent="0.25">
      <c r="A31" s="1">
        <v>0</v>
      </c>
      <c r="B31">
        <v>270</v>
      </c>
      <c r="C31">
        <v>1.472</v>
      </c>
      <c r="L31">
        <f t="shared" si="0"/>
        <v>0</v>
      </c>
      <c r="M31">
        <f t="shared" si="0"/>
        <v>270</v>
      </c>
      <c r="N31">
        <f t="shared" si="1"/>
        <v>1472</v>
      </c>
      <c r="O31" t="str">
        <f t="shared" si="2"/>
        <v>&lt;Entry outShaftSpeed="0.00" torque="270.00" electricPower="1472.00"/&gt;</v>
      </c>
    </row>
    <row r="32" spans="1:15" x14ac:dyDescent="0.25">
      <c r="A32" s="1">
        <v>0</v>
      </c>
      <c r="B32">
        <v>315</v>
      </c>
      <c r="C32">
        <v>1.7649999999999999</v>
      </c>
      <c r="L32">
        <f t="shared" si="0"/>
        <v>0</v>
      </c>
      <c r="M32">
        <f t="shared" si="0"/>
        <v>315</v>
      </c>
      <c r="N32">
        <f t="shared" si="1"/>
        <v>1765</v>
      </c>
      <c r="O32" t="str">
        <f t="shared" si="2"/>
        <v>&lt;Entry outShaftSpeed="0.00" torque="315.00" electricPower="1765.00"/&gt;</v>
      </c>
    </row>
    <row r="33" spans="1:15" x14ac:dyDescent="0.25">
      <c r="A33" s="1">
        <v>0</v>
      </c>
      <c r="B33">
        <v>360</v>
      </c>
      <c r="C33">
        <v>2.073</v>
      </c>
      <c r="L33">
        <f t="shared" si="0"/>
        <v>0</v>
      </c>
      <c r="M33">
        <f t="shared" si="0"/>
        <v>360</v>
      </c>
      <c r="N33">
        <f t="shared" si="1"/>
        <v>2073</v>
      </c>
      <c r="O33" t="str">
        <f t="shared" si="2"/>
        <v>&lt;Entry outShaftSpeed="0.00" torque="360.00" electricPower="2073.00"/&gt;</v>
      </c>
    </row>
    <row r="34" spans="1:15" x14ac:dyDescent="0.25">
      <c r="A34" s="1">
        <v>0</v>
      </c>
      <c r="B34">
        <v>405</v>
      </c>
      <c r="C34">
        <v>2.395</v>
      </c>
      <c r="L34">
        <f t="shared" si="0"/>
        <v>0</v>
      </c>
      <c r="M34">
        <f t="shared" si="0"/>
        <v>405</v>
      </c>
      <c r="N34">
        <f t="shared" si="1"/>
        <v>2395</v>
      </c>
      <c r="O34" t="str">
        <f t="shared" si="2"/>
        <v>&lt;Entry outShaftSpeed="0.00" torque="405.00" electricPower="2395.00"/&gt;</v>
      </c>
    </row>
    <row r="35" spans="1:15" x14ac:dyDescent="0.25">
      <c r="A35" s="1">
        <v>0</v>
      </c>
      <c r="B35">
        <v>450</v>
      </c>
      <c r="C35">
        <v>2.7320000000000002</v>
      </c>
      <c r="L35">
        <f t="shared" si="0"/>
        <v>0</v>
      </c>
      <c r="M35">
        <f t="shared" si="0"/>
        <v>450</v>
      </c>
      <c r="N35">
        <f t="shared" si="1"/>
        <v>2732</v>
      </c>
      <c r="O35" t="str">
        <f t="shared" si="2"/>
        <v>&lt;Entry outShaftSpeed="0.00" torque="450.00" electricPower="2732.00"/&gt;</v>
      </c>
    </row>
    <row r="36" spans="1:15" x14ac:dyDescent="0.25">
      <c r="A36" s="1">
        <v>0</v>
      </c>
      <c r="B36">
        <v>495</v>
      </c>
      <c r="C36">
        <v>3.0830000000000002</v>
      </c>
      <c r="L36">
        <f t="shared" si="0"/>
        <v>0</v>
      </c>
      <c r="M36">
        <f t="shared" si="0"/>
        <v>495</v>
      </c>
      <c r="N36">
        <f t="shared" si="1"/>
        <v>3083</v>
      </c>
      <c r="O36" t="str">
        <f t="shared" si="2"/>
        <v>&lt;Entry outShaftSpeed="0.00" torque="495.00" electricPower="3083.00"/&gt;</v>
      </c>
    </row>
    <row r="37" spans="1:15" x14ac:dyDescent="0.25">
      <c r="A37" s="1">
        <v>0</v>
      </c>
      <c r="B37">
        <v>540</v>
      </c>
      <c r="C37">
        <v>3.4489999999999998</v>
      </c>
      <c r="L37">
        <f t="shared" si="0"/>
        <v>0</v>
      </c>
      <c r="M37">
        <f t="shared" si="0"/>
        <v>540</v>
      </c>
      <c r="N37">
        <f t="shared" si="1"/>
        <v>3449</v>
      </c>
      <c r="O37" t="str">
        <f t="shared" si="2"/>
        <v>&lt;Entry outShaftSpeed="0.00" torque="540.00" electricPower="3449.00"/&gt;</v>
      </c>
    </row>
    <row r="38" spans="1:15" x14ac:dyDescent="0.25">
      <c r="A38" s="1">
        <v>0</v>
      </c>
      <c r="B38">
        <v>585</v>
      </c>
      <c r="C38">
        <v>3.8290000000000002</v>
      </c>
      <c r="L38">
        <f t="shared" si="0"/>
        <v>0</v>
      </c>
      <c r="M38">
        <f t="shared" si="0"/>
        <v>585</v>
      </c>
      <c r="N38">
        <f t="shared" si="1"/>
        <v>3829</v>
      </c>
      <c r="O38" t="str">
        <f t="shared" si="2"/>
        <v>&lt;Entry outShaftSpeed="0.00" torque="585.00" electricPower="3829.00"/&gt;</v>
      </c>
    </row>
    <row r="39" spans="1:15" x14ac:dyDescent="0.25">
      <c r="A39" s="1">
        <v>0</v>
      </c>
      <c r="B39">
        <v>630</v>
      </c>
      <c r="C39">
        <v>4.2240000000000002</v>
      </c>
      <c r="L39">
        <f t="shared" si="0"/>
        <v>0</v>
      </c>
      <c r="M39">
        <f t="shared" si="0"/>
        <v>630</v>
      </c>
      <c r="N39">
        <f t="shared" si="1"/>
        <v>4224</v>
      </c>
      <c r="O39" t="str">
        <f t="shared" si="2"/>
        <v>&lt;Entry outShaftSpeed="0.00" torque="630.00" electricPower="4224.00"/&gt;</v>
      </c>
    </row>
    <row r="40" spans="1:15" x14ac:dyDescent="0.25">
      <c r="A40" s="1">
        <v>0</v>
      </c>
      <c r="B40">
        <v>675</v>
      </c>
      <c r="C40">
        <v>4.633</v>
      </c>
      <c r="L40">
        <f t="shared" si="0"/>
        <v>0</v>
      </c>
      <c r="M40">
        <f t="shared" si="0"/>
        <v>675</v>
      </c>
      <c r="N40">
        <f t="shared" si="1"/>
        <v>4633</v>
      </c>
      <c r="O40" t="str">
        <f t="shared" si="2"/>
        <v>&lt;Entry outShaftSpeed="0.00" torque="675.00" electricPower="4633.00"/&gt;</v>
      </c>
    </row>
    <row r="41" spans="1:15" x14ac:dyDescent="0.25">
      <c r="A41" s="1">
        <v>0</v>
      </c>
      <c r="B41">
        <v>720</v>
      </c>
      <c r="C41">
        <v>5.056</v>
      </c>
      <c r="L41">
        <f t="shared" si="0"/>
        <v>0</v>
      </c>
      <c r="M41">
        <f t="shared" si="0"/>
        <v>720</v>
      </c>
      <c r="N41">
        <f t="shared" si="1"/>
        <v>5056</v>
      </c>
      <c r="O41" t="str">
        <f t="shared" si="2"/>
        <v>&lt;Entry outShaftSpeed="0.00" torque="720.00" electricPower="5056.00"/&gt;</v>
      </c>
    </row>
    <row r="42" spans="1:15" x14ac:dyDescent="0.25">
      <c r="A42" s="1">
        <v>0</v>
      </c>
      <c r="B42">
        <v>765</v>
      </c>
      <c r="C42">
        <v>5.4939999999999998</v>
      </c>
      <c r="L42">
        <f t="shared" si="0"/>
        <v>0</v>
      </c>
      <c r="M42">
        <f t="shared" si="0"/>
        <v>765</v>
      </c>
      <c r="N42">
        <f t="shared" si="1"/>
        <v>5494</v>
      </c>
      <c r="O42" t="str">
        <f t="shared" si="2"/>
        <v>&lt;Entry outShaftSpeed="0.00" torque="765.00" electricPower="5494.00"/&gt;</v>
      </c>
    </row>
    <row r="43" spans="1:15" x14ac:dyDescent="0.25">
      <c r="A43" s="1">
        <v>0</v>
      </c>
      <c r="B43">
        <v>810</v>
      </c>
      <c r="C43">
        <v>5.9459999999999997</v>
      </c>
      <c r="L43">
        <f t="shared" si="0"/>
        <v>0</v>
      </c>
      <c r="M43">
        <f t="shared" si="0"/>
        <v>810</v>
      </c>
      <c r="N43">
        <f t="shared" si="1"/>
        <v>5946</v>
      </c>
      <c r="O43" t="str">
        <f t="shared" si="2"/>
        <v>&lt;Entry outShaftSpeed="0.00" torque="810.00" electricPower="5946.00"/&gt;</v>
      </c>
    </row>
    <row r="44" spans="1:15" x14ac:dyDescent="0.25">
      <c r="A44" s="1">
        <v>0</v>
      </c>
      <c r="B44">
        <v>855</v>
      </c>
      <c r="C44">
        <v>6.4130000000000003</v>
      </c>
      <c r="L44">
        <f t="shared" si="0"/>
        <v>0</v>
      </c>
      <c r="M44">
        <f t="shared" si="0"/>
        <v>855</v>
      </c>
      <c r="N44">
        <f t="shared" si="1"/>
        <v>6413</v>
      </c>
      <c r="O44" t="str">
        <f t="shared" si="2"/>
        <v>&lt;Entry outShaftSpeed="0.00" torque="855.00" electricPower="6413.00"/&gt;</v>
      </c>
    </row>
    <row r="45" spans="1:15" x14ac:dyDescent="0.25">
      <c r="A45" s="1">
        <v>0</v>
      </c>
      <c r="B45">
        <v>900</v>
      </c>
      <c r="C45">
        <v>6.8940000000000001</v>
      </c>
      <c r="L45">
        <f t="shared" si="0"/>
        <v>0</v>
      </c>
      <c r="M45">
        <f t="shared" si="0"/>
        <v>900</v>
      </c>
      <c r="N45">
        <f t="shared" si="1"/>
        <v>6894</v>
      </c>
      <c r="O45" t="str">
        <f t="shared" si="2"/>
        <v>&lt;Entry outShaftSpeed="0.00" torque="900.00" electricPower="6894.00"/&gt;</v>
      </c>
    </row>
    <row r="46" spans="1:15" x14ac:dyDescent="0.25">
      <c r="A46" s="1">
        <v>0</v>
      </c>
      <c r="B46">
        <v>0</v>
      </c>
      <c r="C46">
        <v>6.4130000000000003</v>
      </c>
      <c r="L46">
        <f t="shared" si="0"/>
        <v>0</v>
      </c>
      <c r="M46">
        <f t="shared" si="0"/>
        <v>0</v>
      </c>
      <c r="N46">
        <f t="shared" si="1"/>
        <v>6413</v>
      </c>
      <c r="O46" t="str">
        <f t="shared" si="2"/>
        <v>&lt;Entry outShaftSpeed="0.00" torque="0.00" electricPower="6413.00"/&gt;</v>
      </c>
    </row>
    <row r="47" spans="1:15" x14ac:dyDescent="0.25">
      <c r="A47" s="1">
        <v>0</v>
      </c>
      <c r="B47">
        <v>0</v>
      </c>
      <c r="C47">
        <v>5.9459999999999997</v>
      </c>
      <c r="L47">
        <f t="shared" si="0"/>
        <v>0</v>
      </c>
      <c r="M47">
        <f t="shared" si="0"/>
        <v>0</v>
      </c>
      <c r="N47">
        <f t="shared" si="1"/>
        <v>5946</v>
      </c>
      <c r="O47" t="str">
        <f t="shared" si="2"/>
        <v>&lt;Entry outShaftSpeed="0.00" torque="0.00" electricPower="5946.00"/&gt;</v>
      </c>
    </row>
    <row r="48" spans="1:15" x14ac:dyDescent="0.25">
      <c r="A48" s="1">
        <v>29.7</v>
      </c>
      <c r="B48">
        <v>-990</v>
      </c>
      <c r="C48">
        <v>0</v>
      </c>
      <c r="L48">
        <f t="shared" si="0"/>
        <v>29.7</v>
      </c>
      <c r="M48">
        <f t="shared" si="0"/>
        <v>-990</v>
      </c>
      <c r="N48">
        <f t="shared" si="1"/>
        <v>0</v>
      </c>
      <c r="O48" t="str">
        <f t="shared" si="2"/>
        <v>&lt;Entry outShaftSpeed="29.70" torque="-990.00" electricPower="0.00"/&gt;</v>
      </c>
    </row>
    <row r="49" spans="1:15" x14ac:dyDescent="0.25">
      <c r="A49" s="1">
        <v>29.7</v>
      </c>
      <c r="B49">
        <v>-945</v>
      </c>
      <c r="C49">
        <v>0</v>
      </c>
      <c r="L49">
        <f t="shared" si="0"/>
        <v>29.7</v>
      </c>
      <c r="M49">
        <f t="shared" si="0"/>
        <v>-945</v>
      </c>
      <c r="N49">
        <f t="shared" si="1"/>
        <v>0</v>
      </c>
      <c r="O49" t="str">
        <f t="shared" si="2"/>
        <v>&lt;Entry outShaftSpeed="29.70" torque="-945.00" electricPower="0.00"/&gt;</v>
      </c>
    </row>
    <row r="50" spans="1:15" x14ac:dyDescent="0.25">
      <c r="A50" s="1">
        <v>29.7</v>
      </c>
      <c r="B50">
        <v>-900</v>
      </c>
      <c r="C50">
        <v>0</v>
      </c>
      <c r="L50">
        <f t="shared" si="0"/>
        <v>29.7</v>
      </c>
      <c r="M50">
        <f t="shared" si="0"/>
        <v>-900</v>
      </c>
      <c r="N50">
        <f t="shared" si="1"/>
        <v>0</v>
      </c>
      <c r="O50" t="str">
        <f t="shared" si="2"/>
        <v>&lt;Entry outShaftSpeed="29.70" torque="-900.00" electricPower="0.00"/&gt;</v>
      </c>
    </row>
    <row r="51" spans="1:15" x14ac:dyDescent="0.25">
      <c r="A51" s="1">
        <v>29.7</v>
      </c>
      <c r="B51">
        <v>-855</v>
      </c>
      <c r="C51">
        <v>0</v>
      </c>
      <c r="L51">
        <f t="shared" si="0"/>
        <v>29.7</v>
      </c>
      <c r="M51">
        <f t="shared" si="0"/>
        <v>-855</v>
      </c>
      <c r="N51">
        <f t="shared" si="1"/>
        <v>0</v>
      </c>
      <c r="O51" t="str">
        <f t="shared" si="2"/>
        <v>&lt;Entry outShaftSpeed="29.70" torque="-855.00" electricPower="0.00"/&gt;</v>
      </c>
    </row>
    <row r="52" spans="1:15" x14ac:dyDescent="0.25">
      <c r="A52" s="1">
        <v>29.7</v>
      </c>
      <c r="B52">
        <v>-810</v>
      </c>
      <c r="C52">
        <v>0</v>
      </c>
      <c r="L52">
        <f t="shared" si="0"/>
        <v>29.7</v>
      </c>
      <c r="M52">
        <f t="shared" si="0"/>
        <v>-810</v>
      </c>
      <c r="N52">
        <f t="shared" si="1"/>
        <v>0</v>
      </c>
      <c r="O52" t="str">
        <f t="shared" si="2"/>
        <v>&lt;Entry outShaftSpeed="29.70" torque="-810.00" electricPower="0.00"/&gt;</v>
      </c>
    </row>
    <row r="53" spans="1:15" x14ac:dyDescent="0.25">
      <c r="A53" s="1">
        <v>29.7</v>
      </c>
      <c r="B53">
        <v>-765</v>
      </c>
      <c r="C53">
        <v>0</v>
      </c>
      <c r="L53">
        <f t="shared" si="0"/>
        <v>29.7</v>
      </c>
      <c r="M53">
        <f t="shared" si="0"/>
        <v>-765</v>
      </c>
      <c r="N53">
        <f t="shared" si="1"/>
        <v>0</v>
      </c>
      <c r="O53" t="str">
        <f t="shared" si="2"/>
        <v>&lt;Entry outShaftSpeed="29.70" torque="-765.00" electricPower="0.00"/&gt;</v>
      </c>
    </row>
    <row r="54" spans="1:15" x14ac:dyDescent="0.25">
      <c r="A54" s="1">
        <v>29.7</v>
      </c>
      <c r="B54">
        <v>-720</v>
      </c>
      <c r="C54">
        <v>0</v>
      </c>
      <c r="L54">
        <f t="shared" si="0"/>
        <v>29.7</v>
      </c>
      <c r="M54">
        <f t="shared" si="0"/>
        <v>-720</v>
      </c>
      <c r="N54">
        <f t="shared" si="1"/>
        <v>0</v>
      </c>
      <c r="O54" t="str">
        <f t="shared" si="2"/>
        <v>&lt;Entry outShaftSpeed="29.70" torque="-720.00" electricPower="0.00"/&gt;</v>
      </c>
    </row>
    <row r="55" spans="1:15" x14ac:dyDescent="0.25">
      <c r="A55" s="1">
        <v>29.7</v>
      </c>
      <c r="B55">
        <v>-675</v>
      </c>
      <c r="C55">
        <v>0</v>
      </c>
      <c r="L55">
        <f t="shared" si="0"/>
        <v>29.7</v>
      </c>
      <c r="M55">
        <f t="shared" si="0"/>
        <v>-675</v>
      </c>
      <c r="N55">
        <f t="shared" si="1"/>
        <v>0</v>
      </c>
      <c r="O55" t="str">
        <f t="shared" si="2"/>
        <v>&lt;Entry outShaftSpeed="29.70" torque="-675.00" electricPower="0.00"/&gt;</v>
      </c>
    </row>
    <row r="56" spans="1:15" x14ac:dyDescent="0.25">
      <c r="A56" s="1">
        <v>29.7</v>
      </c>
      <c r="B56">
        <v>-630</v>
      </c>
      <c r="C56">
        <v>-0.05</v>
      </c>
      <c r="L56">
        <f t="shared" si="0"/>
        <v>29.7</v>
      </c>
      <c r="M56">
        <f t="shared" si="0"/>
        <v>-630</v>
      </c>
      <c r="N56">
        <f t="shared" si="1"/>
        <v>-50</v>
      </c>
      <c r="O56" t="str">
        <f t="shared" si="2"/>
        <v>&lt;Entry outShaftSpeed="29.70" torque="-630.00" electricPower="-50.00"/&gt;</v>
      </c>
    </row>
    <row r="57" spans="1:15" x14ac:dyDescent="0.25">
      <c r="A57" s="1">
        <v>29.7</v>
      </c>
      <c r="B57">
        <v>-585</v>
      </c>
      <c r="C57">
        <v>-0.124</v>
      </c>
      <c r="L57">
        <f t="shared" si="0"/>
        <v>29.7</v>
      </c>
      <c r="M57">
        <f t="shared" si="0"/>
        <v>-585</v>
      </c>
      <c r="N57">
        <f t="shared" si="1"/>
        <v>-124</v>
      </c>
      <c r="O57" t="str">
        <f t="shared" si="2"/>
        <v>&lt;Entry outShaftSpeed="29.70" torque="-585.00" electricPower="-124.00"/&gt;</v>
      </c>
    </row>
    <row r="58" spans="1:15" x14ac:dyDescent="0.25">
      <c r="A58" s="1">
        <v>29.7</v>
      </c>
      <c r="B58">
        <v>-540</v>
      </c>
      <c r="C58">
        <v>-0.186</v>
      </c>
      <c r="L58">
        <f t="shared" si="0"/>
        <v>29.7</v>
      </c>
      <c r="M58">
        <f t="shared" si="0"/>
        <v>-540</v>
      </c>
      <c r="N58">
        <f t="shared" si="1"/>
        <v>-186</v>
      </c>
      <c r="O58" t="str">
        <f t="shared" si="2"/>
        <v>&lt;Entry outShaftSpeed="29.70" torque="-540.00" electricPower="-186.00"/&gt;</v>
      </c>
    </row>
    <row r="59" spans="1:15" x14ac:dyDescent="0.25">
      <c r="A59" s="1">
        <v>29.7</v>
      </c>
      <c r="B59">
        <v>-495</v>
      </c>
      <c r="C59">
        <v>-0.23599999999999999</v>
      </c>
      <c r="L59">
        <f t="shared" si="0"/>
        <v>29.7</v>
      </c>
      <c r="M59">
        <f t="shared" si="0"/>
        <v>-495</v>
      </c>
      <c r="N59">
        <f t="shared" si="1"/>
        <v>-236</v>
      </c>
      <c r="O59" t="str">
        <f t="shared" si="2"/>
        <v>&lt;Entry outShaftSpeed="29.70" torque="-495.00" electricPower="-236.00"/&gt;</v>
      </c>
    </row>
    <row r="60" spans="1:15" x14ac:dyDescent="0.25">
      <c r="A60" s="1">
        <v>29.7</v>
      </c>
      <c r="B60">
        <v>-450</v>
      </c>
      <c r="C60">
        <v>-0.27400000000000002</v>
      </c>
      <c r="L60">
        <f t="shared" si="0"/>
        <v>29.7</v>
      </c>
      <c r="M60">
        <f t="shared" si="0"/>
        <v>-450</v>
      </c>
      <c r="N60">
        <f t="shared" si="1"/>
        <v>-274</v>
      </c>
      <c r="O60" t="str">
        <f t="shared" si="2"/>
        <v>&lt;Entry outShaftSpeed="29.70" torque="-450.00" electricPower="-274.00"/&gt;</v>
      </c>
    </row>
    <row r="61" spans="1:15" x14ac:dyDescent="0.25">
      <c r="A61" s="1">
        <v>29.7</v>
      </c>
      <c r="B61">
        <v>-405</v>
      </c>
      <c r="C61">
        <v>-0.3</v>
      </c>
      <c r="L61">
        <f t="shared" si="0"/>
        <v>29.7</v>
      </c>
      <c r="M61">
        <f t="shared" si="0"/>
        <v>-405</v>
      </c>
      <c r="N61">
        <f t="shared" si="1"/>
        <v>-300</v>
      </c>
      <c r="O61" t="str">
        <f t="shared" si="2"/>
        <v>&lt;Entry outShaftSpeed="29.70" torque="-405.00" electricPower="-300.00"/&gt;</v>
      </c>
    </row>
    <row r="62" spans="1:15" x14ac:dyDescent="0.25">
      <c r="A62" s="1">
        <v>29.7</v>
      </c>
      <c r="B62">
        <v>-360</v>
      </c>
      <c r="C62">
        <v>-0.314</v>
      </c>
      <c r="L62">
        <f t="shared" si="0"/>
        <v>29.7</v>
      </c>
      <c r="M62">
        <f t="shared" si="0"/>
        <v>-360</v>
      </c>
      <c r="N62">
        <f t="shared" si="1"/>
        <v>-314</v>
      </c>
      <c r="O62" t="str">
        <f t="shared" si="2"/>
        <v>&lt;Entry outShaftSpeed="29.70" torque="-360.00" electricPower="-314.00"/&gt;</v>
      </c>
    </row>
    <row r="63" spans="1:15" x14ac:dyDescent="0.25">
      <c r="A63" s="1">
        <v>29.7</v>
      </c>
      <c r="B63">
        <v>-315</v>
      </c>
      <c r="C63">
        <v>-0.315</v>
      </c>
      <c r="L63">
        <f t="shared" si="0"/>
        <v>29.7</v>
      </c>
      <c r="M63">
        <f t="shared" si="0"/>
        <v>-315</v>
      </c>
      <c r="N63">
        <f t="shared" si="1"/>
        <v>-315</v>
      </c>
      <c r="O63" t="str">
        <f t="shared" si="2"/>
        <v>&lt;Entry outShaftSpeed="29.70" torque="-315.00" electricPower="-315.00"/&gt;</v>
      </c>
    </row>
    <row r="64" spans="1:15" x14ac:dyDescent="0.25">
      <c r="A64" s="1">
        <v>29.7</v>
      </c>
      <c r="B64">
        <v>-270</v>
      </c>
      <c r="C64">
        <v>-0.30399999999999999</v>
      </c>
      <c r="L64">
        <f t="shared" si="0"/>
        <v>29.7</v>
      </c>
      <c r="M64">
        <f t="shared" si="0"/>
        <v>-270</v>
      </c>
      <c r="N64">
        <f t="shared" si="1"/>
        <v>-304</v>
      </c>
      <c r="O64" t="str">
        <f t="shared" si="2"/>
        <v>&lt;Entry outShaftSpeed="29.70" torque="-270.00" electricPower="-304.00"/&gt;</v>
      </c>
    </row>
    <row r="65" spans="1:15" x14ac:dyDescent="0.25">
      <c r="A65" s="1">
        <v>29.7</v>
      </c>
      <c r="B65">
        <v>-225</v>
      </c>
      <c r="C65">
        <v>-0.28199999999999997</v>
      </c>
      <c r="L65">
        <f t="shared" si="0"/>
        <v>29.7</v>
      </c>
      <c r="M65">
        <f t="shared" si="0"/>
        <v>-225</v>
      </c>
      <c r="N65">
        <f t="shared" si="1"/>
        <v>-282</v>
      </c>
      <c r="O65" t="str">
        <f t="shared" si="2"/>
        <v>&lt;Entry outShaftSpeed="29.70" torque="-225.00" electricPower="-282.00"/&gt;</v>
      </c>
    </row>
    <row r="66" spans="1:15" x14ac:dyDescent="0.25">
      <c r="A66" s="1">
        <v>29.7</v>
      </c>
      <c r="B66">
        <v>-180</v>
      </c>
      <c r="C66">
        <v>-0.247</v>
      </c>
      <c r="L66">
        <f t="shared" si="0"/>
        <v>29.7</v>
      </c>
      <c r="M66">
        <f t="shared" si="0"/>
        <v>-180</v>
      </c>
      <c r="N66">
        <f t="shared" si="1"/>
        <v>-247</v>
      </c>
      <c r="O66" t="str">
        <f t="shared" si="2"/>
        <v>&lt;Entry outShaftSpeed="29.70" torque="-180.00" electricPower="-247.00"/&gt;</v>
      </c>
    </row>
    <row r="67" spans="1:15" x14ac:dyDescent="0.25">
      <c r="A67" s="1">
        <v>29.7</v>
      </c>
      <c r="B67">
        <v>-135</v>
      </c>
      <c r="C67">
        <v>-0.2</v>
      </c>
      <c r="L67">
        <f t="shared" ref="L67:M130" si="3">A67</f>
        <v>29.7</v>
      </c>
      <c r="M67">
        <f t="shared" si="3"/>
        <v>-135</v>
      </c>
      <c r="N67">
        <f t="shared" ref="N67:N130" si="4">C67*1000</f>
        <v>-200</v>
      </c>
      <c r="O67" t="str">
        <f t="shared" ref="O67:O130" si="5">"&lt;Entry outShaftSpeed="""&amp;TEXT(ROUND(L67,2),"#0.00")&amp;""" torque=""" &amp; TEXT(ROUND(M67,2),"#0.00") &amp; """ electricPower="""&amp;TEXT(ROUND(N67,2),"#0.00") &amp;  """/&gt;"</f>
        <v>&lt;Entry outShaftSpeed="29.70" torque="-135.00" electricPower="-200.00"/&gt;</v>
      </c>
    </row>
    <row r="68" spans="1:15" x14ac:dyDescent="0.25">
      <c r="A68" s="1">
        <v>29.7</v>
      </c>
      <c r="B68">
        <v>-90</v>
      </c>
      <c r="C68">
        <v>-0.14099999999999999</v>
      </c>
      <c r="L68">
        <f t="shared" si="3"/>
        <v>29.7</v>
      </c>
      <c r="M68">
        <f t="shared" si="3"/>
        <v>-90</v>
      </c>
      <c r="N68">
        <f t="shared" si="4"/>
        <v>-141</v>
      </c>
      <c r="O68" t="str">
        <f t="shared" si="5"/>
        <v>&lt;Entry outShaftSpeed="29.70" torque="-90.00" electricPower="-141.00"/&gt;</v>
      </c>
    </row>
    <row r="69" spans="1:15" x14ac:dyDescent="0.25">
      <c r="A69" s="1">
        <v>29.7</v>
      </c>
      <c r="B69">
        <v>-45</v>
      </c>
      <c r="C69">
        <v>-7.0000000000000007E-2</v>
      </c>
      <c r="L69">
        <f t="shared" si="3"/>
        <v>29.7</v>
      </c>
      <c r="M69">
        <f t="shared" si="3"/>
        <v>-45</v>
      </c>
      <c r="N69">
        <f t="shared" si="4"/>
        <v>-70</v>
      </c>
      <c r="O69" t="str">
        <f t="shared" si="5"/>
        <v>&lt;Entry outShaftSpeed="29.70" torque="-45.00" electricPower="-70.00"/&gt;</v>
      </c>
    </row>
    <row r="70" spans="1:15" x14ac:dyDescent="0.25">
      <c r="A70" s="1">
        <v>29.7</v>
      </c>
      <c r="B70">
        <v>-9</v>
      </c>
      <c r="C70">
        <v>-4.0000000000000001E-3</v>
      </c>
      <c r="L70">
        <f t="shared" si="3"/>
        <v>29.7</v>
      </c>
      <c r="M70">
        <f t="shared" si="3"/>
        <v>-9</v>
      </c>
      <c r="N70">
        <f t="shared" si="4"/>
        <v>-4</v>
      </c>
      <c r="O70" t="str">
        <f t="shared" si="5"/>
        <v>&lt;Entry outShaftSpeed="29.70" torque="-9.00" electricPower="-4.00"/&gt;</v>
      </c>
    </row>
    <row r="71" spans="1:15" x14ac:dyDescent="0.25">
      <c r="A71" s="1">
        <v>29.7</v>
      </c>
      <c r="B71">
        <v>9</v>
      </c>
      <c r="C71">
        <v>5.3999999999999999E-2</v>
      </c>
      <c r="L71">
        <f t="shared" si="3"/>
        <v>29.7</v>
      </c>
      <c r="M71">
        <f t="shared" si="3"/>
        <v>9</v>
      </c>
      <c r="N71">
        <f t="shared" si="4"/>
        <v>54</v>
      </c>
      <c r="O71" t="str">
        <f t="shared" si="5"/>
        <v>&lt;Entry outShaftSpeed="29.70" torque="9.00" electricPower="54.00"/&gt;</v>
      </c>
    </row>
    <row r="72" spans="1:15" x14ac:dyDescent="0.25">
      <c r="A72" s="1">
        <v>29.7</v>
      </c>
      <c r="B72">
        <v>45</v>
      </c>
      <c r="C72">
        <v>0.216</v>
      </c>
      <c r="L72">
        <f t="shared" si="3"/>
        <v>29.7</v>
      </c>
      <c r="M72">
        <f t="shared" si="3"/>
        <v>45</v>
      </c>
      <c r="N72">
        <f t="shared" si="4"/>
        <v>216</v>
      </c>
      <c r="O72" t="str">
        <f t="shared" si="5"/>
        <v>&lt;Entry outShaftSpeed="29.70" torque="45.00" electricPower="216.00"/&gt;</v>
      </c>
    </row>
    <row r="73" spans="1:15" x14ac:dyDescent="0.25">
      <c r="A73" s="1">
        <v>29.7</v>
      </c>
      <c r="B73">
        <v>90</v>
      </c>
      <c r="C73">
        <v>0.43</v>
      </c>
      <c r="L73">
        <f t="shared" si="3"/>
        <v>29.7</v>
      </c>
      <c r="M73">
        <f t="shared" si="3"/>
        <v>90</v>
      </c>
      <c r="N73">
        <f t="shared" si="4"/>
        <v>430</v>
      </c>
      <c r="O73" t="str">
        <f t="shared" si="5"/>
        <v>&lt;Entry outShaftSpeed="29.70" torque="90.00" electricPower="430.00"/&gt;</v>
      </c>
    </row>
    <row r="74" spans="1:15" x14ac:dyDescent="0.25">
      <c r="A74" s="1">
        <v>29.7</v>
      </c>
      <c r="B74">
        <v>135</v>
      </c>
      <c r="C74">
        <v>0.65800000000000003</v>
      </c>
      <c r="L74">
        <f t="shared" si="3"/>
        <v>29.7</v>
      </c>
      <c r="M74">
        <f t="shared" si="3"/>
        <v>135</v>
      </c>
      <c r="N74">
        <f t="shared" si="4"/>
        <v>658</v>
      </c>
      <c r="O74" t="str">
        <f t="shared" si="5"/>
        <v>&lt;Entry outShaftSpeed="29.70" torque="135.00" electricPower="658.00"/&gt;</v>
      </c>
    </row>
    <row r="75" spans="1:15" x14ac:dyDescent="0.25">
      <c r="A75" s="1">
        <v>29.7</v>
      </c>
      <c r="B75">
        <v>180</v>
      </c>
      <c r="C75">
        <v>0.89800000000000002</v>
      </c>
      <c r="L75">
        <f t="shared" si="3"/>
        <v>29.7</v>
      </c>
      <c r="M75">
        <f t="shared" si="3"/>
        <v>180</v>
      </c>
      <c r="N75">
        <f t="shared" si="4"/>
        <v>898</v>
      </c>
      <c r="O75" t="str">
        <f t="shared" si="5"/>
        <v>&lt;Entry outShaftSpeed="29.70" torque="180.00" electricPower="898.00"/&gt;</v>
      </c>
    </row>
    <row r="76" spans="1:15" x14ac:dyDescent="0.25">
      <c r="A76" s="1">
        <v>29.7</v>
      </c>
      <c r="B76">
        <v>225</v>
      </c>
      <c r="C76">
        <v>1.1519999999999999</v>
      </c>
      <c r="L76">
        <f t="shared" si="3"/>
        <v>29.7</v>
      </c>
      <c r="M76">
        <f t="shared" si="3"/>
        <v>225</v>
      </c>
      <c r="N76">
        <f t="shared" si="4"/>
        <v>1152</v>
      </c>
      <c r="O76" t="str">
        <f t="shared" si="5"/>
        <v>&lt;Entry outShaftSpeed="29.70" torque="225.00" electricPower="1152.00"/&gt;</v>
      </c>
    </row>
    <row r="77" spans="1:15" x14ac:dyDescent="0.25">
      <c r="A77" s="1">
        <v>29.7</v>
      </c>
      <c r="B77">
        <v>270</v>
      </c>
      <c r="C77">
        <v>1.419</v>
      </c>
      <c r="L77">
        <f t="shared" si="3"/>
        <v>29.7</v>
      </c>
      <c r="M77">
        <f t="shared" si="3"/>
        <v>270</v>
      </c>
      <c r="N77">
        <f t="shared" si="4"/>
        <v>1419</v>
      </c>
      <c r="O77" t="str">
        <f t="shared" si="5"/>
        <v>&lt;Entry outShaftSpeed="29.70" torque="270.00" electricPower="1419.00"/&gt;</v>
      </c>
    </row>
    <row r="78" spans="1:15" x14ac:dyDescent="0.25">
      <c r="A78" s="1">
        <v>29.7</v>
      </c>
      <c r="B78">
        <v>315</v>
      </c>
      <c r="C78">
        <v>1.6990000000000001</v>
      </c>
      <c r="L78">
        <f t="shared" si="3"/>
        <v>29.7</v>
      </c>
      <c r="M78">
        <f t="shared" si="3"/>
        <v>315</v>
      </c>
      <c r="N78">
        <f t="shared" si="4"/>
        <v>1699</v>
      </c>
      <c r="O78" t="str">
        <f t="shared" si="5"/>
        <v>&lt;Entry outShaftSpeed="29.70" torque="315.00" electricPower="1699.00"/&gt;</v>
      </c>
    </row>
    <row r="79" spans="1:15" x14ac:dyDescent="0.25">
      <c r="A79" s="1">
        <v>29.7</v>
      </c>
      <c r="B79">
        <v>360</v>
      </c>
      <c r="C79">
        <v>1.992</v>
      </c>
      <c r="L79">
        <f t="shared" si="3"/>
        <v>29.7</v>
      </c>
      <c r="M79">
        <f t="shared" si="3"/>
        <v>360</v>
      </c>
      <c r="N79">
        <f t="shared" si="4"/>
        <v>1992</v>
      </c>
      <c r="O79" t="str">
        <f t="shared" si="5"/>
        <v>&lt;Entry outShaftSpeed="29.70" torque="360.00" electricPower="1992.00"/&gt;</v>
      </c>
    </row>
    <row r="80" spans="1:15" x14ac:dyDescent="0.25">
      <c r="A80" s="1">
        <v>29.7</v>
      </c>
      <c r="B80">
        <v>405</v>
      </c>
      <c r="C80">
        <v>2.2989999999999999</v>
      </c>
      <c r="L80">
        <f t="shared" si="3"/>
        <v>29.7</v>
      </c>
      <c r="M80">
        <f t="shared" si="3"/>
        <v>405</v>
      </c>
      <c r="N80">
        <f t="shared" si="4"/>
        <v>2299</v>
      </c>
      <c r="O80" t="str">
        <f t="shared" si="5"/>
        <v>&lt;Entry outShaftSpeed="29.70" torque="405.00" electricPower="2299.00"/&gt;</v>
      </c>
    </row>
    <row r="81" spans="1:15" x14ac:dyDescent="0.25">
      <c r="A81" s="1">
        <v>29.7</v>
      </c>
      <c r="B81">
        <v>450</v>
      </c>
      <c r="C81">
        <v>2.6179999999999999</v>
      </c>
      <c r="L81">
        <f t="shared" si="3"/>
        <v>29.7</v>
      </c>
      <c r="M81">
        <f t="shared" si="3"/>
        <v>450</v>
      </c>
      <c r="N81">
        <f t="shared" si="4"/>
        <v>2618</v>
      </c>
      <c r="O81" t="str">
        <f t="shared" si="5"/>
        <v>&lt;Entry outShaftSpeed="29.70" torque="450.00" electricPower="2618.00"/&gt;</v>
      </c>
    </row>
    <row r="82" spans="1:15" x14ac:dyDescent="0.25">
      <c r="A82" s="1">
        <v>29.7</v>
      </c>
      <c r="B82">
        <v>495</v>
      </c>
      <c r="C82">
        <v>2.9510000000000001</v>
      </c>
      <c r="L82">
        <f t="shared" si="3"/>
        <v>29.7</v>
      </c>
      <c r="M82">
        <f t="shared" si="3"/>
        <v>495</v>
      </c>
      <c r="N82">
        <f t="shared" si="4"/>
        <v>2951</v>
      </c>
      <c r="O82" t="str">
        <f t="shared" si="5"/>
        <v>&lt;Entry outShaftSpeed="29.70" torque="495.00" electricPower="2951.00"/&gt;</v>
      </c>
    </row>
    <row r="83" spans="1:15" x14ac:dyDescent="0.25">
      <c r="A83" s="1">
        <v>29.7</v>
      </c>
      <c r="B83">
        <v>540</v>
      </c>
      <c r="C83">
        <v>3.2970000000000002</v>
      </c>
      <c r="L83">
        <f t="shared" si="3"/>
        <v>29.7</v>
      </c>
      <c r="M83">
        <f t="shared" si="3"/>
        <v>540</v>
      </c>
      <c r="N83">
        <f t="shared" si="4"/>
        <v>3297</v>
      </c>
      <c r="O83" t="str">
        <f t="shared" si="5"/>
        <v>&lt;Entry outShaftSpeed="29.70" torque="540.00" electricPower="3297.00"/&gt;</v>
      </c>
    </row>
    <row r="84" spans="1:15" x14ac:dyDescent="0.25">
      <c r="A84" s="1">
        <v>29.7</v>
      </c>
      <c r="B84">
        <v>585</v>
      </c>
      <c r="C84">
        <v>3.6560000000000001</v>
      </c>
      <c r="L84">
        <f t="shared" si="3"/>
        <v>29.7</v>
      </c>
      <c r="M84">
        <f t="shared" si="3"/>
        <v>585</v>
      </c>
      <c r="N84">
        <f t="shared" si="4"/>
        <v>3656</v>
      </c>
      <c r="O84" t="str">
        <f t="shared" si="5"/>
        <v>&lt;Entry outShaftSpeed="29.70" torque="585.00" electricPower="3656.00"/&gt;</v>
      </c>
    </row>
    <row r="85" spans="1:15" x14ac:dyDescent="0.25">
      <c r="A85" s="1">
        <v>29.7</v>
      </c>
      <c r="B85">
        <v>630</v>
      </c>
      <c r="C85">
        <v>4.0279999999999996</v>
      </c>
      <c r="L85">
        <f t="shared" si="3"/>
        <v>29.7</v>
      </c>
      <c r="M85">
        <f t="shared" si="3"/>
        <v>630</v>
      </c>
      <c r="N85">
        <f t="shared" si="4"/>
        <v>4027.9999999999995</v>
      </c>
      <c r="O85" t="str">
        <f t="shared" si="5"/>
        <v>&lt;Entry outShaftSpeed="29.70" torque="630.00" electricPower="4028.00"/&gt;</v>
      </c>
    </row>
    <row r="86" spans="1:15" x14ac:dyDescent="0.25">
      <c r="A86" s="1">
        <v>29.7</v>
      </c>
      <c r="B86">
        <v>675</v>
      </c>
      <c r="C86">
        <v>4.4130000000000003</v>
      </c>
      <c r="L86">
        <f t="shared" si="3"/>
        <v>29.7</v>
      </c>
      <c r="M86">
        <f t="shared" si="3"/>
        <v>675</v>
      </c>
      <c r="N86">
        <f t="shared" si="4"/>
        <v>4413</v>
      </c>
      <c r="O86" t="str">
        <f t="shared" si="5"/>
        <v>&lt;Entry outShaftSpeed="29.70" torque="675.00" electricPower="4413.00"/&gt;</v>
      </c>
    </row>
    <row r="87" spans="1:15" x14ac:dyDescent="0.25">
      <c r="A87" s="1">
        <v>29.7</v>
      </c>
      <c r="B87">
        <v>720</v>
      </c>
      <c r="C87">
        <v>4.8109999999999999</v>
      </c>
      <c r="L87">
        <f t="shared" si="3"/>
        <v>29.7</v>
      </c>
      <c r="M87">
        <f t="shared" si="3"/>
        <v>720</v>
      </c>
      <c r="N87">
        <f t="shared" si="4"/>
        <v>4811</v>
      </c>
      <c r="O87" t="str">
        <f t="shared" si="5"/>
        <v>&lt;Entry outShaftSpeed="29.70" torque="720.00" electricPower="4811.00"/&gt;</v>
      </c>
    </row>
    <row r="88" spans="1:15" x14ac:dyDescent="0.25">
      <c r="A88" s="1">
        <v>29.7</v>
      </c>
      <c r="B88">
        <v>765</v>
      </c>
      <c r="C88">
        <v>5.2229999999999999</v>
      </c>
      <c r="L88">
        <f t="shared" si="3"/>
        <v>29.7</v>
      </c>
      <c r="M88">
        <f t="shared" si="3"/>
        <v>765</v>
      </c>
      <c r="N88">
        <f t="shared" si="4"/>
        <v>5223</v>
      </c>
      <c r="O88" t="str">
        <f t="shared" si="5"/>
        <v>&lt;Entry outShaftSpeed="29.70" torque="765.00" electricPower="5223.00"/&gt;</v>
      </c>
    </row>
    <row r="89" spans="1:15" x14ac:dyDescent="0.25">
      <c r="A89" s="1">
        <v>29.7</v>
      </c>
      <c r="B89">
        <v>810</v>
      </c>
      <c r="C89">
        <v>5.6470000000000002</v>
      </c>
      <c r="L89">
        <f t="shared" si="3"/>
        <v>29.7</v>
      </c>
      <c r="M89">
        <f t="shared" si="3"/>
        <v>810</v>
      </c>
      <c r="N89">
        <f t="shared" si="4"/>
        <v>5647</v>
      </c>
      <c r="O89" t="str">
        <f t="shared" si="5"/>
        <v>&lt;Entry outShaftSpeed="29.70" torque="810.00" electricPower="5647.00"/&gt;</v>
      </c>
    </row>
    <row r="90" spans="1:15" x14ac:dyDescent="0.25">
      <c r="A90" s="1">
        <v>29.7</v>
      </c>
      <c r="B90">
        <v>855</v>
      </c>
      <c r="C90">
        <v>6.085</v>
      </c>
      <c r="L90">
        <f t="shared" si="3"/>
        <v>29.7</v>
      </c>
      <c r="M90">
        <f t="shared" si="3"/>
        <v>855</v>
      </c>
      <c r="N90">
        <f t="shared" si="4"/>
        <v>6085</v>
      </c>
      <c r="O90" t="str">
        <f t="shared" si="5"/>
        <v>&lt;Entry outShaftSpeed="29.70" torque="855.00" electricPower="6085.00"/&gt;</v>
      </c>
    </row>
    <row r="91" spans="1:15" x14ac:dyDescent="0.25">
      <c r="A91" s="1">
        <v>29.7</v>
      </c>
      <c r="B91">
        <v>900</v>
      </c>
      <c r="C91">
        <v>6.5359999999999996</v>
      </c>
      <c r="L91">
        <f t="shared" si="3"/>
        <v>29.7</v>
      </c>
      <c r="M91">
        <f t="shared" si="3"/>
        <v>900</v>
      </c>
      <c r="N91">
        <f t="shared" si="4"/>
        <v>6536</v>
      </c>
      <c r="O91" t="str">
        <f t="shared" si="5"/>
        <v>&lt;Entry outShaftSpeed="29.70" torque="900.00" electricPower="6536.00"/&gt;</v>
      </c>
    </row>
    <row r="92" spans="1:15" x14ac:dyDescent="0.25">
      <c r="A92" s="1">
        <v>29.7</v>
      </c>
      <c r="B92">
        <v>945</v>
      </c>
      <c r="C92">
        <v>7</v>
      </c>
      <c r="L92">
        <f t="shared" si="3"/>
        <v>29.7</v>
      </c>
      <c r="M92">
        <f t="shared" si="3"/>
        <v>945</v>
      </c>
      <c r="N92">
        <f t="shared" si="4"/>
        <v>7000</v>
      </c>
      <c r="O92" t="str">
        <f t="shared" si="5"/>
        <v>&lt;Entry outShaftSpeed="29.70" torque="945.00" electricPower="7000.00"/&gt;</v>
      </c>
    </row>
    <row r="93" spans="1:15" x14ac:dyDescent="0.25">
      <c r="A93" s="1">
        <v>29.7</v>
      </c>
      <c r="B93">
        <v>990</v>
      </c>
      <c r="C93">
        <v>7.4779999999999998</v>
      </c>
      <c r="L93">
        <f t="shared" si="3"/>
        <v>29.7</v>
      </c>
      <c r="M93">
        <f t="shared" si="3"/>
        <v>990</v>
      </c>
      <c r="N93">
        <f t="shared" si="4"/>
        <v>7478</v>
      </c>
      <c r="O93" t="str">
        <f t="shared" si="5"/>
        <v>&lt;Entry outShaftSpeed="29.70" torque="990.00" electricPower="7478.00"/&gt;</v>
      </c>
    </row>
    <row r="94" spans="1:15" x14ac:dyDescent="0.25">
      <c r="A94" s="1">
        <v>297</v>
      </c>
      <c r="B94">
        <v>-990</v>
      </c>
      <c r="C94">
        <v>-25.263999999999999</v>
      </c>
      <c r="L94">
        <f t="shared" si="3"/>
        <v>297</v>
      </c>
      <c r="M94">
        <f t="shared" si="3"/>
        <v>-990</v>
      </c>
      <c r="N94">
        <f t="shared" si="4"/>
        <v>-25264</v>
      </c>
      <c r="O94" t="str">
        <f t="shared" si="5"/>
        <v>&lt;Entry outShaftSpeed="297.00" torque="-990.00" electricPower="-25264.00"/&gt;</v>
      </c>
    </row>
    <row r="95" spans="1:15" x14ac:dyDescent="0.25">
      <c r="A95" s="1">
        <v>297</v>
      </c>
      <c r="B95">
        <v>-945</v>
      </c>
      <c r="C95">
        <v>-24.245999999999999</v>
      </c>
      <c r="L95">
        <f t="shared" si="3"/>
        <v>297</v>
      </c>
      <c r="M95">
        <f t="shared" si="3"/>
        <v>-945</v>
      </c>
      <c r="N95">
        <f t="shared" si="4"/>
        <v>-24246</v>
      </c>
      <c r="O95" t="str">
        <f t="shared" si="5"/>
        <v>&lt;Entry outShaftSpeed="297.00" torque="-945.00" electricPower="-24246.00"/&gt;</v>
      </c>
    </row>
    <row r="96" spans="1:15" x14ac:dyDescent="0.25">
      <c r="A96" s="1">
        <v>297</v>
      </c>
      <c r="B96">
        <v>-900</v>
      </c>
      <c r="C96">
        <v>-23.213999999999999</v>
      </c>
      <c r="L96">
        <f t="shared" si="3"/>
        <v>297</v>
      </c>
      <c r="M96">
        <f t="shared" si="3"/>
        <v>-900</v>
      </c>
      <c r="N96">
        <f t="shared" si="4"/>
        <v>-23214</v>
      </c>
      <c r="O96" t="str">
        <f t="shared" si="5"/>
        <v>&lt;Entry outShaftSpeed="297.00" torque="-900.00" electricPower="-23214.00"/&gt;</v>
      </c>
    </row>
    <row r="97" spans="1:15" x14ac:dyDescent="0.25">
      <c r="A97" s="1">
        <v>297</v>
      </c>
      <c r="B97">
        <v>-855</v>
      </c>
      <c r="C97">
        <v>-22.17</v>
      </c>
      <c r="L97">
        <f t="shared" si="3"/>
        <v>297</v>
      </c>
      <c r="M97">
        <f t="shared" si="3"/>
        <v>-855</v>
      </c>
      <c r="N97">
        <f t="shared" si="4"/>
        <v>-22170</v>
      </c>
      <c r="O97" t="str">
        <f t="shared" si="5"/>
        <v>&lt;Entry outShaftSpeed="297.00" torque="-855.00" electricPower="-22170.00"/&gt;</v>
      </c>
    </row>
    <row r="98" spans="1:15" x14ac:dyDescent="0.25">
      <c r="A98" s="1">
        <v>297</v>
      </c>
      <c r="B98">
        <v>-810</v>
      </c>
      <c r="C98">
        <v>-21.111999999999998</v>
      </c>
      <c r="L98">
        <f t="shared" si="3"/>
        <v>297</v>
      </c>
      <c r="M98">
        <f t="shared" si="3"/>
        <v>-810</v>
      </c>
      <c r="N98">
        <f t="shared" si="4"/>
        <v>-21112</v>
      </c>
      <c r="O98" t="str">
        <f t="shared" si="5"/>
        <v>&lt;Entry outShaftSpeed="297.00" torque="-810.00" electricPower="-21112.00"/&gt;</v>
      </c>
    </row>
    <row r="99" spans="1:15" x14ac:dyDescent="0.25">
      <c r="A99" s="1">
        <v>297</v>
      </c>
      <c r="B99">
        <v>-765</v>
      </c>
      <c r="C99">
        <v>-20.042000000000002</v>
      </c>
      <c r="L99">
        <f t="shared" si="3"/>
        <v>297</v>
      </c>
      <c r="M99">
        <f t="shared" si="3"/>
        <v>-765</v>
      </c>
      <c r="N99">
        <f t="shared" si="4"/>
        <v>-20042</v>
      </c>
      <c r="O99" t="str">
        <f t="shared" si="5"/>
        <v>&lt;Entry outShaftSpeed="297.00" torque="-765.00" electricPower="-20042.00"/&gt;</v>
      </c>
    </row>
    <row r="100" spans="1:15" x14ac:dyDescent="0.25">
      <c r="A100" s="1">
        <v>297</v>
      </c>
      <c r="B100">
        <v>-720</v>
      </c>
      <c r="C100">
        <v>-18.957999999999998</v>
      </c>
      <c r="L100">
        <f t="shared" si="3"/>
        <v>297</v>
      </c>
      <c r="M100">
        <f t="shared" si="3"/>
        <v>-720</v>
      </c>
      <c r="N100">
        <f t="shared" si="4"/>
        <v>-18958</v>
      </c>
      <c r="O100" t="str">
        <f t="shared" si="5"/>
        <v>&lt;Entry outShaftSpeed="297.00" torque="-720.00" electricPower="-18958.00"/&gt;</v>
      </c>
    </row>
    <row r="101" spans="1:15" x14ac:dyDescent="0.25">
      <c r="A101" s="1">
        <v>297</v>
      </c>
      <c r="B101">
        <v>-675</v>
      </c>
      <c r="C101">
        <v>-17.861999999999998</v>
      </c>
      <c r="L101">
        <f t="shared" si="3"/>
        <v>297</v>
      </c>
      <c r="M101">
        <f t="shared" si="3"/>
        <v>-675</v>
      </c>
      <c r="N101">
        <f t="shared" si="4"/>
        <v>-17862</v>
      </c>
      <c r="O101" t="str">
        <f t="shared" si="5"/>
        <v>&lt;Entry outShaftSpeed="297.00" torque="-675.00" electricPower="-17862.00"/&gt;</v>
      </c>
    </row>
    <row r="102" spans="1:15" x14ac:dyDescent="0.25">
      <c r="A102" s="1">
        <v>297</v>
      </c>
      <c r="B102">
        <v>-630</v>
      </c>
      <c r="C102">
        <v>-16.751999999999999</v>
      </c>
      <c r="L102">
        <f t="shared" si="3"/>
        <v>297</v>
      </c>
      <c r="M102">
        <f t="shared" si="3"/>
        <v>-630</v>
      </c>
      <c r="N102">
        <f t="shared" si="4"/>
        <v>-16752</v>
      </c>
      <c r="O102" t="str">
        <f t="shared" si="5"/>
        <v>&lt;Entry outShaftSpeed="297.00" torque="-630.00" electricPower="-16752.00"/&gt;</v>
      </c>
    </row>
    <row r="103" spans="1:15" x14ac:dyDescent="0.25">
      <c r="A103" s="1">
        <v>297</v>
      </c>
      <c r="B103">
        <v>-585</v>
      </c>
      <c r="C103">
        <v>-15.629</v>
      </c>
      <c r="L103">
        <f t="shared" si="3"/>
        <v>297</v>
      </c>
      <c r="M103">
        <f t="shared" si="3"/>
        <v>-585</v>
      </c>
      <c r="N103">
        <f t="shared" si="4"/>
        <v>-15629</v>
      </c>
      <c r="O103" t="str">
        <f t="shared" si="5"/>
        <v>&lt;Entry outShaftSpeed="297.00" torque="-585.00" electricPower="-15629.00"/&gt;</v>
      </c>
    </row>
    <row r="104" spans="1:15" x14ac:dyDescent="0.25">
      <c r="A104" s="1">
        <v>297</v>
      </c>
      <c r="B104">
        <v>-540</v>
      </c>
      <c r="C104">
        <v>-14.494</v>
      </c>
      <c r="L104">
        <f t="shared" si="3"/>
        <v>297</v>
      </c>
      <c r="M104">
        <f t="shared" si="3"/>
        <v>-540</v>
      </c>
      <c r="N104">
        <f t="shared" si="4"/>
        <v>-14494</v>
      </c>
      <c r="O104" t="str">
        <f t="shared" si="5"/>
        <v>&lt;Entry outShaftSpeed="297.00" torque="-540.00" electricPower="-14494.00"/&gt;</v>
      </c>
    </row>
    <row r="105" spans="1:15" x14ac:dyDescent="0.25">
      <c r="A105" s="1">
        <v>297</v>
      </c>
      <c r="B105">
        <v>-495</v>
      </c>
      <c r="C105">
        <v>-13.345000000000001</v>
      </c>
      <c r="L105">
        <f t="shared" si="3"/>
        <v>297</v>
      </c>
      <c r="M105">
        <f t="shared" si="3"/>
        <v>-495</v>
      </c>
      <c r="N105">
        <f t="shared" si="4"/>
        <v>-13345</v>
      </c>
      <c r="O105" t="str">
        <f t="shared" si="5"/>
        <v>&lt;Entry outShaftSpeed="297.00" torque="-495.00" electricPower="-13345.00"/&gt;</v>
      </c>
    </row>
    <row r="106" spans="1:15" x14ac:dyDescent="0.25">
      <c r="A106" s="1">
        <v>297</v>
      </c>
      <c r="B106">
        <v>-450</v>
      </c>
      <c r="C106">
        <v>-12.183</v>
      </c>
      <c r="L106">
        <f t="shared" si="3"/>
        <v>297</v>
      </c>
      <c r="M106">
        <f t="shared" si="3"/>
        <v>-450</v>
      </c>
      <c r="N106">
        <f t="shared" si="4"/>
        <v>-12183</v>
      </c>
      <c r="O106" t="str">
        <f t="shared" si="5"/>
        <v>&lt;Entry outShaftSpeed="297.00" torque="-450.00" electricPower="-12183.00"/&gt;</v>
      </c>
    </row>
    <row r="107" spans="1:15" x14ac:dyDescent="0.25">
      <c r="A107" s="1">
        <v>297</v>
      </c>
      <c r="B107">
        <v>-405</v>
      </c>
      <c r="C107">
        <v>-11.007999999999999</v>
      </c>
      <c r="L107">
        <f t="shared" si="3"/>
        <v>297</v>
      </c>
      <c r="M107">
        <f t="shared" si="3"/>
        <v>-405</v>
      </c>
      <c r="N107">
        <f t="shared" si="4"/>
        <v>-11008</v>
      </c>
      <c r="O107" t="str">
        <f t="shared" si="5"/>
        <v>&lt;Entry outShaftSpeed="297.00" torque="-405.00" electricPower="-11008.00"/&gt;</v>
      </c>
    </row>
    <row r="108" spans="1:15" x14ac:dyDescent="0.25">
      <c r="A108" s="1">
        <v>297</v>
      </c>
      <c r="B108">
        <v>-360</v>
      </c>
      <c r="C108">
        <v>-9.8209999999999997</v>
      </c>
      <c r="L108">
        <f t="shared" si="3"/>
        <v>297</v>
      </c>
      <c r="M108">
        <f t="shared" si="3"/>
        <v>-360</v>
      </c>
      <c r="N108">
        <f t="shared" si="4"/>
        <v>-9821</v>
      </c>
      <c r="O108" t="str">
        <f t="shared" si="5"/>
        <v>&lt;Entry outShaftSpeed="297.00" torque="-360.00" electricPower="-9821.00"/&gt;</v>
      </c>
    </row>
    <row r="109" spans="1:15" x14ac:dyDescent="0.25">
      <c r="A109" s="1">
        <v>297</v>
      </c>
      <c r="B109">
        <v>-315</v>
      </c>
      <c r="C109">
        <v>-8.6199999999999992</v>
      </c>
      <c r="L109">
        <f t="shared" si="3"/>
        <v>297</v>
      </c>
      <c r="M109">
        <f t="shared" si="3"/>
        <v>-315</v>
      </c>
      <c r="N109">
        <f t="shared" si="4"/>
        <v>-8620</v>
      </c>
      <c r="O109" t="str">
        <f t="shared" si="5"/>
        <v>&lt;Entry outShaftSpeed="297.00" torque="-315.00" electricPower="-8620.00"/&gt;</v>
      </c>
    </row>
    <row r="110" spans="1:15" x14ac:dyDescent="0.25">
      <c r="A110" s="1">
        <v>297</v>
      </c>
      <c r="B110">
        <v>-270</v>
      </c>
      <c r="C110">
        <v>-7.4059999999999997</v>
      </c>
      <c r="L110">
        <f t="shared" si="3"/>
        <v>297</v>
      </c>
      <c r="M110">
        <f t="shared" si="3"/>
        <v>-270</v>
      </c>
      <c r="N110">
        <f t="shared" si="4"/>
        <v>-7406</v>
      </c>
      <c r="O110" t="str">
        <f t="shared" si="5"/>
        <v>&lt;Entry outShaftSpeed="297.00" torque="-270.00" electricPower="-7406.00"/&gt;</v>
      </c>
    </row>
    <row r="111" spans="1:15" x14ac:dyDescent="0.25">
      <c r="A111" s="1">
        <v>297</v>
      </c>
      <c r="B111">
        <v>-225</v>
      </c>
      <c r="C111">
        <v>-6.1790000000000003</v>
      </c>
      <c r="L111">
        <f t="shared" si="3"/>
        <v>297</v>
      </c>
      <c r="M111">
        <f t="shared" si="3"/>
        <v>-225</v>
      </c>
      <c r="N111">
        <f t="shared" si="4"/>
        <v>-6179</v>
      </c>
      <c r="O111" t="str">
        <f t="shared" si="5"/>
        <v>&lt;Entry outShaftSpeed="297.00" torque="-225.00" electricPower="-6179.00"/&gt;</v>
      </c>
    </row>
    <row r="112" spans="1:15" x14ac:dyDescent="0.25">
      <c r="A112" s="1">
        <v>297</v>
      </c>
      <c r="B112">
        <v>-180</v>
      </c>
      <c r="C112">
        <v>-4.9390000000000001</v>
      </c>
      <c r="L112">
        <f t="shared" si="3"/>
        <v>297</v>
      </c>
      <c r="M112">
        <f t="shared" si="3"/>
        <v>-180</v>
      </c>
      <c r="N112">
        <f t="shared" si="4"/>
        <v>-4939</v>
      </c>
      <c r="O112" t="str">
        <f t="shared" si="5"/>
        <v>&lt;Entry outShaftSpeed="297.00" torque="-180.00" electricPower="-4939.00"/&gt;</v>
      </c>
    </row>
    <row r="113" spans="1:15" x14ac:dyDescent="0.25">
      <c r="A113" s="1">
        <v>297</v>
      </c>
      <c r="B113">
        <v>-135</v>
      </c>
      <c r="C113">
        <v>-3.6859999999999999</v>
      </c>
      <c r="L113">
        <f t="shared" si="3"/>
        <v>297</v>
      </c>
      <c r="M113">
        <f t="shared" si="3"/>
        <v>-135</v>
      </c>
      <c r="N113">
        <f t="shared" si="4"/>
        <v>-3686</v>
      </c>
      <c r="O113" t="str">
        <f t="shared" si="5"/>
        <v>&lt;Entry outShaftSpeed="297.00" torque="-135.00" electricPower="-3686.00"/&gt;</v>
      </c>
    </row>
    <row r="114" spans="1:15" x14ac:dyDescent="0.25">
      <c r="A114" s="1">
        <v>297</v>
      </c>
      <c r="B114">
        <v>-90</v>
      </c>
      <c r="C114">
        <v>-2.42</v>
      </c>
      <c r="L114">
        <f t="shared" si="3"/>
        <v>297</v>
      </c>
      <c r="M114">
        <f t="shared" si="3"/>
        <v>-90</v>
      </c>
      <c r="N114">
        <f t="shared" si="4"/>
        <v>-2420</v>
      </c>
      <c r="O114" t="str">
        <f t="shared" si="5"/>
        <v>&lt;Entry outShaftSpeed="297.00" torque="-90.00" electricPower="-2420.00"/&gt;</v>
      </c>
    </row>
    <row r="115" spans="1:15" x14ac:dyDescent="0.25">
      <c r="A115" s="1">
        <v>297</v>
      </c>
      <c r="B115">
        <v>-45</v>
      </c>
      <c r="C115">
        <v>-1.141</v>
      </c>
      <c r="L115">
        <f t="shared" si="3"/>
        <v>297</v>
      </c>
      <c r="M115">
        <f t="shared" si="3"/>
        <v>-45</v>
      </c>
      <c r="N115">
        <f t="shared" si="4"/>
        <v>-1141</v>
      </c>
      <c r="O115" t="str">
        <f t="shared" si="5"/>
        <v>&lt;Entry outShaftSpeed="297.00" torque="-45.00" electricPower="-1141.00"/&gt;</v>
      </c>
    </row>
    <row r="116" spans="1:15" x14ac:dyDescent="0.25">
      <c r="A116" s="1">
        <v>297</v>
      </c>
      <c r="B116">
        <v>-9</v>
      </c>
      <c r="C116">
        <v>-0.108</v>
      </c>
      <c r="L116">
        <f t="shared" si="3"/>
        <v>297</v>
      </c>
      <c r="M116">
        <f t="shared" si="3"/>
        <v>-9</v>
      </c>
      <c r="N116">
        <f t="shared" si="4"/>
        <v>-108</v>
      </c>
      <c r="O116" t="str">
        <f t="shared" si="5"/>
        <v>&lt;Entry outShaftSpeed="297.00" torque="-9.00" electricPower="-108.00"/&gt;</v>
      </c>
    </row>
    <row r="117" spans="1:15" x14ac:dyDescent="0.25">
      <c r="A117" s="1">
        <v>297</v>
      </c>
      <c r="B117">
        <v>9</v>
      </c>
      <c r="C117">
        <v>0.46500000000000002</v>
      </c>
      <c r="L117">
        <f t="shared" si="3"/>
        <v>297</v>
      </c>
      <c r="M117">
        <f t="shared" si="3"/>
        <v>9</v>
      </c>
      <c r="N117">
        <f t="shared" si="4"/>
        <v>465</v>
      </c>
      <c r="O117" t="str">
        <f t="shared" si="5"/>
        <v>&lt;Entry outShaftSpeed="297.00" torque="9.00" electricPower="465.00"/&gt;</v>
      </c>
    </row>
    <row r="118" spans="1:15" x14ac:dyDescent="0.25">
      <c r="A118" s="1">
        <v>297</v>
      </c>
      <c r="B118">
        <v>45</v>
      </c>
      <c r="C118">
        <v>1.6779999999999999</v>
      </c>
      <c r="L118">
        <f t="shared" si="3"/>
        <v>297</v>
      </c>
      <c r="M118">
        <f t="shared" si="3"/>
        <v>45</v>
      </c>
      <c r="N118">
        <f t="shared" si="4"/>
        <v>1678</v>
      </c>
      <c r="O118" t="str">
        <f t="shared" si="5"/>
        <v>&lt;Entry outShaftSpeed="297.00" torque="45.00" electricPower="1678.00"/&gt;</v>
      </c>
    </row>
    <row r="119" spans="1:15" x14ac:dyDescent="0.25">
      <c r="A119" s="1">
        <v>297</v>
      </c>
      <c r="B119">
        <v>90</v>
      </c>
      <c r="C119">
        <v>3.206</v>
      </c>
      <c r="L119">
        <f t="shared" si="3"/>
        <v>297</v>
      </c>
      <c r="M119">
        <f t="shared" si="3"/>
        <v>90</v>
      </c>
      <c r="N119">
        <f t="shared" si="4"/>
        <v>3206</v>
      </c>
      <c r="O119" t="str">
        <f t="shared" si="5"/>
        <v>&lt;Entry outShaftSpeed="297.00" torque="90.00" electricPower="3206.00"/&gt;</v>
      </c>
    </row>
    <row r="120" spans="1:15" x14ac:dyDescent="0.25">
      <c r="A120" s="1">
        <v>297</v>
      </c>
      <c r="B120">
        <v>135</v>
      </c>
      <c r="C120">
        <v>4.7480000000000002</v>
      </c>
      <c r="L120">
        <f t="shared" si="3"/>
        <v>297</v>
      </c>
      <c r="M120">
        <f t="shared" si="3"/>
        <v>135</v>
      </c>
      <c r="N120">
        <f t="shared" si="4"/>
        <v>4748</v>
      </c>
      <c r="O120" t="str">
        <f t="shared" si="5"/>
        <v>&lt;Entry outShaftSpeed="297.00" torque="135.00" electricPower="4748.00"/&gt;</v>
      </c>
    </row>
    <row r="121" spans="1:15" x14ac:dyDescent="0.25">
      <c r="A121" s="1">
        <v>297</v>
      </c>
      <c r="B121">
        <v>180</v>
      </c>
      <c r="C121">
        <v>6.3040000000000003</v>
      </c>
      <c r="L121">
        <f t="shared" si="3"/>
        <v>297</v>
      </c>
      <c r="M121">
        <f t="shared" si="3"/>
        <v>180</v>
      </c>
      <c r="N121">
        <f t="shared" si="4"/>
        <v>6304</v>
      </c>
      <c r="O121" t="str">
        <f t="shared" si="5"/>
        <v>&lt;Entry outShaftSpeed="297.00" torque="180.00" electricPower="6304.00"/&gt;</v>
      </c>
    </row>
    <row r="122" spans="1:15" x14ac:dyDescent="0.25">
      <c r="A122" s="1">
        <v>297</v>
      </c>
      <c r="B122">
        <v>225</v>
      </c>
      <c r="C122">
        <v>7.8739999999999997</v>
      </c>
      <c r="L122">
        <f t="shared" si="3"/>
        <v>297</v>
      </c>
      <c r="M122">
        <f t="shared" si="3"/>
        <v>225</v>
      </c>
      <c r="N122">
        <f t="shared" si="4"/>
        <v>7874</v>
      </c>
      <c r="O122" t="str">
        <f t="shared" si="5"/>
        <v>&lt;Entry outShaftSpeed="297.00" torque="225.00" electricPower="7874.00"/&gt;</v>
      </c>
    </row>
    <row r="123" spans="1:15" x14ac:dyDescent="0.25">
      <c r="A123" s="1">
        <v>297</v>
      </c>
      <c r="B123">
        <v>270</v>
      </c>
      <c r="C123">
        <v>9.4589999999999996</v>
      </c>
      <c r="L123">
        <f t="shared" si="3"/>
        <v>297</v>
      </c>
      <c r="M123">
        <f t="shared" si="3"/>
        <v>270</v>
      </c>
      <c r="N123">
        <f t="shared" si="4"/>
        <v>9459</v>
      </c>
      <c r="O123" t="str">
        <f t="shared" si="5"/>
        <v>&lt;Entry outShaftSpeed="297.00" torque="270.00" electricPower="9459.00"/&gt;</v>
      </c>
    </row>
    <row r="124" spans="1:15" x14ac:dyDescent="0.25">
      <c r="A124" s="1">
        <v>297</v>
      </c>
      <c r="B124">
        <v>315</v>
      </c>
      <c r="C124">
        <v>11.057</v>
      </c>
      <c r="L124">
        <f t="shared" si="3"/>
        <v>297</v>
      </c>
      <c r="M124">
        <f t="shared" si="3"/>
        <v>315</v>
      </c>
      <c r="N124">
        <f t="shared" si="4"/>
        <v>11057</v>
      </c>
      <c r="O124" t="str">
        <f t="shared" si="5"/>
        <v>&lt;Entry outShaftSpeed="297.00" torque="315.00" electricPower="11057.00"/&gt;</v>
      </c>
    </row>
    <row r="125" spans="1:15" x14ac:dyDescent="0.25">
      <c r="A125" s="1">
        <v>297</v>
      </c>
      <c r="B125">
        <v>360</v>
      </c>
      <c r="C125">
        <v>12.67</v>
      </c>
      <c r="L125">
        <f t="shared" si="3"/>
        <v>297</v>
      </c>
      <c r="M125">
        <f t="shared" si="3"/>
        <v>360</v>
      </c>
      <c r="N125">
        <f t="shared" si="4"/>
        <v>12670</v>
      </c>
      <c r="O125" t="str">
        <f t="shared" si="5"/>
        <v>&lt;Entry outShaftSpeed="297.00" torque="360.00" electricPower="12670.00"/&gt;</v>
      </c>
    </row>
    <row r="126" spans="1:15" x14ac:dyDescent="0.25">
      <c r="A126" s="1">
        <v>297</v>
      </c>
      <c r="B126">
        <v>405</v>
      </c>
      <c r="C126">
        <v>14.297000000000001</v>
      </c>
      <c r="L126">
        <f t="shared" si="3"/>
        <v>297</v>
      </c>
      <c r="M126">
        <f t="shared" si="3"/>
        <v>405</v>
      </c>
      <c r="N126">
        <f t="shared" si="4"/>
        <v>14297</v>
      </c>
      <c r="O126" t="str">
        <f t="shared" si="5"/>
        <v>&lt;Entry outShaftSpeed="297.00" torque="405.00" electricPower="14297.00"/&gt;</v>
      </c>
    </row>
    <row r="127" spans="1:15" x14ac:dyDescent="0.25">
      <c r="A127" s="1">
        <v>297</v>
      </c>
      <c r="B127">
        <v>450</v>
      </c>
      <c r="C127">
        <v>15.938000000000001</v>
      </c>
      <c r="L127">
        <f t="shared" si="3"/>
        <v>297</v>
      </c>
      <c r="M127">
        <f t="shared" si="3"/>
        <v>450</v>
      </c>
      <c r="N127">
        <f t="shared" si="4"/>
        <v>15938</v>
      </c>
      <c r="O127" t="str">
        <f t="shared" si="5"/>
        <v>&lt;Entry outShaftSpeed="297.00" torque="450.00" electricPower="15938.00"/&gt;</v>
      </c>
    </row>
    <row r="128" spans="1:15" x14ac:dyDescent="0.25">
      <c r="A128" s="1">
        <v>297</v>
      </c>
      <c r="B128">
        <v>495</v>
      </c>
      <c r="C128">
        <v>17.594000000000001</v>
      </c>
      <c r="L128">
        <f t="shared" si="3"/>
        <v>297</v>
      </c>
      <c r="M128">
        <f t="shared" si="3"/>
        <v>495</v>
      </c>
      <c r="N128">
        <f t="shared" si="4"/>
        <v>17594</v>
      </c>
      <c r="O128" t="str">
        <f t="shared" si="5"/>
        <v>&lt;Entry outShaftSpeed="297.00" torque="495.00" electricPower="17594.00"/&gt;</v>
      </c>
    </row>
    <row r="129" spans="1:15" x14ac:dyDescent="0.25">
      <c r="A129" s="1">
        <v>297</v>
      </c>
      <c r="B129">
        <v>540</v>
      </c>
      <c r="C129">
        <v>19.263000000000002</v>
      </c>
      <c r="L129">
        <f t="shared" si="3"/>
        <v>297</v>
      </c>
      <c r="M129">
        <f t="shared" si="3"/>
        <v>540</v>
      </c>
      <c r="N129">
        <f t="shared" si="4"/>
        <v>19263</v>
      </c>
      <c r="O129" t="str">
        <f t="shared" si="5"/>
        <v>&lt;Entry outShaftSpeed="297.00" torque="540.00" electricPower="19263.00"/&gt;</v>
      </c>
    </row>
    <row r="130" spans="1:15" x14ac:dyDescent="0.25">
      <c r="A130" s="1">
        <v>297</v>
      </c>
      <c r="B130">
        <v>585</v>
      </c>
      <c r="C130">
        <v>20.946000000000002</v>
      </c>
      <c r="L130">
        <f t="shared" si="3"/>
        <v>297</v>
      </c>
      <c r="M130">
        <f t="shared" si="3"/>
        <v>585</v>
      </c>
      <c r="N130">
        <f t="shared" si="4"/>
        <v>20946</v>
      </c>
      <c r="O130" t="str">
        <f t="shared" si="5"/>
        <v>&lt;Entry outShaftSpeed="297.00" torque="585.00" electricPower="20946.00"/&gt;</v>
      </c>
    </row>
    <row r="131" spans="1:15" x14ac:dyDescent="0.25">
      <c r="A131" s="1">
        <v>297</v>
      </c>
      <c r="B131">
        <v>630</v>
      </c>
      <c r="C131">
        <v>22.643999999999998</v>
      </c>
      <c r="L131">
        <f t="shared" ref="L131:M194" si="6">A131</f>
        <v>297</v>
      </c>
      <c r="M131">
        <f t="shared" si="6"/>
        <v>630</v>
      </c>
      <c r="N131">
        <f t="shared" ref="N131:N194" si="7">C131*1000</f>
        <v>22644</v>
      </c>
      <c r="O131" t="str">
        <f t="shared" ref="O131:O194" si="8">"&lt;Entry outShaftSpeed="""&amp;TEXT(ROUND(L131,2),"#0.00")&amp;""" torque=""" &amp; TEXT(ROUND(M131,2),"#0.00") &amp; """ electricPower="""&amp;TEXT(ROUND(N131,2),"#0.00") &amp;  """/&gt;"</f>
        <v>&lt;Entry outShaftSpeed="297.00" torque="630.00" electricPower="22644.00"/&gt;</v>
      </c>
    </row>
    <row r="132" spans="1:15" x14ac:dyDescent="0.25">
      <c r="A132" s="1">
        <v>297</v>
      </c>
      <c r="B132">
        <v>675</v>
      </c>
      <c r="C132">
        <v>24.356000000000002</v>
      </c>
      <c r="L132">
        <f t="shared" si="6"/>
        <v>297</v>
      </c>
      <c r="M132">
        <f t="shared" si="6"/>
        <v>675</v>
      </c>
      <c r="N132">
        <f t="shared" si="7"/>
        <v>24356</v>
      </c>
      <c r="O132" t="str">
        <f t="shared" si="8"/>
        <v>&lt;Entry outShaftSpeed="297.00" torque="675.00" electricPower="24356.00"/&gt;</v>
      </c>
    </row>
    <row r="133" spans="1:15" x14ac:dyDescent="0.25">
      <c r="A133" s="1">
        <v>297</v>
      </c>
      <c r="B133">
        <v>720</v>
      </c>
      <c r="C133">
        <v>26.082000000000001</v>
      </c>
      <c r="L133">
        <f t="shared" si="6"/>
        <v>297</v>
      </c>
      <c r="M133">
        <f t="shared" si="6"/>
        <v>720</v>
      </c>
      <c r="N133">
        <f t="shared" si="7"/>
        <v>26082</v>
      </c>
      <c r="O133" t="str">
        <f t="shared" si="8"/>
        <v>&lt;Entry outShaftSpeed="297.00" torque="720.00" electricPower="26082.00"/&gt;</v>
      </c>
    </row>
    <row r="134" spans="1:15" x14ac:dyDescent="0.25">
      <c r="A134" s="1">
        <v>297</v>
      </c>
      <c r="B134">
        <v>765</v>
      </c>
      <c r="C134">
        <v>27.821999999999999</v>
      </c>
      <c r="L134">
        <f t="shared" si="6"/>
        <v>297</v>
      </c>
      <c r="M134">
        <f t="shared" si="6"/>
        <v>765</v>
      </c>
      <c r="N134">
        <f t="shared" si="7"/>
        <v>27822</v>
      </c>
      <c r="O134" t="str">
        <f t="shared" si="8"/>
        <v>&lt;Entry outShaftSpeed="297.00" torque="765.00" electricPower="27822.00"/&gt;</v>
      </c>
    </row>
    <row r="135" spans="1:15" x14ac:dyDescent="0.25">
      <c r="A135" s="1">
        <v>297</v>
      </c>
      <c r="B135">
        <v>810</v>
      </c>
      <c r="C135">
        <v>29.576000000000001</v>
      </c>
      <c r="L135">
        <f t="shared" si="6"/>
        <v>297</v>
      </c>
      <c r="M135">
        <f t="shared" si="6"/>
        <v>810</v>
      </c>
      <c r="N135">
        <f t="shared" si="7"/>
        <v>29576</v>
      </c>
      <c r="O135" t="str">
        <f t="shared" si="8"/>
        <v>&lt;Entry outShaftSpeed="297.00" torque="810.00" electricPower="29576.00"/&gt;</v>
      </c>
    </row>
    <row r="136" spans="1:15" x14ac:dyDescent="0.25">
      <c r="A136" s="1">
        <v>297</v>
      </c>
      <c r="B136">
        <v>855</v>
      </c>
      <c r="C136">
        <v>31.344000000000001</v>
      </c>
      <c r="L136">
        <f t="shared" si="6"/>
        <v>297</v>
      </c>
      <c r="M136">
        <f t="shared" si="6"/>
        <v>855</v>
      </c>
      <c r="N136">
        <f t="shared" si="7"/>
        <v>31344</v>
      </c>
      <c r="O136" t="str">
        <f t="shared" si="8"/>
        <v>&lt;Entry outShaftSpeed="297.00" torque="855.00" electricPower="31344.00"/&gt;</v>
      </c>
    </row>
    <row r="137" spans="1:15" x14ac:dyDescent="0.25">
      <c r="A137" s="1">
        <v>297</v>
      </c>
      <c r="B137">
        <v>900</v>
      </c>
      <c r="C137">
        <v>33.127000000000002</v>
      </c>
      <c r="L137">
        <f t="shared" si="6"/>
        <v>297</v>
      </c>
      <c r="M137">
        <f t="shared" si="6"/>
        <v>900</v>
      </c>
      <c r="N137">
        <f t="shared" si="7"/>
        <v>33127</v>
      </c>
      <c r="O137" t="str">
        <f t="shared" si="8"/>
        <v>&lt;Entry outShaftSpeed="297.00" torque="900.00" electricPower="33127.00"/&gt;</v>
      </c>
    </row>
    <row r="138" spans="1:15" x14ac:dyDescent="0.25">
      <c r="A138" s="1">
        <v>297</v>
      </c>
      <c r="B138">
        <v>945</v>
      </c>
      <c r="C138">
        <v>34.923999999999999</v>
      </c>
      <c r="L138">
        <f t="shared" si="6"/>
        <v>297</v>
      </c>
      <c r="M138">
        <f t="shared" si="6"/>
        <v>945</v>
      </c>
      <c r="N138">
        <f t="shared" si="7"/>
        <v>34924</v>
      </c>
      <c r="O138" t="str">
        <f t="shared" si="8"/>
        <v>&lt;Entry outShaftSpeed="297.00" torque="945.00" electricPower="34924.00"/&gt;</v>
      </c>
    </row>
    <row r="139" spans="1:15" x14ac:dyDescent="0.25">
      <c r="A139" s="1">
        <v>297</v>
      </c>
      <c r="B139">
        <v>990</v>
      </c>
      <c r="C139">
        <v>36.734000000000002</v>
      </c>
      <c r="L139">
        <f t="shared" si="6"/>
        <v>297</v>
      </c>
      <c r="M139">
        <f t="shared" si="6"/>
        <v>990</v>
      </c>
      <c r="N139">
        <f t="shared" si="7"/>
        <v>36734</v>
      </c>
      <c r="O139" t="str">
        <f t="shared" si="8"/>
        <v>&lt;Entry outShaftSpeed="297.00" torque="990.00" electricPower="36734.00"/&gt;</v>
      </c>
    </row>
    <row r="140" spans="1:15" x14ac:dyDescent="0.25">
      <c r="A140" s="1">
        <v>594</v>
      </c>
      <c r="B140">
        <v>-990</v>
      </c>
      <c r="C140">
        <v>-54.008000000000003</v>
      </c>
      <c r="L140">
        <f t="shared" si="6"/>
        <v>594</v>
      </c>
      <c r="M140">
        <f t="shared" si="6"/>
        <v>-990</v>
      </c>
      <c r="N140">
        <f t="shared" si="7"/>
        <v>-54008</v>
      </c>
      <c r="O140" t="str">
        <f t="shared" si="8"/>
        <v>&lt;Entry outShaftSpeed="594.00" torque="-990.00" electricPower="-54008.00"/&gt;</v>
      </c>
    </row>
    <row r="141" spans="1:15" x14ac:dyDescent="0.25">
      <c r="A141" s="1">
        <v>594</v>
      </c>
      <c r="B141">
        <v>-945</v>
      </c>
      <c r="C141">
        <v>-51.701000000000001</v>
      </c>
      <c r="L141">
        <f t="shared" si="6"/>
        <v>594</v>
      </c>
      <c r="M141">
        <f t="shared" si="6"/>
        <v>-945</v>
      </c>
      <c r="N141">
        <f t="shared" si="7"/>
        <v>-51701</v>
      </c>
      <c r="O141" t="str">
        <f t="shared" si="8"/>
        <v>&lt;Entry outShaftSpeed="594.00" torque="-945.00" electricPower="-51701.00"/&gt;</v>
      </c>
    </row>
    <row r="142" spans="1:15" x14ac:dyDescent="0.25">
      <c r="A142" s="1">
        <v>594</v>
      </c>
      <c r="B142">
        <v>-900</v>
      </c>
      <c r="C142">
        <v>-49.378</v>
      </c>
      <c r="L142">
        <f t="shared" si="6"/>
        <v>594</v>
      </c>
      <c r="M142">
        <f t="shared" si="6"/>
        <v>-900</v>
      </c>
      <c r="N142">
        <f t="shared" si="7"/>
        <v>-49378</v>
      </c>
      <c r="O142" t="str">
        <f t="shared" si="8"/>
        <v>&lt;Entry outShaftSpeed="594.00" torque="-900.00" electricPower="-49378.00"/&gt;</v>
      </c>
    </row>
    <row r="143" spans="1:15" x14ac:dyDescent="0.25">
      <c r="A143" s="1">
        <v>594</v>
      </c>
      <c r="B143">
        <v>-855</v>
      </c>
      <c r="C143">
        <v>-47.04</v>
      </c>
      <c r="L143">
        <f t="shared" si="6"/>
        <v>594</v>
      </c>
      <c r="M143">
        <f t="shared" si="6"/>
        <v>-855</v>
      </c>
      <c r="N143">
        <f t="shared" si="7"/>
        <v>-47040</v>
      </c>
      <c r="O143" t="str">
        <f t="shared" si="8"/>
        <v>&lt;Entry outShaftSpeed="594.00" torque="-855.00" electricPower="-47040.00"/&gt;</v>
      </c>
    </row>
    <row r="144" spans="1:15" x14ac:dyDescent="0.25">
      <c r="A144" s="1">
        <v>594</v>
      </c>
      <c r="B144">
        <v>-810</v>
      </c>
      <c r="C144">
        <v>-44.686</v>
      </c>
      <c r="L144">
        <f t="shared" si="6"/>
        <v>594</v>
      </c>
      <c r="M144">
        <f t="shared" si="6"/>
        <v>-810</v>
      </c>
      <c r="N144">
        <f t="shared" si="7"/>
        <v>-44686</v>
      </c>
      <c r="O144" t="str">
        <f t="shared" si="8"/>
        <v>&lt;Entry outShaftSpeed="594.00" torque="-810.00" electricPower="-44686.00"/&gt;</v>
      </c>
    </row>
    <row r="145" spans="1:15" x14ac:dyDescent="0.25">
      <c r="A145" s="1">
        <v>594</v>
      </c>
      <c r="B145">
        <v>-765</v>
      </c>
      <c r="C145">
        <v>-42.317</v>
      </c>
      <c r="L145">
        <f t="shared" si="6"/>
        <v>594</v>
      </c>
      <c r="M145">
        <f t="shared" si="6"/>
        <v>-765</v>
      </c>
      <c r="N145">
        <f t="shared" si="7"/>
        <v>-42317</v>
      </c>
      <c r="O145" t="str">
        <f t="shared" si="8"/>
        <v>&lt;Entry outShaftSpeed="594.00" torque="-765.00" electricPower="-42317.00"/&gt;</v>
      </c>
    </row>
    <row r="146" spans="1:15" x14ac:dyDescent="0.25">
      <c r="A146" s="1">
        <v>594</v>
      </c>
      <c r="B146">
        <v>-720</v>
      </c>
      <c r="C146">
        <v>-39.932000000000002</v>
      </c>
      <c r="L146">
        <f t="shared" si="6"/>
        <v>594</v>
      </c>
      <c r="M146">
        <f t="shared" si="6"/>
        <v>-720</v>
      </c>
      <c r="N146">
        <f t="shared" si="7"/>
        <v>-39932</v>
      </c>
      <c r="O146" t="str">
        <f t="shared" si="8"/>
        <v>&lt;Entry outShaftSpeed="594.00" torque="-720.00" electricPower="-39932.00"/&gt;</v>
      </c>
    </row>
    <row r="147" spans="1:15" x14ac:dyDescent="0.25">
      <c r="A147" s="1">
        <v>594</v>
      </c>
      <c r="B147">
        <v>-675</v>
      </c>
      <c r="C147">
        <v>-37.530999999999999</v>
      </c>
      <c r="L147">
        <f t="shared" si="6"/>
        <v>594</v>
      </c>
      <c r="M147">
        <f t="shared" si="6"/>
        <v>-675</v>
      </c>
      <c r="N147">
        <f t="shared" si="7"/>
        <v>-37531</v>
      </c>
      <c r="O147" t="str">
        <f t="shared" si="8"/>
        <v>&lt;Entry outShaftSpeed="594.00" torque="-675.00" electricPower="-37531.00"/&gt;</v>
      </c>
    </row>
    <row r="148" spans="1:15" x14ac:dyDescent="0.25">
      <c r="A148" s="1">
        <v>594</v>
      </c>
      <c r="B148">
        <v>-630</v>
      </c>
      <c r="C148">
        <v>-35.115000000000002</v>
      </c>
      <c r="L148">
        <f t="shared" si="6"/>
        <v>594</v>
      </c>
      <c r="M148">
        <f t="shared" si="6"/>
        <v>-630</v>
      </c>
      <c r="N148">
        <f t="shared" si="7"/>
        <v>-35115</v>
      </c>
      <c r="O148" t="str">
        <f t="shared" si="8"/>
        <v>&lt;Entry outShaftSpeed="594.00" torque="-630.00" electricPower="-35115.00"/&gt;</v>
      </c>
    </row>
    <row r="149" spans="1:15" x14ac:dyDescent="0.25">
      <c r="A149" s="1">
        <v>594</v>
      </c>
      <c r="B149">
        <v>-585</v>
      </c>
      <c r="C149">
        <v>-32.683</v>
      </c>
      <c r="L149">
        <f t="shared" si="6"/>
        <v>594</v>
      </c>
      <c r="M149">
        <f t="shared" si="6"/>
        <v>-585</v>
      </c>
      <c r="N149">
        <f t="shared" si="7"/>
        <v>-32683</v>
      </c>
      <c r="O149" t="str">
        <f t="shared" si="8"/>
        <v>&lt;Entry outShaftSpeed="594.00" torque="-585.00" electricPower="-32683.00"/&gt;</v>
      </c>
    </row>
    <row r="150" spans="1:15" x14ac:dyDescent="0.25">
      <c r="A150" s="1">
        <v>594</v>
      </c>
      <c r="B150">
        <v>-540</v>
      </c>
      <c r="C150">
        <v>-30.236000000000001</v>
      </c>
      <c r="L150">
        <f t="shared" si="6"/>
        <v>594</v>
      </c>
      <c r="M150">
        <f t="shared" si="6"/>
        <v>-540</v>
      </c>
      <c r="N150">
        <f t="shared" si="7"/>
        <v>-30236</v>
      </c>
      <c r="O150" t="str">
        <f t="shared" si="8"/>
        <v>&lt;Entry outShaftSpeed="594.00" torque="-540.00" electricPower="-30236.00"/&gt;</v>
      </c>
    </row>
    <row r="151" spans="1:15" x14ac:dyDescent="0.25">
      <c r="A151" s="1">
        <v>594</v>
      </c>
      <c r="B151">
        <v>-495</v>
      </c>
      <c r="C151">
        <v>-27.773</v>
      </c>
      <c r="L151">
        <f t="shared" si="6"/>
        <v>594</v>
      </c>
      <c r="M151">
        <f t="shared" si="6"/>
        <v>-495</v>
      </c>
      <c r="N151">
        <f t="shared" si="7"/>
        <v>-27773</v>
      </c>
      <c r="O151" t="str">
        <f t="shared" si="8"/>
        <v>&lt;Entry outShaftSpeed="594.00" torque="-495.00" electricPower="-27773.00"/&gt;</v>
      </c>
    </row>
    <row r="152" spans="1:15" x14ac:dyDescent="0.25">
      <c r="A152" s="1">
        <v>594</v>
      </c>
      <c r="B152">
        <v>-450</v>
      </c>
      <c r="C152">
        <v>-25.294</v>
      </c>
      <c r="L152">
        <f t="shared" si="6"/>
        <v>594</v>
      </c>
      <c r="M152">
        <f t="shared" si="6"/>
        <v>-450</v>
      </c>
      <c r="N152">
        <f t="shared" si="7"/>
        <v>-25294</v>
      </c>
      <c r="O152" t="str">
        <f t="shared" si="8"/>
        <v>&lt;Entry outShaftSpeed="594.00" torque="-450.00" electricPower="-25294.00"/&gt;</v>
      </c>
    </row>
    <row r="153" spans="1:15" x14ac:dyDescent="0.25">
      <c r="A153" s="1">
        <v>594</v>
      </c>
      <c r="B153">
        <v>-405</v>
      </c>
      <c r="C153">
        <v>-22.8</v>
      </c>
      <c r="L153">
        <f t="shared" si="6"/>
        <v>594</v>
      </c>
      <c r="M153">
        <f t="shared" si="6"/>
        <v>-405</v>
      </c>
      <c r="N153">
        <f t="shared" si="7"/>
        <v>-22800</v>
      </c>
      <c r="O153" t="str">
        <f t="shared" si="8"/>
        <v>&lt;Entry outShaftSpeed="594.00" torque="-405.00" electricPower="-22800.00"/&gt;</v>
      </c>
    </row>
    <row r="154" spans="1:15" x14ac:dyDescent="0.25">
      <c r="A154" s="1">
        <v>594</v>
      </c>
      <c r="B154">
        <v>-360</v>
      </c>
      <c r="C154">
        <v>-20.29</v>
      </c>
      <c r="L154">
        <f t="shared" si="6"/>
        <v>594</v>
      </c>
      <c r="M154">
        <f t="shared" si="6"/>
        <v>-360</v>
      </c>
      <c r="N154">
        <f t="shared" si="7"/>
        <v>-20290</v>
      </c>
      <c r="O154" t="str">
        <f t="shared" si="8"/>
        <v>&lt;Entry outShaftSpeed="594.00" torque="-360.00" electricPower="-20290.00"/&gt;</v>
      </c>
    </row>
    <row r="155" spans="1:15" x14ac:dyDescent="0.25">
      <c r="A155" s="1">
        <v>594</v>
      </c>
      <c r="B155">
        <v>-315</v>
      </c>
      <c r="C155">
        <v>-17.765000000000001</v>
      </c>
      <c r="L155">
        <f t="shared" si="6"/>
        <v>594</v>
      </c>
      <c r="M155">
        <f t="shared" si="6"/>
        <v>-315</v>
      </c>
      <c r="N155">
        <f t="shared" si="7"/>
        <v>-17765</v>
      </c>
      <c r="O155" t="str">
        <f t="shared" si="8"/>
        <v>&lt;Entry outShaftSpeed="594.00" torque="-315.00" electricPower="-17765.00"/&gt;</v>
      </c>
    </row>
    <row r="156" spans="1:15" x14ac:dyDescent="0.25">
      <c r="A156" s="1">
        <v>594</v>
      </c>
      <c r="B156">
        <v>-270</v>
      </c>
      <c r="C156">
        <v>-15.224</v>
      </c>
      <c r="L156">
        <f t="shared" si="6"/>
        <v>594</v>
      </c>
      <c r="M156">
        <f t="shared" si="6"/>
        <v>-270</v>
      </c>
      <c r="N156">
        <f t="shared" si="7"/>
        <v>-15224</v>
      </c>
      <c r="O156" t="str">
        <f t="shared" si="8"/>
        <v>&lt;Entry outShaftSpeed="594.00" torque="-270.00" electricPower="-15224.00"/&gt;</v>
      </c>
    </row>
    <row r="157" spans="1:15" x14ac:dyDescent="0.25">
      <c r="A157" s="1">
        <v>594</v>
      </c>
      <c r="B157">
        <v>-225</v>
      </c>
      <c r="C157">
        <v>-12.667999999999999</v>
      </c>
      <c r="L157">
        <f t="shared" si="6"/>
        <v>594</v>
      </c>
      <c r="M157">
        <f t="shared" si="6"/>
        <v>-225</v>
      </c>
      <c r="N157">
        <f t="shared" si="7"/>
        <v>-12668</v>
      </c>
      <c r="O157" t="str">
        <f t="shared" si="8"/>
        <v>&lt;Entry outShaftSpeed="594.00" torque="-225.00" electricPower="-12668.00"/&gt;</v>
      </c>
    </row>
    <row r="158" spans="1:15" x14ac:dyDescent="0.25">
      <c r="A158" s="1">
        <v>594</v>
      </c>
      <c r="B158">
        <v>-180</v>
      </c>
      <c r="C158">
        <v>-10.096</v>
      </c>
      <c r="L158">
        <f t="shared" si="6"/>
        <v>594</v>
      </c>
      <c r="M158">
        <f t="shared" si="6"/>
        <v>-180</v>
      </c>
      <c r="N158">
        <f t="shared" si="7"/>
        <v>-10096</v>
      </c>
      <c r="O158" t="str">
        <f t="shared" si="8"/>
        <v>&lt;Entry outShaftSpeed="594.00" torque="-180.00" electricPower="-10096.00"/&gt;</v>
      </c>
    </row>
    <row r="159" spans="1:15" x14ac:dyDescent="0.25">
      <c r="A159" s="1">
        <v>594</v>
      </c>
      <c r="B159">
        <v>-135</v>
      </c>
      <c r="C159">
        <v>-7.508</v>
      </c>
      <c r="L159">
        <f t="shared" si="6"/>
        <v>594</v>
      </c>
      <c r="M159">
        <f t="shared" si="6"/>
        <v>-135</v>
      </c>
      <c r="N159">
        <f t="shared" si="7"/>
        <v>-7508</v>
      </c>
      <c r="O159" t="str">
        <f t="shared" si="8"/>
        <v>&lt;Entry outShaftSpeed="594.00" torque="-135.00" electricPower="-7508.00"/&gt;</v>
      </c>
    </row>
    <row r="160" spans="1:15" x14ac:dyDescent="0.25">
      <c r="A160" s="1">
        <v>594</v>
      </c>
      <c r="B160">
        <v>-90</v>
      </c>
      <c r="C160">
        <v>-4.9050000000000002</v>
      </c>
      <c r="L160">
        <f t="shared" si="6"/>
        <v>594</v>
      </c>
      <c r="M160">
        <f t="shared" si="6"/>
        <v>-90</v>
      </c>
      <c r="N160">
        <f t="shared" si="7"/>
        <v>-4905</v>
      </c>
      <c r="O160" t="str">
        <f t="shared" si="8"/>
        <v>&lt;Entry outShaftSpeed="594.00" torque="-90.00" electricPower="-4905.00"/&gt;</v>
      </c>
    </row>
    <row r="161" spans="1:15" x14ac:dyDescent="0.25">
      <c r="A161" s="1">
        <v>594</v>
      </c>
      <c r="B161">
        <v>-45</v>
      </c>
      <c r="C161">
        <v>-2.286</v>
      </c>
      <c r="L161">
        <f t="shared" si="6"/>
        <v>594</v>
      </c>
      <c r="M161">
        <f t="shared" si="6"/>
        <v>-45</v>
      </c>
      <c r="N161">
        <f t="shared" si="7"/>
        <v>-2286</v>
      </c>
      <c r="O161" t="str">
        <f t="shared" si="8"/>
        <v>&lt;Entry outShaftSpeed="594.00" torque="-45.00" electricPower="-2286.00"/&gt;</v>
      </c>
    </row>
    <row r="162" spans="1:15" x14ac:dyDescent="0.25">
      <c r="A162" s="1">
        <v>594</v>
      </c>
      <c r="B162">
        <v>-9</v>
      </c>
      <c r="C162">
        <v>-0.18</v>
      </c>
      <c r="L162">
        <f t="shared" si="6"/>
        <v>594</v>
      </c>
      <c r="M162">
        <f t="shared" si="6"/>
        <v>-9</v>
      </c>
      <c r="N162">
        <f t="shared" si="7"/>
        <v>-180</v>
      </c>
      <c r="O162" t="str">
        <f t="shared" si="8"/>
        <v>&lt;Entry outShaftSpeed="594.00" torque="-9.00" electricPower="-180.00"/&gt;</v>
      </c>
    </row>
    <row r="163" spans="1:15" x14ac:dyDescent="0.25">
      <c r="A163" s="1">
        <v>594</v>
      </c>
      <c r="B163">
        <v>9</v>
      </c>
      <c r="C163">
        <v>0.97099999999999997</v>
      </c>
      <c r="L163">
        <f t="shared" si="6"/>
        <v>594</v>
      </c>
      <c r="M163">
        <f t="shared" si="6"/>
        <v>9</v>
      </c>
      <c r="N163">
        <f t="shared" si="7"/>
        <v>971</v>
      </c>
      <c r="O163" t="str">
        <f t="shared" si="8"/>
        <v>&lt;Entry outShaftSpeed="594.00" torque="9.00" electricPower="971.00"/&gt;</v>
      </c>
    </row>
    <row r="164" spans="1:15" x14ac:dyDescent="0.25">
      <c r="A164" s="1">
        <v>594</v>
      </c>
      <c r="B164">
        <v>45</v>
      </c>
      <c r="C164">
        <v>3.351</v>
      </c>
      <c r="L164">
        <f t="shared" si="6"/>
        <v>594</v>
      </c>
      <c r="M164">
        <f t="shared" si="6"/>
        <v>45</v>
      </c>
      <c r="N164">
        <f t="shared" si="7"/>
        <v>3351</v>
      </c>
      <c r="O164" t="str">
        <f t="shared" si="8"/>
        <v>&lt;Entry outShaftSpeed="594.00" torque="45.00" electricPower="3351.00"/&gt;</v>
      </c>
    </row>
    <row r="165" spans="1:15" x14ac:dyDescent="0.25">
      <c r="A165" s="1">
        <v>594</v>
      </c>
      <c r="B165">
        <v>90</v>
      </c>
      <c r="C165">
        <v>6.3410000000000002</v>
      </c>
      <c r="L165">
        <f t="shared" si="6"/>
        <v>594</v>
      </c>
      <c r="M165">
        <f t="shared" si="6"/>
        <v>90</v>
      </c>
      <c r="N165">
        <f t="shared" si="7"/>
        <v>6341</v>
      </c>
      <c r="O165" t="str">
        <f t="shared" si="8"/>
        <v>&lt;Entry outShaftSpeed="594.00" torque="90.00" electricPower="6341.00"/&gt;</v>
      </c>
    </row>
    <row r="166" spans="1:15" x14ac:dyDescent="0.25">
      <c r="A166" s="1">
        <v>594</v>
      </c>
      <c r="B166">
        <v>135</v>
      </c>
      <c r="C166">
        <v>9.3480000000000008</v>
      </c>
      <c r="L166">
        <f t="shared" si="6"/>
        <v>594</v>
      </c>
      <c r="M166">
        <f t="shared" si="6"/>
        <v>135</v>
      </c>
      <c r="N166">
        <f t="shared" si="7"/>
        <v>9348</v>
      </c>
      <c r="O166" t="str">
        <f t="shared" si="8"/>
        <v>&lt;Entry outShaftSpeed="594.00" torque="135.00" electricPower="9348.00"/&gt;</v>
      </c>
    </row>
    <row r="167" spans="1:15" x14ac:dyDescent="0.25">
      <c r="A167" s="1">
        <v>594</v>
      </c>
      <c r="B167">
        <v>180</v>
      </c>
      <c r="C167">
        <v>12.372</v>
      </c>
      <c r="L167">
        <f t="shared" si="6"/>
        <v>594</v>
      </c>
      <c r="M167">
        <f t="shared" si="6"/>
        <v>180</v>
      </c>
      <c r="N167">
        <f t="shared" si="7"/>
        <v>12372</v>
      </c>
      <c r="O167" t="str">
        <f t="shared" si="8"/>
        <v>&lt;Entry outShaftSpeed="594.00" torque="180.00" electricPower="12372.00"/&gt;</v>
      </c>
    </row>
    <row r="168" spans="1:15" x14ac:dyDescent="0.25">
      <c r="A168" s="1">
        <v>594</v>
      </c>
      <c r="B168">
        <v>225</v>
      </c>
      <c r="C168">
        <v>15.412000000000001</v>
      </c>
      <c r="L168">
        <f t="shared" si="6"/>
        <v>594</v>
      </c>
      <c r="M168">
        <f t="shared" si="6"/>
        <v>225</v>
      </c>
      <c r="N168">
        <f t="shared" si="7"/>
        <v>15412</v>
      </c>
      <c r="O168" t="str">
        <f t="shared" si="8"/>
        <v>&lt;Entry outShaftSpeed="594.00" torque="225.00" electricPower="15412.00"/&gt;</v>
      </c>
    </row>
    <row r="169" spans="1:15" x14ac:dyDescent="0.25">
      <c r="A169" s="1">
        <v>594</v>
      </c>
      <c r="B169">
        <v>270</v>
      </c>
      <c r="C169">
        <v>18.47</v>
      </c>
      <c r="L169">
        <f t="shared" si="6"/>
        <v>594</v>
      </c>
      <c r="M169">
        <f t="shared" si="6"/>
        <v>270</v>
      </c>
      <c r="N169">
        <f t="shared" si="7"/>
        <v>18470</v>
      </c>
      <c r="O169" t="str">
        <f t="shared" si="8"/>
        <v>&lt;Entry outShaftSpeed="594.00" torque="270.00" electricPower="18470.00"/&gt;</v>
      </c>
    </row>
    <row r="170" spans="1:15" x14ac:dyDescent="0.25">
      <c r="A170" s="1">
        <v>594</v>
      </c>
      <c r="B170">
        <v>315</v>
      </c>
      <c r="C170">
        <v>21.545000000000002</v>
      </c>
      <c r="L170">
        <f t="shared" si="6"/>
        <v>594</v>
      </c>
      <c r="M170">
        <f t="shared" si="6"/>
        <v>315</v>
      </c>
      <c r="N170">
        <f t="shared" si="7"/>
        <v>21545</v>
      </c>
      <c r="O170" t="str">
        <f t="shared" si="8"/>
        <v>&lt;Entry outShaftSpeed="594.00" torque="315.00" electricPower="21545.00"/&gt;</v>
      </c>
    </row>
    <row r="171" spans="1:15" x14ac:dyDescent="0.25">
      <c r="A171" s="1">
        <v>594</v>
      </c>
      <c r="B171">
        <v>360</v>
      </c>
      <c r="C171">
        <v>24.635999999999999</v>
      </c>
      <c r="L171">
        <f t="shared" si="6"/>
        <v>594</v>
      </c>
      <c r="M171">
        <f t="shared" si="6"/>
        <v>360</v>
      </c>
      <c r="N171">
        <f t="shared" si="7"/>
        <v>24636</v>
      </c>
      <c r="O171" t="str">
        <f t="shared" si="8"/>
        <v>&lt;Entry outShaftSpeed="594.00" torque="360.00" electricPower="24636.00"/&gt;</v>
      </c>
    </row>
    <row r="172" spans="1:15" x14ac:dyDescent="0.25">
      <c r="A172" s="1">
        <v>594</v>
      </c>
      <c r="B172">
        <v>405</v>
      </c>
      <c r="C172">
        <v>27.744</v>
      </c>
      <c r="L172">
        <f t="shared" si="6"/>
        <v>594</v>
      </c>
      <c r="M172">
        <f t="shared" si="6"/>
        <v>405</v>
      </c>
      <c r="N172">
        <f t="shared" si="7"/>
        <v>27744</v>
      </c>
      <c r="O172" t="str">
        <f t="shared" si="8"/>
        <v>&lt;Entry outShaftSpeed="594.00" torque="405.00" electricPower="27744.00"/&gt;</v>
      </c>
    </row>
    <row r="173" spans="1:15" x14ac:dyDescent="0.25">
      <c r="A173" s="1">
        <v>594</v>
      </c>
      <c r="B173">
        <v>450</v>
      </c>
      <c r="C173">
        <v>30.87</v>
      </c>
      <c r="L173">
        <f t="shared" si="6"/>
        <v>594</v>
      </c>
      <c r="M173">
        <f t="shared" si="6"/>
        <v>450</v>
      </c>
      <c r="N173">
        <f t="shared" si="7"/>
        <v>30870</v>
      </c>
      <c r="O173" t="str">
        <f t="shared" si="8"/>
        <v>&lt;Entry outShaftSpeed="594.00" torque="450.00" electricPower="30870.00"/&gt;</v>
      </c>
    </row>
    <row r="174" spans="1:15" x14ac:dyDescent="0.25">
      <c r="A174" s="1">
        <v>594</v>
      </c>
      <c r="B174">
        <v>495</v>
      </c>
      <c r="C174">
        <v>34.012</v>
      </c>
      <c r="L174">
        <f t="shared" si="6"/>
        <v>594</v>
      </c>
      <c r="M174">
        <f t="shared" si="6"/>
        <v>495</v>
      </c>
      <c r="N174">
        <f t="shared" si="7"/>
        <v>34012</v>
      </c>
      <c r="O174" t="str">
        <f t="shared" si="8"/>
        <v>&lt;Entry outShaftSpeed="594.00" torque="495.00" electricPower="34012.00"/&gt;</v>
      </c>
    </row>
    <row r="175" spans="1:15" x14ac:dyDescent="0.25">
      <c r="A175" s="1">
        <v>594</v>
      </c>
      <c r="B175">
        <v>540</v>
      </c>
      <c r="C175">
        <v>37.170999999999999</v>
      </c>
      <c r="L175">
        <f t="shared" si="6"/>
        <v>594</v>
      </c>
      <c r="M175">
        <f t="shared" si="6"/>
        <v>540</v>
      </c>
      <c r="N175">
        <f t="shared" si="7"/>
        <v>37171</v>
      </c>
      <c r="O175" t="str">
        <f t="shared" si="8"/>
        <v>&lt;Entry outShaftSpeed="594.00" torque="540.00" electricPower="37171.00"/&gt;</v>
      </c>
    </row>
    <row r="176" spans="1:15" x14ac:dyDescent="0.25">
      <c r="A176" s="1">
        <v>594</v>
      </c>
      <c r="B176">
        <v>585</v>
      </c>
      <c r="C176">
        <v>40.347000000000001</v>
      </c>
      <c r="L176">
        <f t="shared" si="6"/>
        <v>594</v>
      </c>
      <c r="M176">
        <f t="shared" si="6"/>
        <v>585</v>
      </c>
      <c r="N176">
        <f t="shared" si="7"/>
        <v>40347</v>
      </c>
      <c r="O176" t="str">
        <f t="shared" si="8"/>
        <v>&lt;Entry outShaftSpeed="594.00" torque="585.00" electricPower="40347.00"/&gt;</v>
      </c>
    </row>
    <row r="177" spans="1:15" x14ac:dyDescent="0.25">
      <c r="A177" s="1">
        <v>594</v>
      </c>
      <c r="B177">
        <v>630</v>
      </c>
      <c r="C177">
        <v>43.54</v>
      </c>
      <c r="L177">
        <f t="shared" si="6"/>
        <v>594</v>
      </c>
      <c r="M177">
        <f t="shared" si="6"/>
        <v>630</v>
      </c>
      <c r="N177">
        <f t="shared" si="7"/>
        <v>43540</v>
      </c>
      <c r="O177" t="str">
        <f t="shared" si="8"/>
        <v>&lt;Entry outShaftSpeed="594.00" torque="630.00" electricPower="43540.00"/&gt;</v>
      </c>
    </row>
    <row r="178" spans="1:15" x14ac:dyDescent="0.25">
      <c r="A178" s="1">
        <v>594</v>
      </c>
      <c r="B178">
        <v>675</v>
      </c>
      <c r="C178">
        <v>46.75</v>
      </c>
      <c r="L178">
        <f t="shared" si="6"/>
        <v>594</v>
      </c>
      <c r="M178">
        <f t="shared" si="6"/>
        <v>675</v>
      </c>
      <c r="N178">
        <f t="shared" si="7"/>
        <v>46750</v>
      </c>
      <c r="O178" t="str">
        <f t="shared" si="8"/>
        <v>&lt;Entry outShaftSpeed="594.00" torque="675.00" electricPower="46750.00"/&gt;</v>
      </c>
    </row>
    <row r="179" spans="1:15" x14ac:dyDescent="0.25">
      <c r="A179" s="1">
        <v>594</v>
      </c>
      <c r="B179">
        <v>720</v>
      </c>
      <c r="C179">
        <v>49.976999999999997</v>
      </c>
      <c r="L179">
        <f t="shared" si="6"/>
        <v>594</v>
      </c>
      <c r="M179">
        <f t="shared" si="6"/>
        <v>720</v>
      </c>
      <c r="N179">
        <f t="shared" si="7"/>
        <v>49977</v>
      </c>
      <c r="O179" t="str">
        <f t="shared" si="8"/>
        <v>&lt;Entry outShaftSpeed="594.00" torque="720.00" electricPower="49977.00"/&gt;</v>
      </c>
    </row>
    <row r="180" spans="1:15" x14ac:dyDescent="0.25">
      <c r="A180" s="1">
        <v>594</v>
      </c>
      <c r="B180">
        <v>765</v>
      </c>
      <c r="C180">
        <v>53.22</v>
      </c>
      <c r="L180">
        <f t="shared" si="6"/>
        <v>594</v>
      </c>
      <c r="M180">
        <f t="shared" si="6"/>
        <v>765</v>
      </c>
      <c r="N180">
        <f t="shared" si="7"/>
        <v>53220</v>
      </c>
      <c r="O180" t="str">
        <f t="shared" si="8"/>
        <v>&lt;Entry outShaftSpeed="594.00" torque="765.00" electricPower="53220.00"/&gt;</v>
      </c>
    </row>
    <row r="181" spans="1:15" x14ac:dyDescent="0.25">
      <c r="A181" s="1">
        <v>594</v>
      </c>
      <c r="B181">
        <v>810</v>
      </c>
      <c r="C181">
        <v>56.481000000000002</v>
      </c>
      <c r="L181">
        <f t="shared" si="6"/>
        <v>594</v>
      </c>
      <c r="M181">
        <f t="shared" si="6"/>
        <v>810</v>
      </c>
      <c r="N181">
        <f t="shared" si="7"/>
        <v>56481</v>
      </c>
      <c r="O181" t="str">
        <f t="shared" si="8"/>
        <v>&lt;Entry outShaftSpeed="594.00" torque="810.00" electricPower="56481.00"/&gt;</v>
      </c>
    </row>
    <row r="182" spans="1:15" x14ac:dyDescent="0.25">
      <c r="A182" s="1">
        <v>594</v>
      </c>
      <c r="B182">
        <v>855</v>
      </c>
      <c r="C182">
        <v>59.758000000000003</v>
      </c>
      <c r="L182">
        <f t="shared" si="6"/>
        <v>594</v>
      </c>
      <c r="M182">
        <f t="shared" si="6"/>
        <v>855</v>
      </c>
      <c r="N182">
        <f t="shared" si="7"/>
        <v>59758</v>
      </c>
      <c r="O182" t="str">
        <f t="shared" si="8"/>
        <v>&lt;Entry outShaftSpeed="594.00" torque="855.00" electricPower="59758.00"/&gt;</v>
      </c>
    </row>
    <row r="183" spans="1:15" x14ac:dyDescent="0.25">
      <c r="A183" s="1">
        <v>594</v>
      </c>
      <c r="B183">
        <v>900</v>
      </c>
      <c r="C183">
        <v>63.052999999999997</v>
      </c>
      <c r="L183">
        <f t="shared" si="6"/>
        <v>594</v>
      </c>
      <c r="M183">
        <f t="shared" si="6"/>
        <v>900</v>
      </c>
      <c r="N183">
        <f t="shared" si="7"/>
        <v>63053</v>
      </c>
      <c r="O183" t="str">
        <f t="shared" si="8"/>
        <v>&lt;Entry outShaftSpeed="594.00" torque="900.00" electricPower="63053.00"/&gt;</v>
      </c>
    </row>
    <row r="184" spans="1:15" x14ac:dyDescent="0.25">
      <c r="A184" s="1">
        <v>594</v>
      </c>
      <c r="B184">
        <v>945</v>
      </c>
      <c r="C184">
        <v>66.364000000000004</v>
      </c>
      <c r="L184">
        <f t="shared" si="6"/>
        <v>594</v>
      </c>
      <c r="M184">
        <f t="shared" si="6"/>
        <v>945</v>
      </c>
      <c r="N184">
        <f t="shared" si="7"/>
        <v>66364</v>
      </c>
      <c r="O184" t="str">
        <f t="shared" si="8"/>
        <v>&lt;Entry outShaftSpeed="594.00" torque="945.00" electricPower="66364.00"/&gt;</v>
      </c>
    </row>
    <row r="185" spans="1:15" x14ac:dyDescent="0.25">
      <c r="A185" s="1">
        <v>594</v>
      </c>
      <c r="B185">
        <v>990</v>
      </c>
      <c r="C185">
        <v>69.691999999999993</v>
      </c>
      <c r="L185">
        <f t="shared" si="6"/>
        <v>594</v>
      </c>
      <c r="M185">
        <f t="shared" si="6"/>
        <v>990</v>
      </c>
      <c r="N185">
        <f t="shared" si="7"/>
        <v>69692</v>
      </c>
      <c r="O185" t="str">
        <f t="shared" si="8"/>
        <v>&lt;Entry outShaftSpeed="594.00" torque="990.00" electricPower="69692.00"/&gt;</v>
      </c>
    </row>
    <row r="186" spans="1:15" x14ac:dyDescent="0.25">
      <c r="A186" s="1">
        <v>891</v>
      </c>
      <c r="B186">
        <v>-990</v>
      </c>
      <c r="C186">
        <v>-82.296000000000006</v>
      </c>
      <c r="L186">
        <f t="shared" si="6"/>
        <v>891</v>
      </c>
      <c r="M186">
        <f t="shared" si="6"/>
        <v>-990</v>
      </c>
      <c r="N186">
        <f t="shared" si="7"/>
        <v>-82296</v>
      </c>
      <c r="O186" t="str">
        <f t="shared" si="8"/>
        <v>&lt;Entry outShaftSpeed="891.00" torque="-990.00" electricPower="-82296.00"/&gt;</v>
      </c>
    </row>
    <row r="187" spans="1:15" x14ac:dyDescent="0.25">
      <c r="A187" s="1">
        <v>891</v>
      </c>
      <c r="B187">
        <v>-945</v>
      </c>
      <c r="C187">
        <v>-78.734999999999999</v>
      </c>
      <c r="L187">
        <f t="shared" si="6"/>
        <v>891</v>
      </c>
      <c r="M187">
        <f t="shared" si="6"/>
        <v>-945</v>
      </c>
      <c r="N187">
        <f t="shared" si="7"/>
        <v>-78735</v>
      </c>
      <c r="O187" t="str">
        <f t="shared" si="8"/>
        <v>&lt;Entry outShaftSpeed="891.00" torque="-945.00" electricPower="-78735.00"/&gt;</v>
      </c>
    </row>
    <row r="188" spans="1:15" x14ac:dyDescent="0.25">
      <c r="A188" s="1">
        <v>891</v>
      </c>
      <c r="B188">
        <v>-900</v>
      </c>
      <c r="C188">
        <v>-75.153999999999996</v>
      </c>
      <c r="L188">
        <f t="shared" si="6"/>
        <v>891</v>
      </c>
      <c r="M188">
        <f t="shared" si="6"/>
        <v>-900</v>
      </c>
      <c r="N188">
        <f t="shared" si="7"/>
        <v>-75154</v>
      </c>
      <c r="O188" t="str">
        <f t="shared" si="8"/>
        <v>&lt;Entry outShaftSpeed="891.00" torque="-900.00" electricPower="-75154.00"/&gt;</v>
      </c>
    </row>
    <row r="189" spans="1:15" x14ac:dyDescent="0.25">
      <c r="A189" s="1">
        <v>891</v>
      </c>
      <c r="B189">
        <v>-855</v>
      </c>
      <c r="C189">
        <v>-71.554000000000002</v>
      </c>
      <c r="L189">
        <f t="shared" si="6"/>
        <v>891</v>
      </c>
      <c r="M189">
        <f t="shared" si="6"/>
        <v>-855</v>
      </c>
      <c r="N189">
        <f t="shared" si="7"/>
        <v>-71554</v>
      </c>
      <c r="O189" t="str">
        <f t="shared" si="8"/>
        <v>&lt;Entry outShaftSpeed="891.00" torque="-855.00" electricPower="-71554.00"/&gt;</v>
      </c>
    </row>
    <row r="190" spans="1:15" x14ac:dyDescent="0.25">
      <c r="A190" s="1">
        <v>891</v>
      </c>
      <c r="B190">
        <v>-810</v>
      </c>
      <c r="C190">
        <v>-67.933000000000007</v>
      </c>
      <c r="L190">
        <f t="shared" si="6"/>
        <v>891</v>
      </c>
      <c r="M190">
        <f t="shared" si="6"/>
        <v>-810</v>
      </c>
      <c r="N190">
        <f t="shared" si="7"/>
        <v>-67933</v>
      </c>
      <c r="O190" t="str">
        <f t="shared" si="8"/>
        <v>&lt;Entry outShaftSpeed="891.00" torque="-810.00" electricPower="-67933.00"/&gt;</v>
      </c>
    </row>
    <row r="191" spans="1:15" x14ac:dyDescent="0.25">
      <c r="A191" s="1">
        <v>891</v>
      </c>
      <c r="B191">
        <v>-765</v>
      </c>
      <c r="C191">
        <v>-64.293000000000006</v>
      </c>
      <c r="L191">
        <f t="shared" si="6"/>
        <v>891</v>
      </c>
      <c r="M191">
        <f t="shared" si="6"/>
        <v>-765</v>
      </c>
      <c r="N191">
        <f t="shared" si="7"/>
        <v>-64293.000000000007</v>
      </c>
      <c r="O191" t="str">
        <f t="shared" si="8"/>
        <v>&lt;Entry outShaftSpeed="891.00" torque="-765.00" electricPower="-64293.00"/&gt;</v>
      </c>
    </row>
    <row r="192" spans="1:15" x14ac:dyDescent="0.25">
      <c r="A192" s="1">
        <v>891</v>
      </c>
      <c r="B192">
        <v>-720</v>
      </c>
      <c r="C192">
        <v>-60.633000000000003</v>
      </c>
      <c r="L192">
        <f t="shared" si="6"/>
        <v>891</v>
      </c>
      <c r="M192">
        <f t="shared" si="6"/>
        <v>-720</v>
      </c>
      <c r="N192">
        <f t="shared" si="7"/>
        <v>-60633</v>
      </c>
      <c r="O192" t="str">
        <f t="shared" si="8"/>
        <v>&lt;Entry outShaftSpeed="891.00" torque="-720.00" electricPower="-60633.00"/&gt;</v>
      </c>
    </row>
    <row r="193" spans="1:15" x14ac:dyDescent="0.25">
      <c r="A193" s="1">
        <v>891</v>
      </c>
      <c r="B193">
        <v>-675</v>
      </c>
      <c r="C193">
        <v>-56.954000000000001</v>
      </c>
      <c r="L193">
        <f t="shared" si="6"/>
        <v>891</v>
      </c>
      <c r="M193">
        <f t="shared" si="6"/>
        <v>-675</v>
      </c>
      <c r="N193">
        <f t="shared" si="7"/>
        <v>-56954</v>
      </c>
      <c r="O193" t="str">
        <f t="shared" si="8"/>
        <v>&lt;Entry outShaftSpeed="891.00" torque="-675.00" electricPower="-56954.00"/&gt;</v>
      </c>
    </row>
    <row r="194" spans="1:15" x14ac:dyDescent="0.25">
      <c r="A194" s="1">
        <v>891</v>
      </c>
      <c r="B194">
        <v>-630</v>
      </c>
      <c r="C194">
        <v>-53.253999999999998</v>
      </c>
      <c r="L194">
        <f t="shared" si="6"/>
        <v>891</v>
      </c>
      <c r="M194">
        <f t="shared" si="6"/>
        <v>-630</v>
      </c>
      <c r="N194">
        <f t="shared" si="7"/>
        <v>-53254</v>
      </c>
      <c r="O194" t="str">
        <f t="shared" si="8"/>
        <v>&lt;Entry outShaftSpeed="891.00" torque="-630.00" electricPower="-53254.00"/&gt;</v>
      </c>
    </row>
    <row r="195" spans="1:15" x14ac:dyDescent="0.25">
      <c r="A195" s="1">
        <v>891</v>
      </c>
      <c r="B195">
        <v>-585</v>
      </c>
      <c r="C195">
        <v>-49.534999999999997</v>
      </c>
      <c r="L195">
        <f t="shared" ref="L195:M258" si="9">A195</f>
        <v>891</v>
      </c>
      <c r="M195">
        <f t="shared" si="9"/>
        <v>-585</v>
      </c>
      <c r="N195">
        <f t="shared" ref="N195:N258" si="10">C195*1000</f>
        <v>-49535</v>
      </c>
      <c r="O195" t="str">
        <f t="shared" ref="O195:O258" si="11">"&lt;Entry outShaftSpeed="""&amp;TEXT(ROUND(L195,2),"#0.00")&amp;""" torque=""" &amp; TEXT(ROUND(M195,2),"#0.00") &amp; """ electricPower="""&amp;TEXT(ROUND(N195,2),"#0.00") &amp;  """/&gt;"</f>
        <v>&lt;Entry outShaftSpeed="891.00" torque="-585.00" electricPower="-49535.00"/&gt;</v>
      </c>
    </row>
    <row r="196" spans="1:15" x14ac:dyDescent="0.25">
      <c r="A196" s="1">
        <v>891</v>
      </c>
      <c r="B196">
        <v>-540</v>
      </c>
      <c r="C196">
        <v>-45.795999999999999</v>
      </c>
      <c r="L196">
        <f t="shared" si="9"/>
        <v>891</v>
      </c>
      <c r="M196">
        <f t="shared" si="9"/>
        <v>-540</v>
      </c>
      <c r="N196">
        <f t="shared" si="10"/>
        <v>-45796</v>
      </c>
      <c r="O196" t="str">
        <f t="shared" si="11"/>
        <v>&lt;Entry outShaftSpeed="891.00" torque="-540.00" electricPower="-45796.00"/&gt;</v>
      </c>
    </row>
    <row r="197" spans="1:15" x14ac:dyDescent="0.25">
      <c r="A197" s="1">
        <v>891</v>
      </c>
      <c r="B197">
        <v>-495</v>
      </c>
      <c r="C197">
        <v>-42.037999999999997</v>
      </c>
      <c r="L197">
        <f t="shared" si="9"/>
        <v>891</v>
      </c>
      <c r="M197">
        <f t="shared" si="9"/>
        <v>-495</v>
      </c>
      <c r="N197">
        <f t="shared" si="10"/>
        <v>-42038</v>
      </c>
      <c r="O197" t="str">
        <f t="shared" si="11"/>
        <v>&lt;Entry outShaftSpeed="891.00" torque="-495.00" electricPower="-42038.00"/&gt;</v>
      </c>
    </row>
    <row r="198" spans="1:15" x14ac:dyDescent="0.25">
      <c r="A198" s="1">
        <v>891</v>
      </c>
      <c r="B198">
        <v>-450</v>
      </c>
      <c r="C198">
        <v>-38.259</v>
      </c>
      <c r="L198">
        <f t="shared" si="9"/>
        <v>891</v>
      </c>
      <c r="M198">
        <f t="shared" si="9"/>
        <v>-450</v>
      </c>
      <c r="N198">
        <f t="shared" si="10"/>
        <v>-38259</v>
      </c>
      <c r="O198" t="str">
        <f t="shared" si="11"/>
        <v>&lt;Entry outShaftSpeed="891.00" torque="-450.00" electricPower="-38259.00"/&gt;</v>
      </c>
    </row>
    <row r="199" spans="1:15" x14ac:dyDescent="0.25">
      <c r="A199" s="1">
        <v>891</v>
      </c>
      <c r="B199">
        <v>-405</v>
      </c>
      <c r="C199">
        <v>-34.460999999999999</v>
      </c>
      <c r="L199">
        <f t="shared" si="9"/>
        <v>891</v>
      </c>
      <c r="M199">
        <f t="shared" si="9"/>
        <v>-405</v>
      </c>
      <c r="N199">
        <f t="shared" si="10"/>
        <v>-34461</v>
      </c>
      <c r="O199" t="str">
        <f t="shared" si="11"/>
        <v>&lt;Entry outShaftSpeed="891.00" torque="-405.00" electricPower="-34461.00"/&gt;</v>
      </c>
    </row>
    <row r="200" spans="1:15" x14ac:dyDescent="0.25">
      <c r="A200" s="1">
        <v>891</v>
      </c>
      <c r="B200">
        <v>-360</v>
      </c>
      <c r="C200">
        <v>-30.643000000000001</v>
      </c>
      <c r="L200">
        <f t="shared" si="9"/>
        <v>891</v>
      </c>
      <c r="M200">
        <f t="shared" si="9"/>
        <v>-360</v>
      </c>
      <c r="N200">
        <f t="shared" si="10"/>
        <v>-30643</v>
      </c>
      <c r="O200" t="str">
        <f t="shared" si="11"/>
        <v>&lt;Entry outShaftSpeed="891.00" torque="-360.00" electricPower="-30643.00"/&gt;</v>
      </c>
    </row>
    <row r="201" spans="1:15" x14ac:dyDescent="0.25">
      <c r="A201" s="1">
        <v>891</v>
      </c>
      <c r="B201">
        <v>-315</v>
      </c>
      <c r="C201">
        <v>-26.805</v>
      </c>
      <c r="L201">
        <f t="shared" si="9"/>
        <v>891</v>
      </c>
      <c r="M201">
        <f t="shared" si="9"/>
        <v>-315</v>
      </c>
      <c r="N201">
        <f t="shared" si="10"/>
        <v>-26805</v>
      </c>
      <c r="O201" t="str">
        <f t="shared" si="11"/>
        <v>&lt;Entry outShaftSpeed="891.00" torque="-315.00" electricPower="-26805.00"/&gt;</v>
      </c>
    </row>
    <row r="202" spans="1:15" x14ac:dyDescent="0.25">
      <c r="A202" s="1">
        <v>891</v>
      </c>
      <c r="B202">
        <v>-270</v>
      </c>
      <c r="C202">
        <v>-22.948</v>
      </c>
      <c r="L202">
        <f t="shared" si="9"/>
        <v>891</v>
      </c>
      <c r="M202">
        <f t="shared" si="9"/>
        <v>-270</v>
      </c>
      <c r="N202">
        <f t="shared" si="10"/>
        <v>-22948</v>
      </c>
      <c r="O202" t="str">
        <f t="shared" si="11"/>
        <v>&lt;Entry outShaftSpeed="891.00" torque="-270.00" electricPower="-22948.00"/&gt;</v>
      </c>
    </row>
    <row r="203" spans="1:15" x14ac:dyDescent="0.25">
      <c r="A203" s="1">
        <v>891</v>
      </c>
      <c r="B203">
        <v>-225</v>
      </c>
      <c r="C203">
        <v>-19.071000000000002</v>
      </c>
      <c r="L203">
        <f t="shared" si="9"/>
        <v>891</v>
      </c>
      <c r="M203">
        <f t="shared" si="9"/>
        <v>-225</v>
      </c>
      <c r="N203">
        <f t="shared" si="10"/>
        <v>-19071</v>
      </c>
      <c r="O203" t="str">
        <f t="shared" si="11"/>
        <v>&lt;Entry outShaftSpeed="891.00" torque="-225.00" electricPower="-19071.00"/&gt;</v>
      </c>
    </row>
    <row r="204" spans="1:15" x14ac:dyDescent="0.25">
      <c r="A204" s="1">
        <v>891</v>
      </c>
      <c r="B204">
        <v>-180</v>
      </c>
      <c r="C204">
        <v>-15.173999999999999</v>
      </c>
      <c r="L204">
        <f t="shared" si="9"/>
        <v>891</v>
      </c>
      <c r="M204">
        <f t="shared" si="9"/>
        <v>-180</v>
      </c>
      <c r="N204">
        <f t="shared" si="10"/>
        <v>-15174</v>
      </c>
      <c r="O204" t="str">
        <f t="shared" si="11"/>
        <v>&lt;Entry outShaftSpeed="891.00" torque="-180.00" electricPower="-15174.00"/&gt;</v>
      </c>
    </row>
    <row r="205" spans="1:15" x14ac:dyDescent="0.25">
      <c r="A205" s="1">
        <v>891</v>
      </c>
      <c r="B205">
        <v>-135</v>
      </c>
      <c r="C205">
        <v>-11.257</v>
      </c>
      <c r="L205">
        <f t="shared" si="9"/>
        <v>891</v>
      </c>
      <c r="M205">
        <f t="shared" si="9"/>
        <v>-135</v>
      </c>
      <c r="N205">
        <f t="shared" si="10"/>
        <v>-11257</v>
      </c>
      <c r="O205" t="str">
        <f t="shared" si="11"/>
        <v>&lt;Entry outShaftSpeed="891.00" torque="-135.00" electricPower="-11257.00"/&gt;</v>
      </c>
    </row>
    <row r="206" spans="1:15" x14ac:dyDescent="0.25">
      <c r="A206" s="1">
        <v>891</v>
      </c>
      <c r="B206">
        <v>-90</v>
      </c>
      <c r="C206">
        <v>-7.3209999999999997</v>
      </c>
      <c r="L206">
        <f t="shared" si="9"/>
        <v>891</v>
      </c>
      <c r="M206">
        <f t="shared" si="9"/>
        <v>-90</v>
      </c>
      <c r="N206">
        <f t="shared" si="10"/>
        <v>-7321</v>
      </c>
      <c r="O206" t="str">
        <f t="shared" si="11"/>
        <v>&lt;Entry outShaftSpeed="891.00" torque="-90.00" electricPower="-7321.00"/&gt;</v>
      </c>
    </row>
    <row r="207" spans="1:15" x14ac:dyDescent="0.25">
      <c r="A207" s="1">
        <v>891</v>
      </c>
      <c r="B207">
        <v>-45</v>
      </c>
      <c r="C207">
        <v>-3.3650000000000002</v>
      </c>
      <c r="L207">
        <f t="shared" si="9"/>
        <v>891</v>
      </c>
      <c r="M207">
        <f t="shared" si="9"/>
        <v>-45</v>
      </c>
      <c r="N207">
        <f t="shared" si="10"/>
        <v>-3365</v>
      </c>
      <c r="O207" t="str">
        <f t="shared" si="11"/>
        <v>&lt;Entry outShaftSpeed="891.00" torque="-45.00" electricPower="-3365.00"/&gt;</v>
      </c>
    </row>
    <row r="208" spans="1:15" x14ac:dyDescent="0.25">
      <c r="A208" s="1">
        <v>891</v>
      </c>
      <c r="B208">
        <v>-9</v>
      </c>
      <c r="C208">
        <v>-0.186</v>
      </c>
      <c r="L208">
        <f t="shared" si="9"/>
        <v>891</v>
      </c>
      <c r="M208">
        <f t="shared" si="9"/>
        <v>-9</v>
      </c>
      <c r="N208">
        <f t="shared" si="10"/>
        <v>-186</v>
      </c>
      <c r="O208" t="str">
        <f t="shared" si="11"/>
        <v>&lt;Entry outShaftSpeed="891.00" torque="-9.00" electricPower="-186.00"/&gt;</v>
      </c>
    </row>
    <row r="209" spans="1:15" x14ac:dyDescent="0.25">
      <c r="A209" s="1">
        <v>891</v>
      </c>
      <c r="B209">
        <v>9</v>
      </c>
      <c r="C209">
        <v>1.548</v>
      </c>
      <c r="L209">
        <f t="shared" si="9"/>
        <v>891</v>
      </c>
      <c r="M209">
        <f t="shared" si="9"/>
        <v>9</v>
      </c>
      <c r="N209">
        <f t="shared" si="10"/>
        <v>1548</v>
      </c>
      <c r="O209" t="str">
        <f t="shared" si="11"/>
        <v>&lt;Entry outShaftSpeed="891.00" torque="9.00" electricPower="1548.00"/&gt;</v>
      </c>
    </row>
    <row r="210" spans="1:15" x14ac:dyDescent="0.25">
      <c r="A210" s="1">
        <v>891</v>
      </c>
      <c r="B210">
        <v>45</v>
      </c>
      <c r="C210">
        <v>5.0960000000000001</v>
      </c>
      <c r="L210">
        <f t="shared" si="9"/>
        <v>891</v>
      </c>
      <c r="M210">
        <f t="shared" si="9"/>
        <v>45</v>
      </c>
      <c r="N210">
        <f t="shared" si="10"/>
        <v>5096</v>
      </c>
      <c r="O210" t="str">
        <f t="shared" si="11"/>
        <v>&lt;Entry outShaftSpeed="891.00" torque="45.00" electricPower="5096.00"/&gt;</v>
      </c>
    </row>
    <row r="211" spans="1:15" x14ac:dyDescent="0.25">
      <c r="A211" s="1">
        <v>891</v>
      </c>
      <c r="B211">
        <v>90</v>
      </c>
      <c r="C211">
        <v>9.5510000000000002</v>
      </c>
      <c r="L211">
        <f t="shared" si="9"/>
        <v>891</v>
      </c>
      <c r="M211">
        <f t="shared" si="9"/>
        <v>90</v>
      </c>
      <c r="N211">
        <f t="shared" si="10"/>
        <v>9551</v>
      </c>
      <c r="O211" t="str">
        <f t="shared" si="11"/>
        <v>&lt;Entry outShaftSpeed="891.00" torque="90.00" electricPower="9551.00"/&gt;</v>
      </c>
    </row>
    <row r="212" spans="1:15" x14ac:dyDescent="0.25">
      <c r="A212" s="1">
        <v>891</v>
      </c>
      <c r="B212">
        <v>135</v>
      </c>
      <c r="C212">
        <v>14.026999999999999</v>
      </c>
      <c r="L212">
        <f t="shared" si="9"/>
        <v>891</v>
      </c>
      <c r="M212">
        <f t="shared" si="9"/>
        <v>135</v>
      </c>
      <c r="N212">
        <f t="shared" si="10"/>
        <v>14027</v>
      </c>
      <c r="O212" t="str">
        <f t="shared" si="11"/>
        <v>&lt;Entry outShaftSpeed="891.00" torque="135.00" electricPower="14027.00"/&gt;</v>
      </c>
    </row>
    <row r="213" spans="1:15" x14ac:dyDescent="0.25">
      <c r="A213" s="1">
        <v>891</v>
      </c>
      <c r="B213">
        <v>180</v>
      </c>
      <c r="C213">
        <v>18.524999999999999</v>
      </c>
      <c r="L213">
        <f t="shared" si="9"/>
        <v>891</v>
      </c>
      <c r="M213">
        <f t="shared" si="9"/>
        <v>180</v>
      </c>
      <c r="N213">
        <f t="shared" si="10"/>
        <v>18525</v>
      </c>
      <c r="O213" t="str">
        <f t="shared" si="11"/>
        <v>&lt;Entry outShaftSpeed="891.00" torque="180.00" electricPower="18525.00"/&gt;</v>
      </c>
    </row>
    <row r="214" spans="1:15" x14ac:dyDescent="0.25">
      <c r="A214" s="1">
        <v>891</v>
      </c>
      <c r="B214">
        <v>225</v>
      </c>
      <c r="C214">
        <v>23.044</v>
      </c>
      <c r="L214">
        <f t="shared" si="9"/>
        <v>891</v>
      </c>
      <c r="M214">
        <f t="shared" si="9"/>
        <v>225</v>
      </c>
      <c r="N214">
        <f t="shared" si="10"/>
        <v>23044</v>
      </c>
      <c r="O214" t="str">
        <f t="shared" si="11"/>
        <v>&lt;Entry outShaftSpeed="891.00" torque="225.00" electricPower="23044.00"/&gt;</v>
      </c>
    </row>
    <row r="215" spans="1:15" x14ac:dyDescent="0.25">
      <c r="A215" s="1">
        <v>891</v>
      </c>
      <c r="B215">
        <v>270</v>
      </c>
      <c r="C215">
        <v>27.584</v>
      </c>
      <c r="L215">
        <f t="shared" si="9"/>
        <v>891</v>
      </c>
      <c r="M215">
        <f t="shared" si="9"/>
        <v>270</v>
      </c>
      <c r="N215">
        <f t="shared" si="10"/>
        <v>27584</v>
      </c>
      <c r="O215" t="str">
        <f t="shared" si="11"/>
        <v>&lt;Entry outShaftSpeed="891.00" torque="270.00" electricPower="27584.00"/&gt;</v>
      </c>
    </row>
    <row r="216" spans="1:15" x14ac:dyDescent="0.25">
      <c r="A216" s="1">
        <v>891</v>
      </c>
      <c r="B216">
        <v>315</v>
      </c>
      <c r="C216">
        <v>32.146000000000001</v>
      </c>
      <c r="L216">
        <f t="shared" si="9"/>
        <v>891</v>
      </c>
      <c r="M216">
        <f t="shared" si="9"/>
        <v>315</v>
      </c>
      <c r="N216">
        <f t="shared" si="10"/>
        <v>32146</v>
      </c>
      <c r="O216" t="str">
        <f t="shared" si="11"/>
        <v>&lt;Entry outShaftSpeed="891.00" torque="315.00" electricPower="32146.00"/&gt;</v>
      </c>
    </row>
    <row r="217" spans="1:15" x14ac:dyDescent="0.25">
      <c r="A217" s="1">
        <v>891</v>
      </c>
      <c r="B217">
        <v>360</v>
      </c>
      <c r="C217">
        <v>36.728999999999999</v>
      </c>
      <c r="L217">
        <f t="shared" si="9"/>
        <v>891</v>
      </c>
      <c r="M217">
        <f t="shared" si="9"/>
        <v>360</v>
      </c>
      <c r="N217">
        <f t="shared" si="10"/>
        <v>36729</v>
      </c>
      <c r="O217" t="str">
        <f t="shared" si="11"/>
        <v>&lt;Entry outShaftSpeed="891.00" torque="360.00" electricPower="36729.00"/&gt;</v>
      </c>
    </row>
    <row r="218" spans="1:15" x14ac:dyDescent="0.25">
      <c r="A218" s="1">
        <v>891</v>
      </c>
      <c r="B218">
        <v>405</v>
      </c>
      <c r="C218">
        <v>41.334000000000003</v>
      </c>
      <c r="L218">
        <f t="shared" si="9"/>
        <v>891</v>
      </c>
      <c r="M218">
        <f t="shared" si="9"/>
        <v>405</v>
      </c>
      <c r="N218">
        <f t="shared" si="10"/>
        <v>41334</v>
      </c>
      <c r="O218" t="str">
        <f t="shared" si="11"/>
        <v>&lt;Entry outShaftSpeed="891.00" torque="405.00" electricPower="41334.00"/&gt;</v>
      </c>
    </row>
    <row r="219" spans="1:15" x14ac:dyDescent="0.25">
      <c r="A219" s="1">
        <v>891</v>
      </c>
      <c r="B219">
        <v>450</v>
      </c>
      <c r="C219">
        <v>45.96</v>
      </c>
      <c r="L219">
        <f t="shared" si="9"/>
        <v>891</v>
      </c>
      <c r="M219">
        <f t="shared" si="9"/>
        <v>450</v>
      </c>
      <c r="N219">
        <f t="shared" si="10"/>
        <v>45960</v>
      </c>
      <c r="O219" t="str">
        <f t="shared" si="11"/>
        <v>&lt;Entry outShaftSpeed="891.00" torque="450.00" electricPower="45960.00"/&gt;</v>
      </c>
    </row>
    <row r="220" spans="1:15" x14ac:dyDescent="0.25">
      <c r="A220" s="1">
        <v>891</v>
      </c>
      <c r="B220">
        <v>495</v>
      </c>
      <c r="C220">
        <v>50.606999999999999</v>
      </c>
      <c r="L220">
        <f t="shared" si="9"/>
        <v>891</v>
      </c>
      <c r="M220">
        <f t="shared" si="9"/>
        <v>495</v>
      </c>
      <c r="N220">
        <f t="shared" si="10"/>
        <v>50607</v>
      </c>
      <c r="O220" t="str">
        <f t="shared" si="11"/>
        <v>&lt;Entry outShaftSpeed="891.00" torque="495.00" electricPower="50607.00"/&gt;</v>
      </c>
    </row>
    <row r="221" spans="1:15" x14ac:dyDescent="0.25">
      <c r="A221" s="1">
        <v>891</v>
      </c>
      <c r="B221">
        <v>540</v>
      </c>
      <c r="C221">
        <v>55.276000000000003</v>
      </c>
      <c r="L221">
        <f t="shared" si="9"/>
        <v>891</v>
      </c>
      <c r="M221">
        <f t="shared" si="9"/>
        <v>540</v>
      </c>
      <c r="N221">
        <f t="shared" si="10"/>
        <v>55276</v>
      </c>
      <c r="O221" t="str">
        <f t="shared" si="11"/>
        <v>&lt;Entry outShaftSpeed="891.00" torque="540.00" electricPower="55276.00"/&gt;</v>
      </c>
    </row>
    <row r="222" spans="1:15" x14ac:dyDescent="0.25">
      <c r="A222" s="1">
        <v>891</v>
      </c>
      <c r="B222">
        <v>585</v>
      </c>
      <c r="C222">
        <v>59.966999999999999</v>
      </c>
      <c r="L222">
        <f t="shared" si="9"/>
        <v>891</v>
      </c>
      <c r="M222">
        <f t="shared" si="9"/>
        <v>585</v>
      </c>
      <c r="N222">
        <f t="shared" si="10"/>
        <v>59967</v>
      </c>
      <c r="O222" t="str">
        <f t="shared" si="11"/>
        <v>&lt;Entry outShaftSpeed="891.00" torque="585.00" electricPower="59967.00"/&gt;</v>
      </c>
    </row>
    <row r="223" spans="1:15" x14ac:dyDescent="0.25">
      <c r="A223" s="1">
        <v>891</v>
      </c>
      <c r="B223">
        <v>630</v>
      </c>
      <c r="C223">
        <v>64.679000000000002</v>
      </c>
      <c r="L223">
        <f t="shared" si="9"/>
        <v>891</v>
      </c>
      <c r="M223">
        <f t="shared" si="9"/>
        <v>630</v>
      </c>
      <c r="N223">
        <f t="shared" si="10"/>
        <v>64679</v>
      </c>
      <c r="O223" t="str">
        <f t="shared" si="11"/>
        <v>&lt;Entry outShaftSpeed="891.00" torque="630.00" electricPower="64679.00"/&gt;</v>
      </c>
    </row>
    <row r="224" spans="1:15" x14ac:dyDescent="0.25">
      <c r="A224" s="1">
        <v>891</v>
      </c>
      <c r="B224">
        <v>675</v>
      </c>
      <c r="C224">
        <v>69.412000000000006</v>
      </c>
      <c r="L224">
        <f t="shared" si="9"/>
        <v>891</v>
      </c>
      <c r="M224">
        <f t="shared" si="9"/>
        <v>675</v>
      </c>
      <c r="N224">
        <f t="shared" si="10"/>
        <v>69412</v>
      </c>
      <c r="O224" t="str">
        <f t="shared" si="11"/>
        <v>&lt;Entry outShaftSpeed="891.00" torque="675.00" electricPower="69412.00"/&gt;</v>
      </c>
    </row>
    <row r="225" spans="1:15" x14ac:dyDescent="0.25">
      <c r="A225" s="1">
        <v>891</v>
      </c>
      <c r="B225">
        <v>720</v>
      </c>
      <c r="C225">
        <v>74.167000000000002</v>
      </c>
      <c r="L225">
        <f t="shared" si="9"/>
        <v>891</v>
      </c>
      <c r="M225">
        <f t="shared" si="9"/>
        <v>720</v>
      </c>
      <c r="N225">
        <f t="shared" si="10"/>
        <v>74167</v>
      </c>
      <c r="O225" t="str">
        <f t="shared" si="11"/>
        <v>&lt;Entry outShaftSpeed="891.00" torque="720.00" electricPower="74167.00"/&gt;</v>
      </c>
    </row>
    <row r="226" spans="1:15" x14ac:dyDescent="0.25">
      <c r="A226" s="1">
        <v>891</v>
      </c>
      <c r="B226">
        <v>765</v>
      </c>
      <c r="C226">
        <v>78.942999999999998</v>
      </c>
      <c r="L226">
        <f t="shared" si="9"/>
        <v>891</v>
      </c>
      <c r="M226">
        <f t="shared" si="9"/>
        <v>765</v>
      </c>
      <c r="N226">
        <f t="shared" si="10"/>
        <v>78943</v>
      </c>
      <c r="O226" t="str">
        <f t="shared" si="11"/>
        <v>&lt;Entry outShaftSpeed="891.00" torque="765.00" electricPower="78943.00"/&gt;</v>
      </c>
    </row>
    <row r="227" spans="1:15" x14ac:dyDescent="0.25">
      <c r="A227" s="1">
        <v>891</v>
      </c>
      <c r="B227">
        <v>810</v>
      </c>
      <c r="C227">
        <v>83.74</v>
      </c>
      <c r="L227">
        <f t="shared" si="9"/>
        <v>891</v>
      </c>
      <c r="M227">
        <f t="shared" si="9"/>
        <v>810</v>
      </c>
      <c r="N227">
        <f t="shared" si="10"/>
        <v>83740</v>
      </c>
      <c r="O227" t="str">
        <f t="shared" si="11"/>
        <v>&lt;Entry outShaftSpeed="891.00" torque="810.00" electricPower="83740.00"/&gt;</v>
      </c>
    </row>
    <row r="228" spans="1:15" x14ac:dyDescent="0.25">
      <c r="A228" s="1">
        <v>891</v>
      </c>
      <c r="B228">
        <v>855</v>
      </c>
      <c r="C228">
        <v>88.558999999999997</v>
      </c>
      <c r="L228">
        <f t="shared" si="9"/>
        <v>891</v>
      </c>
      <c r="M228">
        <f t="shared" si="9"/>
        <v>855</v>
      </c>
      <c r="N228">
        <f t="shared" si="10"/>
        <v>88559</v>
      </c>
      <c r="O228" t="str">
        <f t="shared" si="11"/>
        <v>&lt;Entry outShaftSpeed="891.00" torque="855.00" electricPower="88559.00"/&gt;</v>
      </c>
    </row>
    <row r="229" spans="1:15" x14ac:dyDescent="0.25">
      <c r="A229" s="1">
        <v>891</v>
      </c>
      <c r="B229">
        <v>900</v>
      </c>
      <c r="C229">
        <v>93.4</v>
      </c>
      <c r="L229">
        <f t="shared" si="9"/>
        <v>891</v>
      </c>
      <c r="M229">
        <f t="shared" si="9"/>
        <v>900</v>
      </c>
      <c r="N229">
        <f t="shared" si="10"/>
        <v>93400</v>
      </c>
      <c r="O229" t="str">
        <f t="shared" si="11"/>
        <v>&lt;Entry outShaftSpeed="891.00" torque="900.00" electricPower="93400.00"/&gt;</v>
      </c>
    </row>
    <row r="230" spans="1:15" x14ac:dyDescent="0.25">
      <c r="A230" s="1">
        <v>891</v>
      </c>
      <c r="B230">
        <v>945</v>
      </c>
      <c r="C230">
        <v>98.262</v>
      </c>
      <c r="L230">
        <f t="shared" si="9"/>
        <v>891</v>
      </c>
      <c r="M230">
        <f t="shared" si="9"/>
        <v>945</v>
      </c>
      <c r="N230">
        <f t="shared" si="10"/>
        <v>98262</v>
      </c>
      <c r="O230" t="str">
        <f t="shared" si="11"/>
        <v>&lt;Entry outShaftSpeed="891.00" torque="945.00" electricPower="98262.00"/&gt;</v>
      </c>
    </row>
    <row r="231" spans="1:15" x14ac:dyDescent="0.25">
      <c r="A231" s="1">
        <v>891</v>
      </c>
      <c r="B231">
        <v>990</v>
      </c>
      <c r="C231">
        <v>103.145</v>
      </c>
      <c r="L231">
        <f t="shared" si="9"/>
        <v>891</v>
      </c>
      <c r="M231">
        <f t="shared" si="9"/>
        <v>990</v>
      </c>
      <c r="N231">
        <f t="shared" si="10"/>
        <v>103145</v>
      </c>
      <c r="O231" t="str">
        <f t="shared" si="11"/>
        <v>&lt;Entry outShaftSpeed="891.00" torque="990.00" electricPower="103145.00"/&gt;</v>
      </c>
    </row>
    <row r="232" spans="1:15" x14ac:dyDescent="0.25">
      <c r="A232" s="1">
        <v>1188</v>
      </c>
      <c r="B232">
        <v>-990</v>
      </c>
      <c r="C232">
        <v>-110.11</v>
      </c>
      <c r="L232">
        <f t="shared" si="9"/>
        <v>1188</v>
      </c>
      <c r="M232">
        <f t="shared" si="9"/>
        <v>-990</v>
      </c>
      <c r="N232">
        <f t="shared" si="10"/>
        <v>-110110</v>
      </c>
      <c r="O232" t="str">
        <f t="shared" si="11"/>
        <v>&lt;Entry outShaftSpeed="1188.00" torque="-990.00" electricPower="-110110.00"/&gt;</v>
      </c>
    </row>
    <row r="233" spans="1:15" x14ac:dyDescent="0.25">
      <c r="A233" s="1">
        <v>1188</v>
      </c>
      <c r="B233">
        <v>-945</v>
      </c>
      <c r="C233">
        <v>-105.32899999999999</v>
      </c>
      <c r="L233">
        <f t="shared" si="9"/>
        <v>1188</v>
      </c>
      <c r="M233">
        <f t="shared" si="9"/>
        <v>-945</v>
      </c>
      <c r="N233">
        <f t="shared" si="10"/>
        <v>-105329</v>
      </c>
      <c r="O233" t="str">
        <f t="shared" si="11"/>
        <v>&lt;Entry outShaftSpeed="1188.00" torque="-945.00" electricPower="-105329.00"/&gt;</v>
      </c>
    </row>
    <row r="234" spans="1:15" x14ac:dyDescent="0.25">
      <c r="A234" s="1">
        <v>1188</v>
      </c>
      <c r="B234">
        <v>-900</v>
      </c>
      <c r="C234">
        <v>-100.523</v>
      </c>
      <c r="L234">
        <f t="shared" si="9"/>
        <v>1188</v>
      </c>
      <c r="M234">
        <f t="shared" si="9"/>
        <v>-900</v>
      </c>
      <c r="N234">
        <f t="shared" si="10"/>
        <v>-100523</v>
      </c>
      <c r="O234" t="str">
        <f t="shared" si="11"/>
        <v>&lt;Entry outShaftSpeed="1188.00" torque="-900.00" electricPower="-100523.00"/&gt;</v>
      </c>
    </row>
    <row r="235" spans="1:15" x14ac:dyDescent="0.25">
      <c r="A235" s="1">
        <v>1188</v>
      </c>
      <c r="B235">
        <v>-855</v>
      </c>
      <c r="C235">
        <v>-95.691000000000003</v>
      </c>
      <c r="L235">
        <f t="shared" si="9"/>
        <v>1188</v>
      </c>
      <c r="M235">
        <f t="shared" si="9"/>
        <v>-855</v>
      </c>
      <c r="N235">
        <f t="shared" si="10"/>
        <v>-95691</v>
      </c>
      <c r="O235" t="str">
        <f t="shared" si="11"/>
        <v>&lt;Entry outShaftSpeed="1188.00" torque="-855.00" electricPower="-95691.00"/&gt;</v>
      </c>
    </row>
    <row r="236" spans="1:15" x14ac:dyDescent="0.25">
      <c r="A236" s="1">
        <v>1188</v>
      </c>
      <c r="B236">
        <v>-810</v>
      </c>
      <c r="C236">
        <v>-90.834000000000003</v>
      </c>
      <c r="L236">
        <f t="shared" si="9"/>
        <v>1188</v>
      </c>
      <c r="M236">
        <f t="shared" si="9"/>
        <v>-810</v>
      </c>
      <c r="N236">
        <f t="shared" si="10"/>
        <v>-90834</v>
      </c>
      <c r="O236" t="str">
        <f t="shared" si="11"/>
        <v>&lt;Entry outShaftSpeed="1188.00" torque="-810.00" electricPower="-90834.00"/&gt;</v>
      </c>
    </row>
    <row r="237" spans="1:15" x14ac:dyDescent="0.25">
      <c r="A237" s="1">
        <v>1188</v>
      </c>
      <c r="B237">
        <v>-765</v>
      </c>
      <c r="C237">
        <v>-85.951999999999998</v>
      </c>
      <c r="L237">
        <f t="shared" si="9"/>
        <v>1188</v>
      </c>
      <c r="M237">
        <f t="shared" si="9"/>
        <v>-765</v>
      </c>
      <c r="N237">
        <f t="shared" si="10"/>
        <v>-85952</v>
      </c>
      <c r="O237" t="str">
        <f t="shared" si="11"/>
        <v>&lt;Entry outShaftSpeed="1188.00" torque="-765.00" electricPower="-85952.00"/&gt;</v>
      </c>
    </row>
    <row r="238" spans="1:15" x14ac:dyDescent="0.25">
      <c r="A238" s="1">
        <v>1188</v>
      </c>
      <c r="B238">
        <v>-720</v>
      </c>
      <c r="C238">
        <v>-81.043999999999997</v>
      </c>
      <c r="L238">
        <f t="shared" si="9"/>
        <v>1188</v>
      </c>
      <c r="M238">
        <f t="shared" si="9"/>
        <v>-720</v>
      </c>
      <c r="N238">
        <f t="shared" si="10"/>
        <v>-81044</v>
      </c>
      <c r="O238" t="str">
        <f t="shared" si="11"/>
        <v>&lt;Entry outShaftSpeed="1188.00" torque="-720.00" electricPower="-81044.00"/&gt;</v>
      </c>
    </row>
    <row r="239" spans="1:15" x14ac:dyDescent="0.25">
      <c r="A239" s="1">
        <v>1188</v>
      </c>
      <c r="B239">
        <v>-675</v>
      </c>
      <c r="C239">
        <v>-76.11</v>
      </c>
      <c r="L239">
        <f t="shared" si="9"/>
        <v>1188</v>
      </c>
      <c r="M239">
        <f t="shared" si="9"/>
        <v>-675</v>
      </c>
      <c r="N239">
        <f t="shared" si="10"/>
        <v>-76110</v>
      </c>
      <c r="O239" t="str">
        <f t="shared" si="11"/>
        <v>&lt;Entry outShaftSpeed="1188.00" torque="-675.00" electricPower="-76110.00"/&gt;</v>
      </c>
    </row>
    <row r="240" spans="1:15" x14ac:dyDescent="0.25">
      <c r="A240" s="1">
        <v>1188</v>
      </c>
      <c r="B240">
        <v>-630</v>
      </c>
      <c r="C240">
        <v>-71.150999999999996</v>
      </c>
      <c r="L240">
        <f t="shared" si="9"/>
        <v>1188</v>
      </c>
      <c r="M240">
        <f t="shared" si="9"/>
        <v>-630</v>
      </c>
      <c r="N240">
        <f t="shared" si="10"/>
        <v>-71151</v>
      </c>
      <c r="O240" t="str">
        <f t="shared" si="11"/>
        <v>&lt;Entry outShaftSpeed="1188.00" torque="-630.00" electricPower="-71151.00"/&gt;</v>
      </c>
    </row>
    <row r="241" spans="1:15" x14ac:dyDescent="0.25">
      <c r="A241" s="1">
        <v>1188</v>
      </c>
      <c r="B241">
        <v>-585</v>
      </c>
      <c r="C241">
        <v>-66.165999999999997</v>
      </c>
      <c r="L241">
        <f t="shared" si="9"/>
        <v>1188</v>
      </c>
      <c r="M241">
        <f t="shared" si="9"/>
        <v>-585</v>
      </c>
      <c r="N241">
        <f t="shared" si="10"/>
        <v>-66166</v>
      </c>
      <c r="O241" t="str">
        <f t="shared" si="11"/>
        <v>&lt;Entry outShaftSpeed="1188.00" torque="-585.00" electricPower="-66166.00"/&gt;</v>
      </c>
    </row>
    <row r="242" spans="1:15" x14ac:dyDescent="0.25">
      <c r="A242" s="1">
        <v>1188</v>
      </c>
      <c r="B242">
        <v>-540</v>
      </c>
      <c r="C242">
        <v>-61.155999999999999</v>
      </c>
      <c r="L242">
        <f t="shared" si="9"/>
        <v>1188</v>
      </c>
      <c r="M242">
        <f t="shared" si="9"/>
        <v>-540</v>
      </c>
      <c r="N242">
        <f t="shared" si="10"/>
        <v>-61156</v>
      </c>
      <c r="O242" t="str">
        <f t="shared" si="11"/>
        <v>&lt;Entry outShaftSpeed="1188.00" torque="-540.00" electricPower="-61156.00"/&gt;</v>
      </c>
    </row>
    <row r="243" spans="1:15" x14ac:dyDescent="0.25">
      <c r="A243" s="1">
        <v>1188</v>
      </c>
      <c r="B243">
        <v>-495</v>
      </c>
      <c r="C243">
        <v>-56.12</v>
      </c>
      <c r="L243">
        <f t="shared" si="9"/>
        <v>1188</v>
      </c>
      <c r="M243">
        <f t="shared" si="9"/>
        <v>-495</v>
      </c>
      <c r="N243">
        <f t="shared" si="10"/>
        <v>-56120</v>
      </c>
      <c r="O243" t="str">
        <f t="shared" si="11"/>
        <v>&lt;Entry outShaftSpeed="1188.00" torque="-495.00" electricPower="-56120.00"/&gt;</v>
      </c>
    </row>
    <row r="244" spans="1:15" x14ac:dyDescent="0.25">
      <c r="A244" s="1">
        <v>1188</v>
      </c>
      <c r="B244">
        <v>-450</v>
      </c>
      <c r="C244">
        <v>-51.058999999999997</v>
      </c>
      <c r="L244">
        <f t="shared" si="9"/>
        <v>1188</v>
      </c>
      <c r="M244">
        <f t="shared" si="9"/>
        <v>-450</v>
      </c>
      <c r="N244">
        <f t="shared" si="10"/>
        <v>-51059</v>
      </c>
      <c r="O244" t="str">
        <f t="shared" si="11"/>
        <v>&lt;Entry outShaftSpeed="1188.00" torque="-450.00" electricPower="-51059.00"/&gt;</v>
      </c>
    </row>
    <row r="245" spans="1:15" x14ac:dyDescent="0.25">
      <c r="A245" s="1">
        <v>1188</v>
      </c>
      <c r="B245">
        <v>-405</v>
      </c>
      <c r="C245">
        <v>-45.972000000000001</v>
      </c>
      <c r="L245">
        <f t="shared" si="9"/>
        <v>1188</v>
      </c>
      <c r="M245">
        <f t="shared" si="9"/>
        <v>-405</v>
      </c>
      <c r="N245">
        <f t="shared" si="10"/>
        <v>-45972</v>
      </c>
      <c r="O245" t="str">
        <f t="shared" si="11"/>
        <v>&lt;Entry outShaftSpeed="1188.00" torque="-405.00" electricPower="-45972.00"/&gt;</v>
      </c>
    </row>
    <row r="246" spans="1:15" x14ac:dyDescent="0.25">
      <c r="A246" s="1">
        <v>1188</v>
      </c>
      <c r="B246">
        <v>-360</v>
      </c>
      <c r="C246">
        <v>-40.859000000000002</v>
      </c>
      <c r="L246">
        <f t="shared" si="9"/>
        <v>1188</v>
      </c>
      <c r="M246">
        <f t="shared" si="9"/>
        <v>-360</v>
      </c>
      <c r="N246">
        <f t="shared" si="10"/>
        <v>-40859</v>
      </c>
      <c r="O246" t="str">
        <f t="shared" si="11"/>
        <v>&lt;Entry outShaftSpeed="1188.00" torque="-360.00" electricPower="-40859.00"/&gt;</v>
      </c>
    </row>
    <row r="247" spans="1:15" x14ac:dyDescent="0.25">
      <c r="A247" s="1">
        <v>1188</v>
      </c>
      <c r="B247">
        <v>-315</v>
      </c>
      <c r="C247">
        <v>-35.720999999999997</v>
      </c>
      <c r="L247">
        <f t="shared" si="9"/>
        <v>1188</v>
      </c>
      <c r="M247">
        <f t="shared" si="9"/>
        <v>-315</v>
      </c>
      <c r="N247">
        <f t="shared" si="10"/>
        <v>-35721</v>
      </c>
      <c r="O247" t="str">
        <f t="shared" si="11"/>
        <v>&lt;Entry outShaftSpeed="1188.00" torque="-315.00" electricPower="-35721.00"/&gt;</v>
      </c>
    </row>
    <row r="248" spans="1:15" x14ac:dyDescent="0.25">
      <c r="A248" s="1">
        <v>1188</v>
      </c>
      <c r="B248">
        <v>-270</v>
      </c>
      <c r="C248">
        <v>-30.558</v>
      </c>
      <c r="L248">
        <f t="shared" si="9"/>
        <v>1188</v>
      </c>
      <c r="M248">
        <f t="shared" si="9"/>
        <v>-270</v>
      </c>
      <c r="N248">
        <f t="shared" si="10"/>
        <v>-30558</v>
      </c>
      <c r="O248" t="str">
        <f t="shared" si="11"/>
        <v>&lt;Entry outShaftSpeed="1188.00" torque="-270.00" electricPower="-30558.00"/&gt;</v>
      </c>
    </row>
    <row r="249" spans="1:15" x14ac:dyDescent="0.25">
      <c r="A249" s="1">
        <v>1188</v>
      </c>
      <c r="B249">
        <v>-225</v>
      </c>
      <c r="C249">
        <v>-25.369</v>
      </c>
      <c r="L249">
        <f t="shared" si="9"/>
        <v>1188</v>
      </c>
      <c r="M249">
        <f t="shared" si="9"/>
        <v>-225</v>
      </c>
      <c r="N249">
        <f t="shared" si="10"/>
        <v>-25369</v>
      </c>
      <c r="O249" t="str">
        <f t="shared" si="11"/>
        <v>&lt;Entry outShaftSpeed="1188.00" torque="-225.00" electricPower="-25369.00"/&gt;</v>
      </c>
    </row>
    <row r="250" spans="1:15" x14ac:dyDescent="0.25">
      <c r="A250" s="1">
        <v>1188</v>
      </c>
      <c r="B250">
        <v>-180</v>
      </c>
      <c r="C250">
        <v>-20.154</v>
      </c>
      <c r="L250">
        <f t="shared" si="9"/>
        <v>1188</v>
      </c>
      <c r="M250">
        <f t="shared" si="9"/>
        <v>-180</v>
      </c>
      <c r="N250">
        <f t="shared" si="10"/>
        <v>-20154</v>
      </c>
      <c r="O250" t="str">
        <f t="shared" si="11"/>
        <v>&lt;Entry outShaftSpeed="1188.00" torque="-180.00" electricPower="-20154.00"/&gt;</v>
      </c>
    </row>
    <row r="251" spans="1:15" x14ac:dyDescent="0.25">
      <c r="A251" s="1">
        <v>1188</v>
      </c>
      <c r="B251">
        <v>-135</v>
      </c>
      <c r="C251">
        <v>-14.914</v>
      </c>
      <c r="L251">
        <f t="shared" si="9"/>
        <v>1188</v>
      </c>
      <c r="M251">
        <f t="shared" si="9"/>
        <v>-135</v>
      </c>
      <c r="N251">
        <f t="shared" si="10"/>
        <v>-14914</v>
      </c>
      <c r="O251" t="str">
        <f t="shared" si="11"/>
        <v>&lt;Entry outShaftSpeed="1188.00" torque="-135.00" electricPower="-14914.00"/&gt;</v>
      </c>
    </row>
    <row r="252" spans="1:15" x14ac:dyDescent="0.25">
      <c r="A252" s="1">
        <v>1188</v>
      </c>
      <c r="B252">
        <v>-90</v>
      </c>
      <c r="C252">
        <v>-9.6489999999999991</v>
      </c>
      <c r="L252">
        <f t="shared" si="9"/>
        <v>1188</v>
      </c>
      <c r="M252">
        <f t="shared" si="9"/>
        <v>-90</v>
      </c>
      <c r="N252">
        <f t="shared" si="10"/>
        <v>-9649</v>
      </c>
      <c r="O252" t="str">
        <f t="shared" si="11"/>
        <v>&lt;Entry outShaftSpeed="1188.00" torque="-90.00" electricPower="-9649.00"/&gt;</v>
      </c>
    </row>
    <row r="253" spans="1:15" x14ac:dyDescent="0.25">
      <c r="A253" s="1">
        <v>1188</v>
      </c>
      <c r="B253">
        <v>-45</v>
      </c>
      <c r="C253">
        <v>-4.3579999999999997</v>
      </c>
      <c r="L253">
        <f t="shared" si="9"/>
        <v>1188</v>
      </c>
      <c r="M253">
        <f t="shared" si="9"/>
        <v>-45</v>
      </c>
      <c r="N253">
        <f t="shared" si="10"/>
        <v>-4358</v>
      </c>
      <c r="O253" t="str">
        <f t="shared" si="11"/>
        <v>&lt;Entry outShaftSpeed="1188.00" torque="-45.00" electricPower="-4358.00"/&gt;</v>
      </c>
    </row>
    <row r="254" spans="1:15" x14ac:dyDescent="0.25">
      <c r="A254" s="1">
        <v>1188</v>
      </c>
      <c r="B254">
        <v>-9</v>
      </c>
      <c r="C254">
        <v>-0.107</v>
      </c>
      <c r="L254">
        <f t="shared" si="9"/>
        <v>1188</v>
      </c>
      <c r="M254">
        <f t="shared" si="9"/>
        <v>-9</v>
      </c>
      <c r="N254">
        <f t="shared" si="10"/>
        <v>-107</v>
      </c>
      <c r="O254" t="str">
        <f t="shared" si="11"/>
        <v>&lt;Entry outShaftSpeed="1188.00" torque="-9.00" electricPower="-107.00"/&gt;</v>
      </c>
    </row>
    <row r="255" spans="1:15" x14ac:dyDescent="0.25">
      <c r="A255" s="1">
        <v>1188</v>
      </c>
      <c r="B255">
        <v>9</v>
      </c>
      <c r="C255">
        <v>2.2170000000000001</v>
      </c>
      <c r="L255">
        <f t="shared" si="9"/>
        <v>1188</v>
      </c>
      <c r="M255">
        <f t="shared" si="9"/>
        <v>9</v>
      </c>
      <c r="N255">
        <f t="shared" si="10"/>
        <v>2217</v>
      </c>
      <c r="O255" t="str">
        <f t="shared" si="11"/>
        <v>&lt;Entry outShaftSpeed="1188.00" torque="9.00" electricPower="2217.00"/&gt;</v>
      </c>
    </row>
    <row r="256" spans="1:15" x14ac:dyDescent="0.25">
      <c r="A256" s="1">
        <v>1188</v>
      </c>
      <c r="B256">
        <v>45</v>
      </c>
      <c r="C256">
        <v>6.9349999999999996</v>
      </c>
      <c r="L256">
        <f t="shared" si="9"/>
        <v>1188</v>
      </c>
      <c r="M256">
        <f t="shared" si="9"/>
        <v>45</v>
      </c>
      <c r="N256">
        <f t="shared" si="10"/>
        <v>6935</v>
      </c>
      <c r="O256" t="str">
        <f t="shared" si="11"/>
        <v>&lt;Entry outShaftSpeed="1188.00" torque="45.00" electricPower="6935.00"/&gt;</v>
      </c>
    </row>
    <row r="257" spans="1:15" x14ac:dyDescent="0.25">
      <c r="A257" s="1">
        <v>1188</v>
      </c>
      <c r="B257">
        <v>90</v>
      </c>
      <c r="C257">
        <v>12.856999999999999</v>
      </c>
      <c r="L257">
        <f t="shared" si="9"/>
        <v>1188</v>
      </c>
      <c r="M257">
        <f t="shared" si="9"/>
        <v>90</v>
      </c>
      <c r="N257">
        <f t="shared" si="10"/>
        <v>12857</v>
      </c>
      <c r="O257" t="str">
        <f t="shared" si="11"/>
        <v>&lt;Entry outShaftSpeed="1188.00" torque="90.00" electricPower="12857.00"/&gt;</v>
      </c>
    </row>
    <row r="258" spans="1:15" x14ac:dyDescent="0.25">
      <c r="A258" s="1">
        <v>1188</v>
      </c>
      <c r="B258">
        <v>135</v>
      </c>
      <c r="C258">
        <v>18.806000000000001</v>
      </c>
      <c r="L258">
        <f t="shared" si="9"/>
        <v>1188</v>
      </c>
      <c r="M258">
        <f t="shared" si="9"/>
        <v>135</v>
      </c>
      <c r="N258">
        <f t="shared" si="10"/>
        <v>18806</v>
      </c>
      <c r="O258" t="str">
        <f t="shared" si="11"/>
        <v>&lt;Entry outShaftSpeed="1188.00" torque="135.00" electricPower="18806.00"/&gt;</v>
      </c>
    </row>
    <row r="259" spans="1:15" x14ac:dyDescent="0.25">
      <c r="A259" s="1">
        <v>1188</v>
      </c>
      <c r="B259">
        <v>180</v>
      </c>
      <c r="C259">
        <v>24.783999999999999</v>
      </c>
      <c r="L259">
        <f t="shared" ref="L259:M322" si="12">A259</f>
        <v>1188</v>
      </c>
      <c r="M259">
        <f t="shared" si="12"/>
        <v>180</v>
      </c>
      <c r="N259">
        <f t="shared" ref="N259:N322" si="13">C259*1000</f>
        <v>24784</v>
      </c>
      <c r="O259" t="str">
        <f t="shared" ref="O259:O322" si="14">"&lt;Entry outShaftSpeed="""&amp;TEXT(ROUND(L259,2),"#0.00")&amp;""" torque=""" &amp; TEXT(ROUND(M259,2),"#0.00") &amp; """ electricPower="""&amp;TEXT(ROUND(N259,2),"#0.00") &amp;  """/&gt;"</f>
        <v>&lt;Entry outShaftSpeed="1188.00" torque="180.00" electricPower="24784.00"/&gt;</v>
      </c>
    </row>
    <row r="260" spans="1:15" x14ac:dyDescent="0.25">
      <c r="A260" s="1">
        <v>1188</v>
      </c>
      <c r="B260">
        <v>225</v>
      </c>
      <c r="C260">
        <v>30.789000000000001</v>
      </c>
      <c r="L260">
        <f t="shared" si="12"/>
        <v>1188</v>
      </c>
      <c r="M260">
        <f t="shared" si="12"/>
        <v>225</v>
      </c>
      <c r="N260">
        <f t="shared" si="13"/>
        <v>30789</v>
      </c>
      <c r="O260" t="str">
        <f t="shared" si="14"/>
        <v>&lt;Entry outShaftSpeed="1188.00" torque="225.00" electricPower="30789.00"/&gt;</v>
      </c>
    </row>
    <row r="261" spans="1:15" x14ac:dyDescent="0.25">
      <c r="A261" s="1">
        <v>1188</v>
      </c>
      <c r="B261">
        <v>270</v>
      </c>
      <c r="C261">
        <v>36.820999999999998</v>
      </c>
      <c r="L261">
        <f t="shared" si="12"/>
        <v>1188</v>
      </c>
      <c r="M261">
        <f t="shared" si="12"/>
        <v>270</v>
      </c>
      <c r="N261">
        <f t="shared" si="13"/>
        <v>36821</v>
      </c>
      <c r="O261" t="str">
        <f t="shared" si="14"/>
        <v>&lt;Entry outShaftSpeed="1188.00" torque="270.00" electricPower="36821.00"/&gt;</v>
      </c>
    </row>
    <row r="262" spans="1:15" x14ac:dyDescent="0.25">
      <c r="A262" s="1">
        <v>1188</v>
      </c>
      <c r="B262">
        <v>315</v>
      </c>
      <c r="C262">
        <v>42.881999999999998</v>
      </c>
      <c r="L262">
        <f t="shared" si="12"/>
        <v>1188</v>
      </c>
      <c r="M262">
        <f t="shared" si="12"/>
        <v>315</v>
      </c>
      <c r="N262">
        <f t="shared" si="13"/>
        <v>42882</v>
      </c>
      <c r="O262" t="str">
        <f t="shared" si="14"/>
        <v>&lt;Entry outShaftSpeed="1188.00" torque="315.00" electricPower="42882.00"/&gt;</v>
      </c>
    </row>
    <row r="263" spans="1:15" x14ac:dyDescent="0.25">
      <c r="A263" s="1">
        <v>1188</v>
      </c>
      <c r="B263">
        <v>360</v>
      </c>
      <c r="C263">
        <v>48.97</v>
      </c>
      <c r="L263">
        <f t="shared" si="12"/>
        <v>1188</v>
      </c>
      <c r="M263">
        <f t="shared" si="12"/>
        <v>360</v>
      </c>
      <c r="N263">
        <f t="shared" si="13"/>
        <v>48970</v>
      </c>
      <c r="O263" t="str">
        <f t="shared" si="14"/>
        <v>&lt;Entry outShaftSpeed="1188.00" torque="360.00" electricPower="48970.00"/&gt;</v>
      </c>
    </row>
    <row r="264" spans="1:15" x14ac:dyDescent="0.25">
      <c r="A264" s="1">
        <v>1188</v>
      </c>
      <c r="B264">
        <v>405</v>
      </c>
      <c r="C264">
        <v>55.085999999999999</v>
      </c>
      <c r="L264">
        <f t="shared" si="12"/>
        <v>1188</v>
      </c>
      <c r="M264">
        <f t="shared" si="12"/>
        <v>405</v>
      </c>
      <c r="N264">
        <f t="shared" si="13"/>
        <v>55086</v>
      </c>
      <c r="O264" t="str">
        <f t="shared" si="14"/>
        <v>&lt;Entry outShaftSpeed="1188.00" torque="405.00" electricPower="55086.00"/&gt;</v>
      </c>
    </row>
    <row r="265" spans="1:15" x14ac:dyDescent="0.25">
      <c r="A265" s="1">
        <v>1188</v>
      </c>
      <c r="B265">
        <v>450</v>
      </c>
      <c r="C265">
        <v>61.23</v>
      </c>
      <c r="L265">
        <f t="shared" si="12"/>
        <v>1188</v>
      </c>
      <c r="M265">
        <f t="shared" si="12"/>
        <v>450</v>
      </c>
      <c r="N265">
        <f t="shared" si="13"/>
        <v>61230</v>
      </c>
      <c r="O265" t="str">
        <f t="shared" si="14"/>
        <v>&lt;Entry outShaftSpeed="1188.00" torque="450.00" electricPower="61230.00"/&gt;</v>
      </c>
    </row>
    <row r="266" spans="1:15" x14ac:dyDescent="0.25">
      <c r="A266" s="1">
        <v>1188</v>
      </c>
      <c r="B266">
        <v>495</v>
      </c>
      <c r="C266">
        <v>67.400999999999996</v>
      </c>
      <c r="L266">
        <f t="shared" si="12"/>
        <v>1188</v>
      </c>
      <c r="M266">
        <f t="shared" si="12"/>
        <v>495</v>
      </c>
      <c r="N266">
        <f t="shared" si="13"/>
        <v>67401</v>
      </c>
      <c r="O266" t="str">
        <f t="shared" si="14"/>
        <v>&lt;Entry outShaftSpeed="1188.00" torque="495.00" electricPower="67401.00"/&gt;</v>
      </c>
    </row>
    <row r="267" spans="1:15" x14ac:dyDescent="0.25">
      <c r="A267" s="1">
        <v>1188</v>
      </c>
      <c r="B267">
        <v>540</v>
      </c>
      <c r="C267">
        <v>73.599999999999994</v>
      </c>
      <c r="L267">
        <f t="shared" si="12"/>
        <v>1188</v>
      </c>
      <c r="M267">
        <f t="shared" si="12"/>
        <v>540</v>
      </c>
      <c r="N267">
        <f t="shared" si="13"/>
        <v>73600</v>
      </c>
      <c r="O267" t="str">
        <f t="shared" si="14"/>
        <v>&lt;Entry outShaftSpeed="1188.00" torque="540.00" electricPower="73600.00"/&gt;</v>
      </c>
    </row>
    <row r="268" spans="1:15" x14ac:dyDescent="0.25">
      <c r="A268" s="1">
        <v>1188</v>
      </c>
      <c r="B268">
        <v>585</v>
      </c>
      <c r="C268">
        <v>79.825999999999993</v>
      </c>
      <c r="L268">
        <f t="shared" si="12"/>
        <v>1188</v>
      </c>
      <c r="M268">
        <f t="shared" si="12"/>
        <v>585</v>
      </c>
      <c r="N268">
        <f t="shared" si="13"/>
        <v>79826</v>
      </c>
      <c r="O268" t="str">
        <f t="shared" si="14"/>
        <v>&lt;Entry outShaftSpeed="1188.00" torque="585.00" electricPower="79826.00"/&gt;</v>
      </c>
    </row>
    <row r="269" spans="1:15" x14ac:dyDescent="0.25">
      <c r="A269" s="1">
        <v>1188</v>
      </c>
      <c r="B269">
        <v>630</v>
      </c>
      <c r="C269">
        <v>86.081000000000003</v>
      </c>
      <c r="L269">
        <f t="shared" si="12"/>
        <v>1188</v>
      </c>
      <c r="M269">
        <f t="shared" si="12"/>
        <v>630</v>
      </c>
      <c r="N269">
        <f t="shared" si="13"/>
        <v>86081</v>
      </c>
      <c r="O269" t="str">
        <f t="shared" si="14"/>
        <v>&lt;Entry outShaftSpeed="1188.00" torque="630.00" electricPower="86081.00"/&gt;</v>
      </c>
    </row>
    <row r="270" spans="1:15" x14ac:dyDescent="0.25">
      <c r="A270" s="1">
        <v>1188</v>
      </c>
      <c r="B270">
        <v>675</v>
      </c>
      <c r="C270">
        <v>92.363</v>
      </c>
      <c r="L270">
        <f t="shared" si="12"/>
        <v>1188</v>
      </c>
      <c r="M270">
        <f t="shared" si="12"/>
        <v>675</v>
      </c>
      <c r="N270">
        <f t="shared" si="13"/>
        <v>92363</v>
      </c>
      <c r="O270" t="str">
        <f t="shared" si="14"/>
        <v>&lt;Entry outShaftSpeed="1188.00" torque="675.00" electricPower="92363.00"/&gt;</v>
      </c>
    </row>
    <row r="271" spans="1:15" x14ac:dyDescent="0.25">
      <c r="A271" s="1">
        <v>1188</v>
      </c>
      <c r="B271">
        <v>720</v>
      </c>
      <c r="C271">
        <v>98.673000000000002</v>
      </c>
      <c r="L271">
        <f t="shared" si="12"/>
        <v>1188</v>
      </c>
      <c r="M271">
        <f t="shared" si="12"/>
        <v>720</v>
      </c>
      <c r="N271">
        <f t="shared" si="13"/>
        <v>98673</v>
      </c>
      <c r="O271" t="str">
        <f t="shared" si="14"/>
        <v>&lt;Entry outShaftSpeed="1188.00" torque="720.00" electricPower="98673.00"/&gt;</v>
      </c>
    </row>
    <row r="272" spans="1:15" x14ac:dyDescent="0.25">
      <c r="A272" s="1">
        <v>1188</v>
      </c>
      <c r="B272">
        <v>765</v>
      </c>
      <c r="C272">
        <v>105.01</v>
      </c>
      <c r="L272">
        <f t="shared" si="12"/>
        <v>1188</v>
      </c>
      <c r="M272">
        <f t="shared" si="12"/>
        <v>765</v>
      </c>
      <c r="N272">
        <f t="shared" si="13"/>
        <v>105010</v>
      </c>
      <c r="O272" t="str">
        <f t="shared" si="14"/>
        <v>&lt;Entry outShaftSpeed="1188.00" torque="765.00" electricPower="105010.00"/&gt;</v>
      </c>
    </row>
    <row r="273" spans="1:15" x14ac:dyDescent="0.25">
      <c r="A273" s="1">
        <v>1188</v>
      </c>
      <c r="B273">
        <v>810</v>
      </c>
      <c r="C273">
        <v>111.375</v>
      </c>
      <c r="L273">
        <f t="shared" si="12"/>
        <v>1188</v>
      </c>
      <c r="M273">
        <f t="shared" si="12"/>
        <v>810</v>
      </c>
      <c r="N273">
        <f t="shared" si="13"/>
        <v>111375</v>
      </c>
      <c r="O273" t="str">
        <f t="shared" si="14"/>
        <v>&lt;Entry outShaftSpeed="1188.00" torque="810.00" electricPower="111375.00"/&gt;</v>
      </c>
    </row>
    <row r="274" spans="1:15" x14ac:dyDescent="0.25">
      <c r="A274" s="1">
        <v>1188</v>
      </c>
      <c r="B274">
        <v>855</v>
      </c>
      <c r="C274">
        <v>117.768</v>
      </c>
      <c r="L274">
        <f t="shared" si="12"/>
        <v>1188</v>
      </c>
      <c r="M274">
        <f t="shared" si="12"/>
        <v>855</v>
      </c>
      <c r="N274">
        <f t="shared" si="13"/>
        <v>117768</v>
      </c>
      <c r="O274" t="str">
        <f t="shared" si="14"/>
        <v>&lt;Entry outShaftSpeed="1188.00" torque="855.00" electricPower="117768.00"/&gt;</v>
      </c>
    </row>
    <row r="275" spans="1:15" x14ac:dyDescent="0.25">
      <c r="A275" s="1">
        <v>1188</v>
      </c>
      <c r="B275">
        <v>900</v>
      </c>
      <c r="C275">
        <v>124.18899999999999</v>
      </c>
      <c r="L275">
        <f t="shared" si="12"/>
        <v>1188</v>
      </c>
      <c r="M275">
        <f t="shared" si="12"/>
        <v>900</v>
      </c>
      <c r="N275">
        <f t="shared" si="13"/>
        <v>124189</v>
      </c>
      <c r="O275" t="str">
        <f t="shared" si="14"/>
        <v>&lt;Entry outShaftSpeed="1188.00" torque="900.00" electricPower="124189.00"/&gt;</v>
      </c>
    </row>
    <row r="276" spans="1:15" x14ac:dyDescent="0.25">
      <c r="A276" s="1">
        <v>1188</v>
      </c>
      <c r="B276">
        <v>945</v>
      </c>
      <c r="C276">
        <v>130.637</v>
      </c>
      <c r="L276">
        <f t="shared" si="12"/>
        <v>1188</v>
      </c>
      <c r="M276">
        <f t="shared" si="12"/>
        <v>945</v>
      </c>
      <c r="N276">
        <f t="shared" si="13"/>
        <v>130637</v>
      </c>
      <c r="O276" t="str">
        <f t="shared" si="14"/>
        <v>&lt;Entry outShaftSpeed="1188.00" torque="945.00" electricPower="130637.00"/&gt;</v>
      </c>
    </row>
    <row r="277" spans="1:15" x14ac:dyDescent="0.25">
      <c r="A277" s="1">
        <v>1188</v>
      </c>
      <c r="B277">
        <v>990</v>
      </c>
      <c r="C277">
        <v>137.113</v>
      </c>
      <c r="L277">
        <f t="shared" si="12"/>
        <v>1188</v>
      </c>
      <c r="M277">
        <f t="shared" si="12"/>
        <v>990</v>
      </c>
      <c r="N277">
        <f t="shared" si="13"/>
        <v>137113</v>
      </c>
      <c r="O277" t="str">
        <f t="shared" si="14"/>
        <v>&lt;Entry outShaftSpeed="1188.00" torque="990.00" electricPower="137113.00"/&gt;</v>
      </c>
    </row>
    <row r="278" spans="1:15" x14ac:dyDescent="0.25">
      <c r="A278" s="1">
        <v>1485</v>
      </c>
      <c r="B278">
        <v>-990</v>
      </c>
      <c r="C278">
        <v>-137.428</v>
      </c>
      <c r="L278">
        <f t="shared" si="12"/>
        <v>1485</v>
      </c>
      <c r="M278">
        <f t="shared" si="12"/>
        <v>-990</v>
      </c>
      <c r="N278">
        <f t="shared" si="13"/>
        <v>-137428</v>
      </c>
      <c r="O278" t="str">
        <f t="shared" si="14"/>
        <v>&lt;Entry outShaftSpeed="1485.00" torque="-990.00" electricPower="-137428.00"/&gt;</v>
      </c>
    </row>
    <row r="279" spans="1:15" x14ac:dyDescent="0.25">
      <c r="A279" s="1">
        <v>1485</v>
      </c>
      <c r="B279">
        <v>-945</v>
      </c>
      <c r="C279">
        <v>-131.46299999999999</v>
      </c>
      <c r="L279">
        <f t="shared" si="12"/>
        <v>1485</v>
      </c>
      <c r="M279">
        <f t="shared" si="12"/>
        <v>-945</v>
      </c>
      <c r="N279">
        <f t="shared" si="13"/>
        <v>-131463</v>
      </c>
      <c r="O279" t="str">
        <f t="shared" si="14"/>
        <v>&lt;Entry outShaftSpeed="1485.00" torque="-945.00" electricPower="-131463.00"/&gt;</v>
      </c>
    </row>
    <row r="280" spans="1:15" x14ac:dyDescent="0.25">
      <c r="A280" s="1">
        <v>1485</v>
      </c>
      <c r="B280">
        <v>-900</v>
      </c>
      <c r="C280">
        <v>-125.465</v>
      </c>
      <c r="L280">
        <f t="shared" si="12"/>
        <v>1485</v>
      </c>
      <c r="M280">
        <f t="shared" si="12"/>
        <v>-900</v>
      </c>
      <c r="N280">
        <f t="shared" si="13"/>
        <v>-125465</v>
      </c>
      <c r="O280" t="str">
        <f t="shared" si="14"/>
        <v>&lt;Entry outShaftSpeed="1485.00" torque="-900.00" electricPower="-125465.00"/&gt;</v>
      </c>
    </row>
    <row r="281" spans="1:15" x14ac:dyDescent="0.25">
      <c r="A281" s="1">
        <v>1485</v>
      </c>
      <c r="B281">
        <v>-855</v>
      </c>
      <c r="C281">
        <v>-119.434</v>
      </c>
      <c r="L281">
        <f t="shared" si="12"/>
        <v>1485</v>
      </c>
      <c r="M281">
        <f t="shared" si="12"/>
        <v>-855</v>
      </c>
      <c r="N281">
        <f t="shared" si="13"/>
        <v>-119434</v>
      </c>
      <c r="O281" t="str">
        <f t="shared" si="14"/>
        <v>&lt;Entry outShaftSpeed="1485.00" torque="-855.00" electricPower="-119434.00"/&gt;</v>
      </c>
    </row>
    <row r="282" spans="1:15" x14ac:dyDescent="0.25">
      <c r="A282" s="1">
        <v>1485</v>
      </c>
      <c r="B282">
        <v>-810</v>
      </c>
      <c r="C282">
        <v>-113.37</v>
      </c>
      <c r="L282">
        <f t="shared" si="12"/>
        <v>1485</v>
      </c>
      <c r="M282">
        <f t="shared" si="12"/>
        <v>-810</v>
      </c>
      <c r="N282">
        <f t="shared" si="13"/>
        <v>-113370</v>
      </c>
      <c r="O282" t="str">
        <f t="shared" si="14"/>
        <v>&lt;Entry outShaftSpeed="1485.00" torque="-810.00" electricPower="-113370.00"/&gt;</v>
      </c>
    </row>
    <row r="283" spans="1:15" x14ac:dyDescent="0.25">
      <c r="A283" s="1">
        <v>1485</v>
      </c>
      <c r="B283">
        <v>-765</v>
      </c>
      <c r="C283">
        <v>-107.273</v>
      </c>
      <c r="L283">
        <f t="shared" si="12"/>
        <v>1485</v>
      </c>
      <c r="M283">
        <f t="shared" si="12"/>
        <v>-765</v>
      </c>
      <c r="N283">
        <f t="shared" si="13"/>
        <v>-107273</v>
      </c>
      <c r="O283" t="str">
        <f t="shared" si="14"/>
        <v>&lt;Entry outShaftSpeed="1485.00" torque="-765.00" electricPower="-107273.00"/&gt;</v>
      </c>
    </row>
    <row r="284" spans="1:15" x14ac:dyDescent="0.25">
      <c r="A284" s="1">
        <v>1485</v>
      </c>
      <c r="B284">
        <v>-720</v>
      </c>
      <c r="C284">
        <v>-101.143</v>
      </c>
      <c r="L284">
        <f t="shared" si="12"/>
        <v>1485</v>
      </c>
      <c r="M284">
        <f t="shared" si="12"/>
        <v>-720</v>
      </c>
      <c r="N284">
        <f t="shared" si="13"/>
        <v>-101143</v>
      </c>
      <c r="O284" t="str">
        <f t="shared" si="14"/>
        <v>&lt;Entry outShaftSpeed="1485.00" torque="-720.00" electricPower="-101143.00"/&gt;</v>
      </c>
    </row>
    <row r="285" spans="1:15" x14ac:dyDescent="0.25">
      <c r="A285" s="1">
        <v>1485</v>
      </c>
      <c r="B285">
        <v>-675</v>
      </c>
      <c r="C285">
        <v>-94.980999999999995</v>
      </c>
      <c r="L285">
        <f t="shared" si="12"/>
        <v>1485</v>
      </c>
      <c r="M285">
        <f t="shared" si="12"/>
        <v>-675</v>
      </c>
      <c r="N285">
        <f t="shared" si="13"/>
        <v>-94981</v>
      </c>
      <c r="O285" t="str">
        <f t="shared" si="14"/>
        <v>&lt;Entry outShaftSpeed="1485.00" torque="-675.00" electricPower="-94981.00"/&gt;</v>
      </c>
    </row>
    <row r="286" spans="1:15" x14ac:dyDescent="0.25">
      <c r="A286" s="1">
        <v>1485</v>
      </c>
      <c r="B286">
        <v>-630</v>
      </c>
      <c r="C286">
        <v>-88.784999999999997</v>
      </c>
      <c r="L286">
        <f t="shared" si="12"/>
        <v>1485</v>
      </c>
      <c r="M286">
        <f t="shared" si="12"/>
        <v>-630</v>
      </c>
      <c r="N286">
        <f t="shared" si="13"/>
        <v>-88785</v>
      </c>
      <c r="O286" t="str">
        <f t="shared" si="14"/>
        <v>&lt;Entry outShaftSpeed="1485.00" torque="-630.00" electricPower="-88785.00"/&gt;</v>
      </c>
    </row>
    <row r="287" spans="1:15" x14ac:dyDescent="0.25">
      <c r="A287" s="1">
        <v>1485</v>
      </c>
      <c r="B287">
        <v>-585</v>
      </c>
      <c r="C287">
        <v>-82.555999999999997</v>
      </c>
      <c r="L287">
        <f t="shared" si="12"/>
        <v>1485</v>
      </c>
      <c r="M287">
        <f t="shared" si="12"/>
        <v>-585</v>
      </c>
      <c r="N287">
        <f t="shared" si="13"/>
        <v>-82556</v>
      </c>
      <c r="O287" t="str">
        <f t="shared" si="14"/>
        <v>&lt;Entry outShaftSpeed="1485.00" torque="-585.00" electricPower="-82556.00"/&gt;</v>
      </c>
    </row>
    <row r="288" spans="1:15" x14ac:dyDescent="0.25">
      <c r="A288" s="1">
        <v>1485</v>
      </c>
      <c r="B288">
        <v>-540</v>
      </c>
      <c r="C288">
        <v>-76.295000000000002</v>
      </c>
      <c r="L288">
        <f t="shared" si="12"/>
        <v>1485</v>
      </c>
      <c r="M288">
        <f t="shared" si="12"/>
        <v>-540</v>
      </c>
      <c r="N288">
        <f t="shared" si="13"/>
        <v>-76295</v>
      </c>
      <c r="O288" t="str">
        <f t="shared" si="14"/>
        <v>&lt;Entry outShaftSpeed="1485.00" torque="-540.00" electricPower="-76295.00"/&gt;</v>
      </c>
    </row>
    <row r="289" spans="1:15" x14ac:dyDescent="0.25">
      <c r="A289" s="1">
        <v>1485</v>
      </c>
      <c r="B289">
        <v>-495</v>
      </c>
      <c r="C289">
        <v>-70</v>
      </c>
      <c r="L289">
        <f t="shared" si="12"/>
        <v>1485</v>
      </c>
      <c r="M289">
        <f t="shared" si="12"/>
        <v>-495</v>
      </c>
      <c r="N289">
        <f t="shared" si="13"/>
        <v>-70000</v>
      </c>
      <c r="O289" t="str">
        <f t="shared" si="14"/>
        <v>&lt;Entry outShaftSpeed="1485.00" torque="-495.00" electricPower="-70000.00"/&gt;</v>
      </c>
    </row>
    <row r="290" spans="1:15" x14ac:dyDescent="0.25">
      <c r="A290" s="1">
        <v>1485</v>
      </c>
      <c r="B290">
        <v>-450</v>
      </c>
      <c r="C290">
        <v>-63.673000000000002</v>
      </c>
      <c r="L290">
        <f t="shared" si="12"/>
        <v>1485</v>
      </c>
      <c r="M290">
        <f t="shared" si="12"/>
        <v>-450</v>
      </c>
      <c r="N290">
        <f t="shared" si="13"/>
        <v>-63673</v>
      </c>
      <c r="O290" t="str">
        <f t="shared" si="14"/>
        <v>&lt;Entry outShaftSpeed="1485.00" torque="-450.00" electricPower="-63673.00"/&gt;</v>
      </c>
    </row>
    <row r="291" spans="1:15" x14ac:dyDescent="0.25">
      <c r="A291" s="1">
        <v>1485</v>
      </c>
      <c r="B291">
        <v>-405</v>
      </c>
      <c r="C291">
        <v>-57.313000000000002</v>
      </c>
      <c r="L291">
        <f t="shared" si="12"/>
        <v>1485</v>
      </c>
      <c r="M291">
        <f t="shared" si="12"/>
        <v>-405</v>
      </c>
      <c r="N291">
        <f t="shared" si="13"/>
        <v>-57313</v>
      </c>
      <c r="O291" t="str">
        <f t="shared" si="14"/>
        <v>&lt;Entry outShaftSpeed="1485.00" torque="-405.00" electricPower="-57313.00"/&gt;</v>
      </c>
    </row>
    <row r="292" spans="1:15" x14ac:dyDescent="0.25">
      <c r="A292" s="1">
        <v>1485</v>
      </c>
      <c r="B292">
        <v>-360</v>
      </c>
      <c r="C292">
        <v>-50.92</v>
      </c>
      <c r="L292">
        <f t="shared" si="12"/>
        <v>1485</v>
      </c>
      <c r="M292">
        <f t="shared" si="12"/>
        <v>-360</v>
      </c>
      <c r="N292">
        <f t="shared" si="13"/>
        <v>-50920</v>
      </c>
      <c r="O292" t="str">
        <f t="shared" si="14"/>
        <v>&lt;Entry outShaftSpeed="1485.00" torque="-360.00" electricPower="-50920.00"/&gt;</v>
      </c>
    </row>
    <row r="293" spans="1:15" x14ac:dyDescent="0.25">
      <c r="A293" s="1">
        <v>1485</v>
      </c>
      <c r="B293">
        <v>-315</v>
      </c>
      <c r="C293">
        <v>-44.494</v>
      </c>
      <c r="L293">
        <f t="shared" si="12"/>
        <v>1485</v>
      </c>
      <c r="M293">
        <f t="shared" si="12"/>
        <v>-315</v>
      </c>
      <c r="N293">
        <f t="shared" si="13"/>
        <v>-44494</v>
      </c>
      <c r="O293" t="str">
        <f t="shared" si="14"/>
        <v>&lt;Entry outShaftSpeed="1485.00" torque="-315.00" electricPower="-44494.00"/&gt;</v>
      </c>
    </row>
    <row r="294" spans="1:15" x14ac:dyDescent="0.25">
      <c r="A294" s="1">
        <v>1485</v>
      </c>
      <c r="B294">
        <v>-270</v>
      </c>
      <c r="C294">
        <v>-38.034999999999997</v>
      </c>
      <c r="L294">
        <f t="shared" si="12"/>
        <v>1485</v>
      </c>
      <c r="M294">
        <f t="shared" si="12"/>
        <v>-270</v>
      </c>
      <c r="N294">
        <f t="shared" si="13"/>
        <v>-38035</v>
      </c>
      <c r="O294" t="str">
        <f t="shared" si="14"/>
        <v>&lt;Entry outShaftSpeed="1485.00" torque="-270.00" electricPower="-38035.00"/&gt;</v>
      </c>
    </row>
    <row r="295" spans="1:15" x14ac:dyDescent="0.25">
      <c r="A295" s="1">
        <v>1485</v>
      </c>
      <c r="B295">
        <v>-225</v>
      </c>
      <c r="C295">
        <v>-31.542999999999999</v>
      </c>
      <c r="L295">
        <f t="shared" si="12"/>
        <v>1485</v>
      </c>
      <c r="M295">
        <f t="shared" si="12"/>
        <v>-225</v>
      </c>
      <c r="N295">
        <f t="shared" si="13"/>
        <v>-31543</v>
      </c>
      <c r="O295" t="str">
        <f t="shared" si="14"/>
        <v>&lt;Entry outShaftSpeed="1485.00" torque="-225.00" electricPower="-31543.00"/&gt;</v>
      </c>
    </row>
    <row r="296" spans="1:15" x14ac:dyDescent="0.25">
      <c r="A296" s="1">
        <v>1485</v>
      </c>
      <c r="B296">
        <v>-180</v>
      </c>
      <c r="C296">
        <v>-25.018000000000001</v>
      </c>
      <c r="L296">
        <f t="shared" si="12"/>
        <v>1485</v>
      </c>
      <c r="M296">
        <f t="shared" si="12"/>
        <v>-180</v>
      </c>
      <c r="N296">
        <f t="shared" si="13"/>
        <v>-25018</v>
      </c>
      <c r="O296" t="str">
        <f t="shared" si="14"/>
        <v>&lt;Entry outShaftSpeed="1485.00" torque="-180.00" electricPower="-25018.00"/&gt;</v>
      </c>
    </row>
    <row r="297" spans="1:15" x14ac:dyDescent="0.25">
      <c r="A297" s="1">
        <v>1485</v>
      </c>
      <c r="B297">
        <v>-135</v>
      </c>
      <c r="C297">
        <v>-18.46</v>
      </c>
      <c r="L297">
        <f t="shared" si="12"/>
        <v>1485</v>
      </c>
      <c r="M297">
        <f t="shared" si="12"/>
        <v>-135</v>
      </c>
      <c r="N297">
        <f t="shared" si="13"/>
        <v>-18460</v>
      </c>
      <c r="O297" t="str">
        <f t="shared" si="14"/>
        <v>&lt;Entry outShaftSpeed="1485.00" torque="-135.00" electricPower="-18460.00"/&gt;</v>
      </c>
    </row>
    <row r="298" spans="1:15" x14ac:dyDescent="0.25">
      <c r="A298" s="1">
        <v>1485</v>
      </c>
      <c r="B298">
        <v>-90</v>
      </c>
      <c r="C298">
        <v>-11.869</v>
      </c>
      <c r="L298">
        <f t="shared" si="12"/>
        <v>1485</v>
      </c>
      <c r="M298">
        <f t="shared" si="12"/>
        <v>-90</v>
      </c>
      <c r="N298">
        <f t="shared" si="13"/>
        <v>-11869</v>
      </c>
      <c r="O298" t="str">
        <f t="shared" si="14"/>
        <v>&lt;Entry outShaftSpeed="1485.00" torque="-90.00" electricPower="-11869.00"/&gt;</v>
      </c>
    </row>
    <row r="299" spans="1:15" x14ac:dyDescent="0.25">
      <c r="A299" s="1">
        <v>1485</v>
      </c>
      <c r="B299">
        <v>-45</v>
      </c>
      <c r="C299">
        <v>-5.2460000000000004</v>
      </c>
      <c r="L299">
        <f t="shared" si="12"/>
        <v>1485</v>
      </c>
      <c r="M299">
        <f t="shared" si="12"/>
        <v>-45</v>
      </c>
      <c r="N299">
        <f t="shared" si="13"/>
        <v>-5246</v>
      </c>
      <c r="O299" t="str">
        <f t="shared" si="14"/>
        <v>&lt;Entry outShaftSpeed="1485.00" torque="-45.00" electricPower="-5246.00"/&gt;</v>
      </c>
    </row>
    <row r="300" spans="1:15" x14ac:dyDescent="0.25">
      <c r="A300" s="1">
        <v>1485</v>
      </c>
      <c r="B300">
        <v>-9</v>
      </c>
      <c r="C300">
        <v>0</v>
      </c>
      <c r="L300">
        <f t="shared" si="12"/>
        <v>1485</v>
      </c>
      <c r="M300">
        <f t="shared" si="12"/>
        <v>-9</v>
      </c>
      <c r="N300">
        <f t="shared" si="13"/>
        <v>0</v>
      </c>
      <c r="O300" t="str">
        <f t="shared" si="14"/>
        <v>&lt;Entry outShaftSpeed="1485.00" torque="-9.00" electricPower="0.00"/&gt;</v>
      </c>
    </row>
    <row r="301" spans="1:15" x14ac:dyDescent="0.25">
      <c r="A301" s="1">
        <v>1485</v>
      </c>
      <c r="B301">
        <v>9</v>
      </c>
      <c r="C301">
        <v>2.9990000000000001</v>
      </c>
      <c r="L301">
        <f t="shared" si="12"/>
        <v>1485</v>
      </c>
      <c r="M301">
        <f t="shared" si="12"/>
        <v>9</v>
      </c>
      <c r="N301">
        <f t="shared" si="13"/>
        <v>2999</v>
      </c>
      <c r="O301" t="str">
        <f t="shared" si="14"/>
        <v>&lt;Entry outShaftSpeed="1485.00" torque="9.00" electricPower="2999.00"/&gt;</v>
      </c>
    </row>
    <row r="302" spans="1:15" x14ac:dyDescent="0.25">
      <c r="A302" s="1">
        <v>1485</v>
      </c>
      <c r="B302">
        <v>45</v>
      </c>
      <c r="C302">
        <v>8.8870000000000005</v>
      </c>
      <c r="L302">
        <f t="shared" si="12"/>
        <v>1485</v>
      </c>
      <c r="M302">
        <f t="shared" si="12"/>
        <v>45</v>
      </c>
      <c r="N302">
        <f t="shared" si="13"/>
        <v>8887</v>
      </c>
      <c r="O302" t="str">
        <f t="shared" si="14"/>
        <v>&lt;Entry outShaftSpeed="1485.00" torque="45.00" electricPower="8887.00"/&gt;</v>
      </c>
    </row>
    <row r="303" spans="1:15" x14ac:dyDescent="0.25">
      <c r="A303" s="1">
        <v>1485</v>
      </c>
      <c r="B303">
        <v>90</v>
      </c>
      <c r="C303">
        <v>16.279</v>
      </c>
      <c r="L303">
        <f t="shared" si="12"/>
        <v>1485</v>
      </c>
      <c r="M303">
        <f t="shared" si="12"/>
        <v>90</v>
      </c>
      <c r="N303">
        <f t="shared" si="13"/>
        <v>16279</v>
      </c>
      <c r="O303" t="str">
        <f t="shared" si="14"/>
        <v>&lt;Entry outShaftSpeed="1485.00" torque="90.00" electricPower="16279.00"/&gt;</v>
      </c>
    </row>
    <row r="304" spans="1:15" x14ac:dyDescent="0.25">
      <c r="A304" s="1">
        <v>1485</v>
      </c>
      <c r="B304">
        <v>135</v>
      </c>
      <c r="C304">
        <v>23.706</v>
      </c>
      <c r="L304">
        <f t="shared" si="12"/>
        <v>1485</v>
      </c>
      <c r="M304">
        <f t="shared" si="12"/>
        <v>135</v>
      </c>
      <c r="N304">
        <f t="shared" si="13"/>
        <v>23706</v>
      </c>
      <c r="O304" t="str">
        <f t="shared" si="14"/>
        <v>&lt;Entry outShaftSpeed="1485.00" torque="135.00" electricPower="23706.00"/&gt;</v>
      </c>
    </row>
    <row r="305" spans="1:15" x14ac:dyDescent="0.25">
      <c r="A305" s="1">
        <v>1485</v>
      </c>
      <c r="B305">
        <v>180</v>
      </c>
      <c r="C305">
        <v>31.17</v>
      </c>
      <c r="L305">
        <f t="shared" si="12"/>
        <v>1485</v>
      </c>
      <c r="M305">
        <f t="shared" si="12"/>
        <v>180</v>
      </c>
      <c r="N305">
        <f t="shared" si="13"/>
        <v>31170</v>
      </c>
      <c r="O305" t="str">
        <f t="shared" si="14"/>
        <v>&lt;Entry outShaftSpeed="1485.00" torque="180.00" electricPower="31170.00"/&gt;</v>
      </c>
    </row>
    <row r="306" spans="1:15" x14ac:dyDescent="0.25">
      <c r="A306" s="1">
        <v>1485</v>
      </c>
      <c r="B306">
        <v>225</v>
      </c>
      <c r="C306">
        <v>38.668999999999997</v>
      </c>
      <c r="L306">
        <f t="shared" si="12"/>
        <v>1485</v>
      </c>
      <c r="M306">
        <f t="shared" si="12"/>
        <v>225</v>
      </c>
      <c r="N306">
        <f t="shared" si="13"/>
        <v>38669</v>
      </c>
      <c r="O306" t="str">
        <f t="shared" si="14"/>
        <v>&lt;Entry outShaftSpeed="1485.00" torque="225.00" electricPower="38669.00"/&gt;</v>
      </c>
    </row>
    <row r="307" spans="1:15" x14ac:dyDescent="0.25">
      <c r="A307" s="1">
        <v>1485</v>
      </c>
      <c r="B307">
        <v>270</v>
      </c>
      <c r="C307">
        <v>46.204000000000001</v>
      </c>
      <c r="L307">
        <f t="shared" si="12"/>
        <v>1485</v>
      </c>
      <c r="M307">
        <f t="shared" si="12"/>
        <v>270</v>
      </c>
      <c r="N307">
        <f t="shared" si="13"/>
        <v>46204</v>
      </c>
      <c r="O307" t="str">
        <f t="shared" si="14"/>
        <v>&lt;Entry outShaftSpeed="1485.00" torque="270.00" electricPower="46204.00"/&gt;</v>
      </c>
    </row>
    <row r="308" spans="1:15" x14ac:dyDescent="0.25">
      <c r="A308" s="1">
        <v>1485</v>
      </c>
      <c r="B308">
        <v>315</v>
      </c>
      <c r="C308">
        <v>53.774000000000001</v>
      </c>
      <c r="L308">
        <f t="shared" si="12"/>
        <v>1485</v>
      </c>
      <c r="M308">
        <f t="shared" si="12"/>
        <v>315</v>
      </c>
      <c r="N308">
        <f t="shared" si="13"/>
        <v>53774</v>
      </c>
      <c r="O308" t="str">
        <f t="shared" si="14"/>
        <v>&lt;Entry outShaftSpeed="1485.00" torque="315.00" electricPower="53774.00"/&gt;</v>
      </c>
    </row>
    <row r="309" spans="1:15" x14ac:dyDescent="0.25">
      <c r="A309" s="1">
        <v>1485</v>
      </c>
      <c r="B309">
        <v>360</v>
      </c>
      <c r="C309">
        <v>61.38</v>
      </c>
      <c r="L309">
        <f t="shared" si="12"/>
        <v>1485</v>
      </c>
      <c r="M309">
        <f t="shared" si="12"/>
        <v>360</v>
      </c>
      <c r="N309">
        <f t="shared" si="13"/>
        <v>61380</v>
      </c>
      <c r="O309" t="str">
        <f t="shared" si="14"/>
        <v>&lt;Entry outShaftSpeed="1485.00" torque="360.00" electricPower="61380.00"/&gt;</v>
      </c>
    </row>
    <row r="310" spans="1:15" x14ac:dyDescent="0.25">
      <c r="A310" s="1">
        <v>1485</v>
      </c>
      <c r="B310">
        <v>405</v>
      </c>
      <c r="C310">
        <v>69.022000000000006</v>
      </c>
      <c r="L310">
        <f t="shared" si="12"/>
        <v>1485</v>
      </c>
      <c r="M310">
        <f t="shared" si="12"/>
        <v>405</v>
      </c>
      <c r="N310">
        <f t="shared" si="13"/>
        <v>69022</v>
      </c>
      <c r="O310" t="str">
        <f t="shared" si="14"/>
        <v>&lt;Entry outShaftSpeed="1485.00" torque="405.00" electricPower="69022.00"/&gt;</v>
      </c>
    </row>
    <row r="311" spans="1:15" x14ac:dyDescent="0.25">
      <c r="A311" s="1">
        <v>1485</v>
      </c>
      <c r="B311">
        <v>450</v>
      </c>
      <c r="C311">
        <v>76.7</v>
      </c>
      <c r="L311">
        <f t="shared" si="12"/>
        <v>1485</v>
      </c>
      <c r="M311">
        <f t="shared" si="12"/>
        <v>450</v>
      </c>
      <c r="N311">
        <f t="shared" si="13"/>
        <v>76700</v>
      </c>
      <c r="O311" t="str">
        <f t="shared" si="14"/>
        <v>&lt;Entry outShaftSpeed="1485.00" torque="450.00" electricPower="76700.00"/&gt;</v>
      </c>
    </row>
    <row r="312" spans="1:15" x14ac:dyDescent="0.25">
      <c r="A312" s="1">
        <v>1485</v>
      </c>
      <c r="B312">
        <v>495</v>
      </c>
      <c r="C312">
        <v>84.412999999999997</v>
      </c>
      <c r="L312">
        <f t="shared" si="12"/>
        <v>1485</v>
      </c>
      <c r="M312">
        <f t="shared" si="12"/>
        <v>495</v>
      </c>
      <c r="N312">
        <f t="shared" si="13"/>
        <v>84413</v>
      </c>
      <c r="O312" t="str">
        <f t="shared" si="14"/>
        <v>&lt;Entry outShaftSpeed="1485.00" torque="495.00" electricPower="84413.00"/&gt;</v>
      </c>
    </row>
    <row r="313" spans="1:15" x14ac:dyDescent="0.25">
      <c r="A313" s="1">
        <v>1485</v>
      </c>
      <c r="B313">
        <v>540</v>
      </c>
      <c r="C313">
        <v>92.162000000000006</v>
      </c>
      <c r="L313">
        <f t="shared" si="12"/>
        <v>1485</v>
      </c>
      <c r="M313">
        <f t="shared" si="12"/>
        <v>540</v>
      </c>
      <c r="N313">
        <f t="shared" si="13"/>
        <v>92162</v>
      </c>
      <c r="O313" t="str">
        <f t="shared" si="14"/>
        <v>&lt;Entry outShaftSpeed="1485.00" torque="540.00" electricPower="92162.00"/&gt;</v>
      </c>
    </row>
    <row r="314" spans="1:15" x14ac:dyDescent="0.25">
      <c r="A314" s="1">
        <v>1485</v>
      </c>
      <c r="B314">
        <v>585</v>
      </c>
      <c r="C314">
        <v>99.947000000000003</v>
      </c>
      <c r="L314">
        <f t="shared" si="12"/>
        <v>1485</v>
      </c>
      <c r="M314">
        <f t="shared" si="12"/>
        <v>585</v>
      </c>
      <c r="N314">
        <f t="shared" si="13"/>
        <v>99947</v>
      </c>
      <c r="O314" t="str">
        <f t="shared" si="14"/>
        <v>&lt;Entry outShaftSpeed="1485.00" torque="585.00" electricPower="99947.00"/&gt;</v>
      </c>
    </row>
    <row r="315" spans="1:15" x14ac:dyDescent="0.25">
      <c r="A315" s="1">
        <v>1485</v>
      </c>
      <c r="B315">
        <v>630</v>
      </c>
      <c r="C315">
        <v>107.768</v>
      </c>
      <c r="L315">
        <f t="shared" si="12"/>
        <v>1485</v>
      </c>
      <c r="M315">
        <f t="shared" si="12"/>
        <v>630</v>
      </c>
      <c r="N315">
        <f t="shared" si="13"/>
        <v>107768</v>
      </c>
      <c r="O315" t="str">
        <f t="shared" si="14"/>
        <v>&lt;Entry outShaftSpeed="1485.00" torque="630.00" electricPower="107768.00"/&gt;</v>
      </c>
    </row>
    <row r="316" spans="1:15" x14ac:dyDescent="0.25">
      <c r="A316" s="1">
        <v>1485</v>
      </c>
      <c r="B316">
        <v>675</v>
      </c>
      <c r="C316">
        <v>115.624</v>
      </c>
      <c r="L316">
        <f t="shared" si="12"/>
        <v>1485</v>
      </c>
      <c r="M316">
        <f t="shared" si="12"/>
        <v>675</v>
      </c>
      <c r="N316">
        <f t="shared" si="13"/>
        <v>115624</v>
      </c>
      <c r="O316" t="str">
        <f t="shared" si="14"/>
        <v>&lt;Entry outShaftSpeed="1485.00" torque="675.00" electricPower="115624.00"/&gt;</v>
      </c>
    </row>
    <row r="317" spans="1:15" x14ac:dyDescent="0.25">
      <c r="A317" s="1">
        <v>1485</v>
      </c>
      <c r="B317">
        <v>720</v>
      </c>
      <c r="C317">
        <v>123.51600000000001</v>
      </c>
      <c r="L317">
        <f t="shared" si="12"/>
        <v>1485</v>
      </c>
      <c r="M317">
        <f t="shared" si="12"/>
        <v>720</v>
      </c>
      <c r="N317">
        <f t="shared" si="13"/>
        <v>123516</v>
      </c>
      <c r="O317" t="str">
        <f t="shared" si="14"/>
        <v>&lt;Entry outShaftSpeed="1485.00" torque="720.00" electricPower="123516.00"/&gt;</v>
      </c>
    </row>
    <row r="318" spans="1:15" x14ac:dyDescent="0.25">
      <c r="A318" s="1">
        <v>1485</v>
      </c>
      <c r="B318">
        <v>765</v>
      </c>
      <c r="C318">
        <v>131.44300000000001</v>
      </c>
      <c r="L318">
        <f t="shared" si="12"/>
        <v>1485</v>
      </c>
      <c r="M318">
        <f t="shared" si="12"/>
        <v>765</v>
      </c>
      <c r="N318">
        <f t="shared" si="13"/>
        <v>131443</v>
      </c>
      <c r="O318" t="str">
        <f t="shared" si="14"/>
        <v>&lt;Entry outShaftSpeed="1485.00" torque="765.00" electricPower="131443.00"/&gt;</v>
      </c>
    </row>
    <row r="319" spans="1:15" x14ac:dyDescent="0.25">
      <c r="A319" s="1">
        <v>1485</v>
      </c>
      <c r="B319">
        <v>810</v>
      </c>
      <c r="C319">
        <v>139.40700000000001</v>
      </c>
      <c r="L319">
        <f t="shared" si="12"/>
        <v>1485</v>
      </c>
      <c r="M319">
        <f t="shared" si="12"/>
        <v>810</v>
      </c>
      <c r="N319">
        <f t="shared" si="13"/>
        <v>139407</v>
      </c>
      <c r="O319" t="str">
        <f t="shared" si="14"/>
        <v>&lt;Entry outShaftSpeed="1485.00" torque="810.00" electricPower="139407.00"/&gt;</v>
      </c>
    </row>
    <row r="320" spans="1:15" x14ac:dyDescent="0.25">
      <c r="A320" s="1">
        <v>1485</v>
      </c>
      <c r="B320">
        <v>855</v>
      </c>
      <c r="C320">
        <v>147.40600000000001</v>
      </c>
      <c r="L320">
        <f t="shared" si="12"/>
        <v>1485</v>
      </c>
      <c r="M320">
        <f t="shared" si="12"/>
        <v>855</v>
      </c>
      <c r="N320">
        <f t="shared" si="13"/>
        <v>147406</v>
      </c>
      <c r="O320" t="str">
        <f t="shared" si="14"/>
        <v>&lt;Entry outShaftSpeed="1485.00" torque="855.00" electricPower="147406.00"/&gt;</v>
      </c>
    </row>
    <row r="321" spans="1:15" x14ac:dyDescent="0.25">
      <c r="A321" s="1">
        <v>1485</v>
      </c>
      <c r="B321">
        <v>900</v>
      </c>
      <c r="C321">
        <v>155.441</v>
      </c>
      <c r="L321">
        <f t="shared" si="12"/>
        <v>1485</v>
      </c>
      <c r="M321">
        <f t="shared" si="12"/>
        <v>900</v>
      </c>
      <c r="N321">
        <f t="shared" si="13"/>
        <v>155441</v>
      </c>
      <c r="O321" t="str">
        <f t="shared" si="14"/>
        <v>&lt;Entry outShaftSpeed="1485.00" torque="900.00" electricPower="155441.00"/&gt;</v>
      </c>
    </row>
    <row r="322" spans="1:15" x14ac:dyDescent="0.25">
      <c r="A322" s="1">
        <v>1485</v>
      </c>
      <c r="B322">
        <v>945</v>
      </c>
      <c r="C322">
        <v>163.511</v>
      </c>
      <c r="L322">
        <f t="shared" si="12"/>
        <v>1485</v>
      </c>
      <c r="M322">
        <f t="shared" si="12"/>
        <v>945</v>
      </c>
      <c r="N322">
        <f t="shared" si="13"/>
        <v>163511</v>
      </c>
      <c r="O322" t="str">
        <f t="shared" si="14"/>
        <v>&lt;Entry outShaftSpeed="1485.00" torque="945.00" electricPower="163511.00"/&gt;</v>
      </c>
    </row>
    <row r="323" spans="1:15" x14ac:dyDescent="0.25">
      <c r="A323" s="1">
        <v>1485</v>
      </c>
      <c r="B323">
        <v>990</v>
      </c>
      <c r="C323">
        <v>171.61799999999999</v>
      </c>
      <c r="L323">
        <f t="shared" ref="L323:M386" si="15">A323</f>
        <v>1485</v>
      </c>
      <c r="M323">
        <f t="shared" si="15"/>
        <v>990</v>
      </c>
      <c r="N323">
        <f t="shared" ref="N323:N386" si="16">C323*1000</f>
        <v>171618</v>
      </c>
      <c r="O323" t="str">
        <f t="shared" ref="O323:O386" si="17">"&lt;Entry outShaftSpeed="""&amp;TEXT(ROUND(L323,2),"#0.00")&amp;""" torque=""" &amp; TEXT(ROUND(M323,2),"#0.00") &amp; """ electricPower="""&amp;TEXT(ROUND(N323,2),"#0.00") &amp;  """/&gt;"</f>
        <v>&lt;Entry outShaftSpeed="1485.00" torque="990.00" electricPower="171618.00"/&gt;</v>
      </c>
    </row>
    <row r="324" spans="1:15" x14ac:dyDescent="0.25">
      <c r="A324" s="1">
        <v>1782</v>
      </c>
      <c r="B324">
        <v>-990</v>
      </c>
      <c r="C324">
        <v>-164.233</v>
      </c>
      <c r="L324">
        <f t="shared" si="15"/>
        <v>1782</v>
      </c>
      <c r="M324">
        <f t="shared" si="15"/>
        <v>-990</v>
      </c>
      <c r="N324">
        <f t="shared" si="16"/>
        <v>-164233</v>
      </c>
      <c r="O324" t="str">
        <f t="shared" si="17"/>
        <v>&lt;Entry outShaftSpeed="1782.00" torque="-990.00" electricPower="-164233.00"/&gt;</v>
      </c>
    </row>
    <row r="325" spans="1:15" x14ac:dyDescent="0.25">
      <c r="A325" s="1">
        <v>1782</v>
      </c>
      <c r="B325">
        <v>-945</v>
      </c>
      <c r="C325">
        <v>-157.11799999999999</v>
      </c>
      <c r="L325">
        <f t="shared" si="15"/>
        <v>1782</v>
      </c>
      <c r="M325">
        <f t="shared" si="15"/>
        <v>-945</v>
      </c>
      <c r="N325">
        <f t="shared" si="16"/>
        <v>-157118</v>
      </c>
      <c r="O325" t="str">
        <f t="shared" si="17"/>
        <v>&lt;Entry outShaftSpeed="1782.00" torque="-945.00" electricPower="-157118.00"/&gt;</v>
      </c>
    </row>
    <row r="326" spans="1:15" x14ac:dyDescent="0.25">
      <c r="A326" s="1">
        <v>1782</v>
      </c>
      <c r="B326">
        <v>-900</v>
      </c>
      <c r="C326">
        <v>-149.96100000000001</v>
      </c>
      <c r="L326">
        <f t="shared" si="15"/>
        <v>1782</v>
      </c>
      <c r="M326">
        <f t="shared" si="15"/>
        <v>-900</v>
      </c>
      <c r="N326">
        <f t="shared" si="16"/>
        <v>-149961</v>
      </c>
      <c r="O326" t="str">
        <f t="shared" si="17"/>
        <v>&lt;Entry outShaftSpeed="1782.00" torque="-900.00" electricPower="-149961.00"/&gt;</v>
      </c>
    </row>
    <row r="327" spans="1:15" x14ac:dyDescent="0.25">
      <c r="A327" s="1">
        <v>1782</v>
      </c>
      <c r="B327">
        <v>-855</v>
      </c>
      <c r="C327">
        <v>-142.762</v>
      </c>
      <c r="L327">
        <f t="shared" si="15"/>
        <v>1782</v>
      </c>
      <c r="M327">
        <f t="shared" si="15"/>
        <v>-855</v>
      </c>
      <c r="N327">
        <f t="shared" si="16"/>
        <v>-142762</v>
      </c>
      <c r="O327" t="str">
        <f t="shared" si="17"/>
        <v>&lt;Entry outShaftSpeed="1782.00" torque="-855.00" electricPower="-142762.00"/&gt;</v>
      </c>
    </row>
    <row r="328" spans="1:15" x14ac:dyDescent="0.25">
      <c r="A328" s="1">
        <v>1782</v>
      </c>
      <c r="B328">
        <v>-810</v>
      </c>
      <c r="C328">
        <v>-135.52099999999999</v>
      </c>
      <c r="L328">
        <f t="shared" si="15"/>
        <v>1782</v>
      </c>
      <c r="M328">
        <f t="shared" si="15"/>
        <v>-810</v>
      </c>
      <c r="N328">
        <f t="shared" si="16"/>
        <v>-135521</v>
      </c>
      <c r="O328" t="str">
        <f t="shared" si="17"/>
        <v>&lt;Entry outShaftSpeed="1782.00" torque="-810.00" electricPower="-135521.00"/&gt;</v>
      </c>
    </row>
    <row r="329" spans="1:15" x14ac:dyDescent="0.25">
      <c r="A329" s="1">
        <v>1782</v>
      </c>
      <c r="B329">
        <v>-765</v>
      </c>
      <c r="C329">
        <v>-128.238</v>
      </c>
      <c r="L329">
        <f t="shared" si="15"/>
        <v>1782</v>
      </c>
      <c r="M329">
        <f t="shared" si="15"/>
        <v>-765</v>
      </c>
      <c r="N329">
        <f t="shared" si="16"/>
        <v>-128238</v>
      </c>
      <c r="O329" t="str">
        <f t="shared" si="17"/>
        <v>&lt;Entry outShaftSpeed="1782.00" torque="-765.00" electricPower="-128238.00"/&gt;</v>
      </c>
    </row>
    <row r="330" spans="1:15" x14ac:dyDescent="0.25">
      <c r="A330" s="1">
        <v>1782</v>
      </c>
      <c r="B330">
        <v>-720</v>
      </c>
      <c r="C330">
        <v>-120.913</v>
      </c>
      <c r="L330">
        <f t="shared" si="15"/>
        <v>1782</v>
      </c>
      <c r="M330">
        <f t="shared" si="15"/>
        <v>-720</v>
      </c>
      <c r="N330">
        <f t="shared" si="16"/>
        <v>-120913</v>
      </c>
      <c r="O330" t="str">
        <f t="shared" si="17"/>
        <v>&lt;Entry outShaftSpeed="1782.00" torque="-720.00" electricPower="-120913.00"/&gt;</v>
      </c>
    </row>
    <row r="331" spans="1:15" x14ac:dyDescent="0.25">
      <c r="A331" s="1">
        <v>1782</v>
      </c>
      <c r="B331">
        <v>-675</v>
      </c>
      <c r="C331">
        <v>-113.54600000000001</v>
      </c>
      <c r="L331">
        <f t="shared" si="15"/>
        <v>1782</v>
      </c>
      <c r="M331">
        <f t="shared" si="15"/>
        <v>-675</v>
      </c>
      <c r="N331">
        <f t="shared" si="16"/>
        <v>-113546</v>
      </c>
      <c r="O331" t="str">
        <f t="shared" si="17"/>
        <v>&lt;Entry outShaftSpeed="1782.00" torque="-675.00" electricPower="-113546.00"/&gt;</v>
      </c>
    </row>
    <row r="332" spans="1:15" x14ac:dyDescent="0.25">
      <c r="A332" s="1">
        <v>1782</v>
      </c>
      <c r="B332">
        <v>-630</v>
      </c>
      <c r="C332">
        <v>-106.137</v>
      </c>
      <c r="L332">
        <f t="shared" si="15"/>
        <v>1782</v>
      </c>
      <c r="M332">
        <f t="shared" si="15"/>
        <v>-630</v>
      </c>
      <c r="N332">
        <f t="shared" si="16"/>
        <v>-106137</v>
      </c>
      <c r="O332" t="str">
        <f t="shared" si="17"/>
        <v>&lt;Entry outShaftSpeed="1782.00" torque="-630.00" electricPower="-106137.00"/&gt;</v>
      </c>
    </row>
    <row r="333" spans="1:15" x14ac:dyDescent="0.25">
      <c r="A333" s="1">
        <v>1782</v>
      </c>
      <c r="B333">
        <v>-585</v>
      </c>
      <c r="C333">
        <v>-98.686999999999998</v>
      </c>
      <c r="L333">
        <f t="shared" si="15"/>
        <v>1782</v>
      </c>
      <c r="M333">
        <f t="shared" si="15"/>
        <v>-585</v>
      </c>
      <c r="N333">
        <f t="shared" si="16"/>
        <v>-98687</v>
      </c>
      <c r="O333" t="str">
        <f t="shared" si="17"/>
        <v>&lt;Entry outShaftSpeed="1782.00" torque="-585.00" electricPower="-98687.00"/&gt;</v>
      </c>
    </row>
    <row r="334" spans="1:15" x14ac:dyDescent="0.25">
      <c r="A334" s="1">
        <v>1782</v>
      </c>
      <c r="B334">
        <v>-540</v>
      </c>
      <c r="C334">
        <v>-91.194000000000003</v>
      </c>
      <c r="L334">
        <f t="shared" si="15"/>
        <v>1782</v>
      </c>
      <c r="M334">
        <f t="shared" si="15"/>
        <v>-540</v>
      </c>
      <c r="N334">
        <f t="shared" si="16"/>
        <v>-91194</v>
      </c>
      <c r="O334" t="str">
        <f t="shared" si="17"/>
        <v>&lt;Entry outShaftSpeed="1782.00" torque="-540.00" electricPower="-91194.00"/&gt;</v>
      </c>
    </row>
    <row r="335" spans="1:15" x14ac:dyDescent="0.25">
      <c r="A335" s="1">
        <v>1782</v>
      </c>
      <c r="B335">
        <v>-495</v>
      </c>
      <c r="C335">
        <v>-83.66</v>
      </c>
      <c r="L335">
        <f t="shared" si="15"/>
        <v>1782</v>
      </c>
      <c r="M335">
        <f t="shared" si="15"/>
        <v>-495</v>
      </c>
      <c r="N335">
        <f t="shared" si="16"/>
        <v>-83660</v>
      </c>
      <c r="O335" t="str">
        <f t="shared" si="17"/>
        <v>&lt;Entry outShaftSpeed="1782.00" torque="-495.00" electricPower="-83660.00"/&gt;</v>
      </c>
    </row>
    <row r="336" spans="1:15" x14ac:dyDescent="0.25">
      <c r="A336" s="1">
        <v>1782</v>
      </c>
      <c r="B336">
        <v>-450</v>
      </c>
      <c r="C336">
        <v>-76.082999999999998</v>
      </c>
      <c r="L336">
        <f t="shared" si="15"/>
        <v>1782</v>
      </c>
      <c r="M336">
        <f t="shared" si="15"/>
        <v>-450</v>
      </c>
      <c r="N336">
        <f t="shared" si="16"/>
        <v>-76083</v>
      </c>
      <c r="O336" t="str">
        <f t="shared" si="17"/>
        <v>&lt;Entry outShaftSpeed="1782.00" torque="-450.00" electricPower="-76083.00"/&gt;</v>
      </c>
    </row>
    <row r="337" spans="1:15" x14ac:dyDescent="0.25">
      <c r="A337" s="1">
        <v>1782</v>
      </c>
      <c r="B337">
        <v>-405</v>
      </c>
      <c r="C337">
        <v>-68.465000000000003</v>
      </c>
      <c r="L337">
        <f t="shared" si="15"/>
        <v>1782</v>
      </c>
      <c r="M337">
        <f t="shared" si="15"/>
        <v>-405</v>
      </c>
      <c r="N337">
        <f t="shared" si="16"/>
        <v>-68465</v>
      </c>
      <c r="O337" t="str">
        <f t="shared" si="17"/>
        <v>&lt;Entry outShaftSpeed="1782.00" torque="-405.00" electricPower="-68465.00"/&gt;</v>
      </c>
    </row>
    <row r="338" spans="1:15" x14ac:dyDescent="0.25">
      <c r="A338" s="1">
        <v>1782</v>
      </c>
      <c r="B338">
        <v>-360</v>
      </c>
      <c r="C338">
        <v>-60.805</v>
      </c>
      <c r="L338">
        <f t="shared" si="15"/>
        <v>1782</v>
      </c>
      <c r="M338">
        <f t="shared" si="15"/>
        <v>-360</v>
      </c>
      <c r="N338">
        <f t="shared" si="16"/>
        <v>-60805</v>
      </c>
      <c r="O338" t="str">
        <f t="shared" si="17"/>
        <v>&lt;Entry outShaftSpeed="1782.00" torque="-360.00" electricPower="-60805.00"/&gt;</v>
      </c>
    </row>
    <row r="339" spans="1:15" x14ac:dyDescent="0.25">
      <c r="A339" s="1">
        <v>1782</v>
      </c>
      <c r="B339">
        <v>-315</v>
      </c>
      <c r="C339">
        <v>-53.103000000000002</v>
      </c>
      <c r="L339">
        <f t="shared" si="15"/>
        <v>1782</v>
      </c>
      <c r="M339">
        <f t="shared" si="15"/>
        <v>-315</v>
      </c>
      <c r="N339">
        <f t="shared" si="16"/>
        <v>-53103</v>
      </c>
      <c r="O339" t="str">
        <f t="shared" si="17"/>
        <v>&lt;Entry outShaftSpeed="1782.00" torque="-315.00" electricPower="-53103.00"/&gt;</v>
      </c>
    </row>
    <row r="340" spans="1:15" x14ac:dyDescent="0.25">
      <c r="A340" s="1">
        <v>1782</v>
      </c>
      <c r="B340">
        <v>-270</v>
      </c>
      <c r="C340">
        <v>-45.357999999999997</v>
      </c>
      <c r="L340">
        <f t="shared" si="15"/>
        <v>1782</v>
      </c>
      <c r="M340">
        <f t="shared" si="15"/>
        <v>-270</v>
      </c>
      <c r="N340">
        <f t="shared" si="16"/>
        <v>-45358</v>
      </c>
      <c r="O340" t="str">
        <f t="shared" si="17"/>
        <v>&lt;Entry outShaftSpeed="1782.00" torque="-270.00" electricPower="-45358.00"/&gt;</v>
      </c>
    </row>
    <row r="341" spans="1:15" x14ac:dyDescent="0.25">
      <c r="A341" s="1">
        <v>1782</v>
      </c>
      <c r="B341">
        <v>-225</v>
      </c>
      <c r="C341">
        <v>-37.572000000000003</v>
      </c>
      <c r="L341">
        <f t="shared" si="15"/>
        <v>1782</v>
      </c>
      <c r="M341">
        <f t="shared" si="15"/>
        <v>-225</v>
      </c>
      <c r="N341">
        <f t="shared" si="16"/>
        <v>-37572</v>
      </c>
      <c r="O341" t="str">
        <f t="shared" si="17"/>
        <v>&lt;Entry outShaftSpeed="1782.00" torque="-225.00" electricPower="-37572.00"/&gt;</v>
      </c>
    </row>
    <row r="342" spans="1:15" x14ac:dyDescent="0.25">
      <c r="A342" s="1">
        <v>1782</v>
      </c>
      <c r="B342">
        <v>-180</v>
      </c>
      <c r="C342">
        <v>-29.745000000000001</v>
      </c>
      <c r="L342">
        <f t="shared" si="15"/>
        <v>1782</v>
      </c>
      <c r="M342">
        <f t="shared" si="15"/>
        <v>-180</v>
      </c>
      <c r="N342">
        <f t="shared" si="16"/>
        <v>-29745</v>
      </c>
      <c r="O342" t="str">
        <f t="shared" si="17"/>
        <v>&lt;Entry outShaftSpeed="1782.00" torque="-180.00" electricPower="-29745.00"/&gt;</v>
      </c>
    </row>
    <row r="343" spans="1:15" x14ac:dyDescent="0.25">
      <c r="A343" s="1">
        <v>1782</v>
      </c>
      <c r="B343">
        <v>-135</v>
      </c>
      <c r="C343">
        <v>-21.875</v>
      </c>
      <c r="L343">
        <f t="shared" si="15"/>
        <v>1782</v>
      </c>
      <c r="M343">
        <f t="shared" si="15"/>
        <v>-135</v>
      </c>
      <c r="N343">
        <f t="shared" si="16"/>
        <v>-21875</v>
      </c>
      <c r="O343" t="str">
        <f t="shared" si="17"/>
        <v>&lt;Entry outShaftSpeed="1782.00" torque="-135.00" electricPower="-21875.00"/&gt;</v>
      </c>
    </row>
    <row r="344" spans="1:15" x14ac:dyDescent="0.25">
      <c r="A344" s="1">
        <v>1782</v>
      </c>
      <c r="B344">
        <v>-90</v>
      </c>
      <c r="C344">
        <v>-13.962999999999999</v>
      </c>
      <c r="L344">
        <f t="shared" si="15"/>
        <v>1782</v>
      </c>
      <c r="M344">
        <f t="shared" si="15"/>
        <v>-90</v>
      </c>
      <c r="N344">
        <f t="shared" si="16"/>
        <v>-13963</v>
      </c>
      <c r="O344" t="str">
        <f t="shared" si="17"/>
        <v>&lt;Entry outShaftSpeed="1782.00" torque="-90.00" electricPower="-13963.00"/&gt;</v>
      </c>
    </row>
    <row r="345" spans="1:15" x14ac:dyDescent="0.25">
      <c r="A345" s="1">
        <v>1782</v>
      </c>
      <c r="B345">
        <v>-45</v>
      </c>
      <c r="C345">
        <v>-6.0090000000000003</v>
      </c>
      <c r="L345">
        <f t="shared" si="15"/>
        <v>1782</v>
      </c>
      <c r="M345">
        <f t="shared" si="15"/>
        <v>-45</v>
      </c>
      <c r="N345">
        <f t="shared" si="16"/>
        <v>-6009</v>
      </c>
      <c r="O345" t="str">
        <f t="shared" si="17"/>
        <v>&lt;Entry outShaftSpeed="1782.00" torque="-45.00" electricPower="-6009.00"/&gt;</v>
      </c>
    </row>
    <row r="346" spans="1:15" x14ac:dyDescent="0.25">
      <c r="A346" s="1">
        <v>1782</v>
      </c>
      <c r="B346">
        <v>-9</v>
      </c>
      <c r="C346">
        <v>0</v>
      </c>
      <c r="L346">
        <f t="shared" si="15"/>
        <v>1782</v>
      </c>
      <c r="M346">
        <f t="shared" si="15"/>
        <v>-9</v>
      </c>
      <c r="N346">
        <f t="shared" si="16"/>
        <v>0</v>
      </c>
      <c r="O346" t="str">
        <f t="shared" si="17"/>
        <v>&lt;Entry outShaftSpeed="1782.00" torque="-9.00" electricPower="0.00"/&gt;</v>
      </c>
    </row>
    <row r="347" spans="1:15" x14ac:dyDescent="0.25">
      <c r="A347" s="1">
        <v>1782</v>
      </c>
      <c r="B347">
        <v>9</v>
      </c>
      <c r="C347">
        <v>3.9159999999999999</v>
      </c>
      <c r="L347">
        <f t="shared" si="15"/>
        <v>1782</v>
      </c>
      <c r="M347">
        <f t="shared" si="15"/>
        <v>9</v>
      </c>
      <c r="N347">
        <f t="shared" si="16"/>
        <v>3916</v>
      </c>
      <c r="O347" t="str">
        <f t="shared" si="17"/>
        <v>&lt;Entry outShaftSpeed="1782.00" torque="9.00" electricPower="3916.00"/&gt;</v>
      </c>
    </row>
    <row r="348" spans="1:15" x14ac:dyDescent="0.25">
      <c r="A348" s="1">
        <v>1782</v>
      </c>
      <c r="B348">
        <v>45</v>
      </c>
      <c r="C348">
        <v>10.974</v>
      </c>
      <c r="L348">
        <f t="shared" si="15"/>
        <v>1782</v>
      </c>
      <c r="M348">
        <f t="shared" si="15"/>
        <v>45</v>
      </c>
      <c r="N348">
        <f t="shared" si="16"/>
        <v>10974</v>
      </c>
      <c r="O348" t="str">
        <f t="shared" si="17"/>
        <v>&lt;Entry outShaftSpeed="1782.00" torque="45.00" electricPower="10974.00"/&gt;</v>
      </c>
    </row>
    <row r="349" spans="1:15" x14ac:dyDescent="0.25">
      <c r="A349" s="1">
        <v>1782</v>
      </c>
      <c r="B349">
        <v>90</v>
      </c>
      <c r="C349">
        <v>19.838999999999999</v>
      </c>
      <c r="L349">
        <f t="shared" si="15"/>
        <v>1782</v>
      </c>
      <c r="M349">
        <f t="shared" si="15"/>
        <v>90</v>
      </c>
      <c r="N349">
        <f t="shared" si="16"/>
        <v>19839</v>
      </c>
      <c r="O349" t="str">
        <f t="shared" si="17"/>
        <v>&lt;Entry outShaftSpeed="1782.00" torque="90.00" electricPower="19839.00"/&gt;</v>
      </c>
    </row>
    <row r="350" spans="1:15" x14ac:dyDescent="0.25">
      <c r="A350" s="1">
        <v>1782</v>
      </c>
      <c r="B350">
        <v>135</v>
      </c>
      <c r="C350">
        <v>28.748999999999999</v>
      </c>
      <c r="L350">
        <f t="shared" si="15"/>
        <v>1782</v>
      </c>
      <c r="M350">
        <f t="shared" si="15"/>
        <v>135</v>
      </c>
      <c r="N350">
        <f t="shared" si="16"/>
        <v>28749</v>
      </c>
      <c r="O350" t="str">
        <f t="shared" si="17"/>
        <v>&lt;Entry outShaftSpeed="1782.00" torque="135.00" electricPower="28749.00"/&gt;</v>
      </c>
    </row>
    <row r="351" spans="1:15" x14ac:dyDescent="0.25">
      <c r="A351" s="1">
        <v>1782</v>
      </c>
      <c r="B351">
        <v>180</v>
      </c>
      <c r="C351">
        <v>37.704000000000001</v>
      </c>
      <c r="L351">
        <f t="shared" si="15"/>
        <v>1782</v>
      </c>
      <c r="M351">
        <f t="shared" si="15"/>
        <v>180</v>
      </c>
      <c r="N351">
        <f t="shared" si="16"/>
        <v>37704</v>
      </c>
      <c r="O351" t="str">
        <f t="shared" si="17"/>
        <v>&lt;Entry outShaftSpeed="1782.00" torque="180.00" electricPower="37704.00"/&gt;</v>
      </c>
    </row>
    <row r="352" spans="1:15" x14ac:dyDescent="0.25">
      <c r="A352" s="1">
        <v>1782</v>
      </c>
      <c r="B352">
        <v>225</v>
      </c>
      <c r="C352">
        <v>46.704999999999998</v>
      </c>
      <c r="L352">
        <f t="shared" si="15"/>
        <v>1782</v>
      </c>
      <c r="M352">
        <f t="shared" si="15"/>
        <v>225</v>
      </c>
      <c r="N352">
        <f t="shared" si="16"/>
        <v>46705</v>
      </c>
      <c r="O352" t="str">
        <f t="shared" si="17"/>
        <v>&lt;Entry outShaftSpeed="1782.00" torque="225.00" electricPower="46705.00"/&gt;</v>
      </c>
    </row>
    <row r="353" spans="1:15" x14ac:dyDescent="0.25">
      <c r="A353" s="1">
        <v>1782</v>
      </c>
      <c r="B353">
        <v>270</v>
      </c>
      <c r="C353">
        <v>55.750999999999998</v>
      </c>
      <c r="L353">
        <f t="shared" si="15"/>
        <v>1782</v>
      </c>
      <c r="M353">
        <f t="shared" si="15"/>
        <v>270</v>
      </c>
      <c r="N353">
        <f t="shared" si="16"/>
        <v>55751</v>
      </c>
      <c r="O353" t="str">
        <f t="shared" si="17"/>
        <v>&lt;Entry outShaftSpeed="1782.00" torque="270.00" electricPower="55751.00"/&gt;</v>
      </c>
    </row>
    <row r="354" spans="1:15" x14ac:dyDescent="0.25">
      <c r="A354" s="1">
        <v>1782</v>
      </c>
      <c r="B354">
        <v>315</v>
      </c>
      <c r="C354">
        <v>64.843000000000004</v>
      </c>
      <c r="L354">
        <f t="shared" si="15"/>
        <v>1782</v>
      </c>
      <c r="M354">
        <f t="shared" si="15"/>
        <v>315</v>
      </c>
      <c r="N354">
        <f t="shared" si="16"/>
        <v>64843</v>
      </c>
      <c r="O354" t="str">
        <f t="shared" si="17"/>
        <v>&lt;Entry outShaftSpeed="1782.00" torque="315.00" electricPower="64843.00"/&gt;</v>
      </c>
    </row>
    <row r="355" spans="1:15" x14ac:dyDescent="0.25">
      <c r="A355" s="1">
        <v>1782</v>
      </c>
      <c r="B355">
        <v>360</v>
      </c>
      <c r="C355">
        <v>73.980999999999995</v>
      </c>
      <c r="L355">
        <f t="shared" si="15"/>
        <v>1782</v>
      </c>
      <c r="M355">
        <f t="shared" si="15"/>
        <v>360</v>
      </c>
      <c r="N355">
        <f t="shared" si="16"/>
        <v>73981</v>
      </c>
      <c r="O355" t="str">
        <f t="shared" si="17"/>
        <v>&lt;Entry outShaftSpeed="1782.00" torque="360.00" electricPower="73981.00"/&gt;</v>
      </c>
    </row>
    <row r="356" spans="1:15" x14ac:dyDescent="0.25">
      <c r="A356" s="1">
        <v>1782</v>
      </c>
      <c r="B356">
        <v>405</v>
      </c>
      <c r="C356">
        <v>83.162999999999997</v>
      </c>
      <c r="L356">
        <f t="shared" si="15"/>
        <v>1782</v>
      </c>
      <c r="M356">
        <f t="shared" si="15"/>
        <v>405</v>
      </c>
      <c r="N356">
        <f t="shared" si="16"/>
        <v>83163</v>
      </c>
      <c r="O356" t="str">
        <f t="shared" si="17"/>
        <v>&lt;Entry outShaftSpeed="1782.00" torque="405.00" electricPower="83163.00"/&gt;</v>
      </c>
    </row>
    <row r="357" spans="1:15" x14ac:dyDescent="0.25">
      <c r="A357" s="1">
        <v>1782</v>
      </c>
      <c r="B357">
        <v>450</v>
      </c>
      <c r="C357">
        <v>92.391999999999996</v>
      </c>
      <c r="L357">
        <f t="shared" si="15"/>
        <v>1782</v>
      </c>
      <c r="M357">
        <f t="shared" si="15"/>
        <v>450</v>
      </c>
      <c r="N357">
        <f t="shared" si="16"/>
        <v>92392</v>
      </c>
      <c r="O357" t="str">
        <f t="shared" si="17"/>
        <v>&lt;Entry outShaftSpeed="1782.00" torque="450.00" electricPower="92392.00"/&gt;</v>
      </c>
    </row>
    <row r="358" spans="1:15" x14ac:dyDescent="0.25">
      <c r="A358" s="1">
        <v>1782</v>
      </c>
      <c r="B358">
        <v>495</v>
      </c>
      <c r="C358">
        <v>101.666</v>
      </c>
      <c r="L358">
        <f t="shared" si="15"/>
        <v>1782</v>
      </c>
      <c r="M358">
        <f t="shared" si="15"/>
        <v>495</v>
      </c>
      <c r="N358">
        <f t="shared" si="16"/>
        <v>101666</v>
      </c>
      <c r="O358" t="str">
        <f t="shared" si="17"/>
        <v>&lt;Entry outShaftSpeed="1782.00" torque="495.00" electricPower="101666.00"/&gt;</v>
      </c>
    </row>
    <row r="359" spans="1:15" x14ac:dyDescent="0.25">
      <c r="A359" s="1">
        <v>1782</v>
      </c>
      <c r="B359">
        <v>540</v>
      </c>
      <c r="C359">
        <v>110.985</v>
      </c>
      <c r="L359">
        <f t="shared" si="15"/>
        <v>1782</v>
      </c>
      <c r="M359">
        <f t="shared" si="15"/>
        <v>540</v>
      </c>
      <c r="N359">
        <f t="shared" si="16"/>
        <v>110985</v>
      </c>
      <c r="O359" t="str">
        <f t="shared" si="17"/>
        <v>&lt;Entry outShaftSpeed="1782.00" torque="540.00" electricPower="110985.00"/&gt;</v>
      </c>
    </row>
    <row r="360" spans="1:15" x14ac:dyDescent="0.25">
      <c r="A360" s="1">
        <v>1782</v>
      </c>
      <c r="B360">
        <v>585</v>
      </c>
      <c r="C360">
        <v>120.35</v>
      </c>
      <c r="L360">
        <f t="shared" si="15"/>
        <v>1782</v>
      </c>
      <c r="M360">
        <f t="shared" si="15"/>
        <v>585</v>
      </c>
      <c r="N360">
        <f t="shared" si="16"/>
        <v>120350</v>
      </c>
      <c r="O360" t="str">
        <f t="shared" si="17"/>
        <v>&lt;Entry outShaftSpeed="1782.00" torque="585.00" electricPower="120350.00"/&gt;</v>
      </c>
    </row>
    <row r="361" spans="1:15" x14ac:dyDescent="0.25">
      <c r="A361" s="1">
        <v>1782</v>
      </c>
      <c r="B361">
        <v>630</v>
      </c>
      <c r="C361">
        <v>129.76</v>
      </c>
      <c r="L361">
        <f t="shared" si="15"/>
        <v>1782</v>
      </c>
      <c r="M361">
        <f t="shared" si="15"/>
        <v>630</v>
      </c>
      <c r="N361">
        <f t="shared" si="16"/>
        <v>129759.99999999999</v>
      </c>
      <c r="O361" t="str">
        <f t="shared" si="17"/>
        <v>&lt;Entry outShaftSpeed="1782.00" torque="630.00" electricPower="129760.00"/&gt;</v>
      </c>
    </row>
    <row r="362" spans="1:15" x14ac:dyDescent="0.25">
      <c r="A362" s="1">
        <v>1782</v>
      </c>
      <c r="B362">
        <v>675</v>
      </c>
      <c r="C362">
        <v>139.21600000000001</v>
      </c>
      <c r="L362">
        <f t="shared" si="15"/>
        <v>1782</v>
      </c>
      <c r="M362">
        <f t="shared" si="15"/>
        <v>675</v>
      </c>
      <c r="N362">
        <f t="shared" si="16"/>
        <v>139216</v>
      </c>
      <c r="O362" t="str">
        <f t="shared" si="17"/>
        <v>&lt;Entry outShaftSpeed="1782.00" torque="675.00" electricPower="139216.00"/&gt;</v>
      </c>
    </row>
    <row r="363" spans="1:15" x14ac:dyDescent="0.25">
      <c r="A363" s="1">
        <v>1782</v>
      </c>
      <c r="B363">
        <v>720</v>
      </c>
      <c r="C363">
        <v>148.71700000000001</v>
      </c>
      <c r="L363">
        <f t="shared" si="15"/>
        <v>1782</v>
      </c>
      <c r="M363">
        <f t="shared" si="15"/>
        <v>720</v>
      </c>
      <c r="N363">
        <f t="shared" si="16"/>
        <v>148717</v>
      </c>
      <c r="O363" t="str">
        <f t="shared" si="17"/>
        <v>&lt;Entry outShaftSpeed="1782.00" torque="720.00" electricPower="148717.00"/&gt;</v>
      </c>
    </row>
    <row r="364" spans="1:15" x14ac:dyDescent="0.25">
      <c r="A364" s="1">
        <v>1782</v>
      </c>
      <c r="B364">
        <v>765</v>
      </c>
      <c r="C364">
        <v>158.26400000000001</v>
      </c>
      <c r="L364">
        <f t="shared" si="15"/>
        <v>1782</v>
      </c>
      <c r="M364">
        <f t="shared" si="15"/>
        <v>765</v>
      </c>
      <c r="N364">
        <f t="shared" si="16"/>
        <v>158264</v>
      </c>
      <c r="O364" t="str">
        <f t="shared" si="17"/>
        <v>&lt;Entry outShaftSpeed="1782.00" torque="765.00" electricPower="158264.00"/&gt;</v>
      </c>
    </row>
    <row r="365" spans="1:15" x14ac:dyDescent="0.25">
      <c r="A365" s="1">
        <v>1782</v>
      </c>
      <c r="B365">
        <v>810</v>
      </c>
      <c r="C365">
        <v>167.85599999999999</v>
      </c>
      <c r="L365">
        <f t="shared" si="15"/>
        <v>1782</v>
      </c>
      <c r="M365">
        <f t="shared" si="15"/>
        <v>810</v>
      </c>
      <c r="N365">
        <f t="shared" si="16"/>
        <v>167856</v>
      </c>
      <c r="O365" t="str">
        <f t="shared" si="17"/>
        <v>&lt;Entry outShaftSpeed="1782.00" torque="810.00" electricPower="167856.00"/&gt;</v>
      </c>
    </row>
    <row r="366" spans="1:15" x14ac:dyDescent="0.25">
      <c r="A366" s="1">
        <v>1782</v>
      </c>
      <c r="B366">
        <v>855</v>
      </c>
      <c r="C366">
        <v>177.494</v>
      </c>
      <c r="L366">
        <f t="shared" si="15"/>
        <v>1782</v>
      </c>
      <c r="M366">
        <f t="shared" si="15"/>
        <v>855</v>
      </c>
      <c r="N366">
        <f t="shared" si="16"/>
        <v>177494</v>
      </c>
      <c r="O366" t="str">
        <f t="shared" si="17"/>
        <v>&lt;Entry outShaftSpeed="1782.00" torque="855.00" electricPower="177494.00"/&gt;</v>
      </c>
    </row>
    <row r="367" spans="1:15" x14ac:dyDescent="0.25">
      <c r="A367" s="1">
        <v>1782</v>
      </c>
      <c r="B367">
        <v>900</v>
      </c>
      <c r="C367">
        <v>187.17699999999999</v>
      </c>
      <c r="L367">
        <f t="shared" si="15"/>
        <v>1782</v>
      </c>
      <c r="M367">
        <f t="shared" si="15"/>
        <v>900</v>
      </c>
      <c r="N367">
        <f t="shared" si="16"/>
        <v>187177</v>
      </c>
      <c r="O367" t="str">
        <f t="shared" si="17"/>
        <v>&lt;Entry outShaftSpeed="1782.00" torque="900.00" electricPower="187177.00"/&gt;</v>
      </c>
    </row>
    <row r="368" spans="1:15" x14ac:dyDescent="0.25">
      <c r="A368" s="1">
        <v>1782</v>
      </c>
      <c r="B368">
        <v>945</v>
      </c>
      <c r="C368">
        <v>196.90600000000001</v>
      </c>
      <c r="L368">
        <f t="shared" si="15"/>
        <v>1782</v>
      </c>
      <c r="M368">
        <f t="shared" si="15"/>
        <v>945</v>
      </c>
      <c r="N368">
        <f t="shared" si="16"/>
        <v>196906</v>
      </c>
      <c r="O368" t="str">
        <f t="shared" si="17"/>
        <v>&lt;Entry outShaftSpeed="1782.00" torque="945.00" electricPower="196906.00"/&gt;</v>
      </c>
    </row>
    <row r="369" spans="1:15" x14ac:dyDescent="0.25">
      <c r="A369" s="1">
        <v>1782</v>
      </c>
      <c r="B369">
        <v>990</v>
      </c>
      <c r="C369">
        <v>206.68</v>
      </c>
      <c r="L369">
        <f t="shared" si="15"/>
        <v>1782</v>
      </c>
      <c r="M369">
        <f t="shared" si="15"/>
        <v>990</v>
      </c>
      <c r="N369">
        <f t="shared" si="16"/>
        <v>206680</v>
      </c>
      <c r="O369" t="str">
        <f t="shared" si="17"/>
        <v>&lt;Entry outShaftSpeed="1782.00" torque="990.00" electricPower="206680.00"/&gt;</v>
      </c>
    </row>
    <row r="370" spans="1:15" x14ac:dyDescent="0.25">
      <c r="A370" s="1">
        <v>2079</v>
      </c>
      <c r="B370">
        <v>-990</v>
      </c>
      <c r="C370">
        <v>-190.505</v>
      </c>
      <c r="L370">
        <f t="shared" si="15"/>
        <v>2079</v>
      </c>
      <c r="M370">
        <f t="shared" si="15"/>
        <v>-990</v>
      </c>
      <c r="N370">
        <f t="shared" si="16"/>
        <v>-190505</v>
      </c>
      <c r="O370" t="str">
        <f t="shared" si="17"/>
        <v>&lt;Entry outShaftSpeed="2079.00" torque="-990.00" electricPower="-190505.00"/&gt;</v>
      </c>
    </row>
    <row r="371" spans="1:15" x14ac:dyDescent="0.25">
      <c r="A371" s="1">
        <v>2079</v>
      </c>
      <c r="B371">
        <v>-945</v>
      </c>
      <c r="C371">
        <v>-182.27500000000001</v>
      </c>
      <c r="L371">
        <f t="shared" si="15"/>
        <v>2079</v>
      </c>
      <c r="M371">
        <f t="shared" si="15"/>
        <v>-945</v>
      </c>
      <c r="N371">
        <f t="shared" si="16"/>
        <v>-182275</v>
      </c>
      <c r="O371" t="str">
        <f t="shared" si="17"/>
        <v>&lt;Entry outShaftSpeed="2079.00" torque="-945.00" electricPower="-182275.00"/&gt;</v>
      </c>
    </row>
    <row r="372" spans="1:15" x14ac:dyDescent="0.25">
      <c r="A372" s="1">
        <v>2079</v>
      </c>
      <c r="B372">
        <v>-900</v>
      </c>
      <c r="C372">
        <v>-173.99100000000001</v>
      </c>
      <c r="L372">
        <f t="shared" si="15"/>
        <v>2079</v>
      </c>
      <c r="M372">
        <f t="shared" si="15"/>
        <v>-900</v>
      </c>
      <c r="N372">
        <f t="shared" si="16"/>
        <v>-173991</v>
      </c>
      <c r="O372" t="str">
        <f t="shared" si="17"/>
        <v>&lt;Entry outShaftSpeed="2079.00" torque="-900.00" electricPower="-173991.00"/&gt;</v>
      </c>
    </row>
    <row r="373" spans="1:15" x14ac:dyDescent="0.25">
      <c r="A373" s="1">
        <v>2079</v>
      </c>
      <c r="B373">
        <v>-855</v>
      </c>
      <c r="C373">
        <v>-165.65600000000001</v>
      </c>
      <c r="L373">
        <f t="shared" si="15"/>
        <v>2079</v>
      </c>
      <c r="M373">
        <f t="shared" si="15"/>
        <v>-855</v>
      </c>
      <c r="N373">
        <f t="shared" si="16"/>
        <v>-165656</v>
      </c>
      <c r="O373" t="str">
        <f t="shared" si="17"/>
        <v>&lt;Entry outShaftSpeed="2079.00" torque="-855.00" electricPower="-165656.00"/&gt;</v>
      </c>
    </row>
    <row r="374" spans="1:15" x14ac:dyDescent="0.25">
      <c r="A374" s="1">
        <v>2079</v>
      </c>
      <c r="B374">
        <v>-810</v>
      </c>
      <c r="C374">
        <v>-157.267</v>
      </c>
      <c r="L374">
        <f t="shared" si="15"/>
        <v>2079</v>
      </c>
      <c r="M374">
        <f t="shared" si="15"/>
        <v>-810</v>
      </c>
      <c r="N374">
        <f t="shared" si="16"/>
        <v>-157267</v>
      </c>
      <c r="O374" t="str">
        <f t="shared" si="17"/>
        <v>&lt;Entry outShaftSpeed="2079.00" torque="-810.00" electricPower="-157267.00"/&gt;</v>
      </c>
    </row>
    <row r="375" spans="1:15" x14ac:dyDescent="0.25">
      <c r="A375" s="1">
        <v>2079</v>
      </c>
      <c r="B375">
        <v>-765</v>
      </c>
      <c r="C375">
        <v>-148.827</v>
      </c>
      <c r="L375">
        <f t="shared" si="15"/>
        <v>2079</v>
      </c>
      <c r="M375">
        <f t="shared" si="15"/>
        <v>-765</v>
      </c>
      <c r="N375">
        <f t="shared" si="16"/>
        <v>-148827</v>
      </c>
      <c r="O375" t="str">
        <f t="shared" si="17"/>
        <v>&lt;Entry outShaftSpeed="2079.00" torque="-765.00" electricPower="-148827.00"/&gt;</v>
      </c>
    </row>
    <row r="376" spans="1:15" x14ac:dyDescent="0.25">
      <c r="A376" s="1">
        <v>2079</v>
      </c>
      <c r="B376">
        <v>-720</v>
      </c>
      <c r="C376">
        <v>-140.333</v>
      </c>
      <c r="L376">
        <f t="shared" si="15"/>
        <v>2079</v>
      </c>
      <c r="M376">
        <f t="shared" si="15"/>
        <v>-720</v>
      </c>
      <c r="N376">
        <f t="shared" si="16"/>
        <v>-140333</v>
      </c>
      <c r="O376" t="str">
        <f t="shared" si="17"/>
        <v>&lt;Entry outShaftSpeed="2079.00" torque="-720.00" electricPower="-140333.00"/&gt;</v>
      </c>
    </row>
    <row r="377" spans="1:15" x14ac:dyDescent="0.25">
      <c r="A377" s="1">
        <v>2079</v>
      </c>
      <c r="B377">
        <v>-675</v>
      </c>
      <c r="C377">
        <v>-131.78700000000001</v>
      </c>
      <c r="L377">
        <f t="shared" si="15"/>
        <v>2079</v>
      </c>
      <c r="M377">
        <f t="shared" si="15"/>
        <v>-675</v>
      </c>
      <c r="N377">
        <f t="shared" si="16"/>
        <v>-131787</v>
      </c>
      <c r="O377" t="str">
        <f t="shared" si="17"/>
        <v>&lt;Entry outShaftSpeed="2079.00" torque="-675.00" electricPower="-131787.00"/&gt;</v>
      </c>
    </row>
    <row r="378" spans="1:15" x14ac:dyDescent="0.25">
      <c r="A378" s="1">
        <v>2079</v>
      </c>
      <c r="B378">
        <v>-630</v>
      </c>
      <c r="C378">
        <v>-123.18899999999999</v>
      </c>
      <c r="L378">
        <f t="shared" si="15"/>
        <v>2079</v>
      </c>
      <c r="M378">
        <f t="shared" si="15"/>
        <v>-630</v>
      </c>
      <c r="N378">
        <f t="shared" si="16"/>
        <v>-123189</v>
      </c>
      <c r="O378" t="str">
        <f t="shared" si="17"/>
        <v>&lt;Entry outShaftSpeed="2079.00" torque="-630.00" electricPower="-123189.00"/&gt;</v>
      </c>
    </row>
    <row r="379" spans="1:15" x14ac:dyDescent="0.25">
      <c r="A379" s="1">
        <v>2079</v>
      </c>
      <c r="B379">
        <v>-585</v>
      </c>
      <c r="C379">
        <v>-114.538</v>
      </c>
      <c r="L379">
        <f t="shared" si="15"/>
        <v>2079</v>
      </c>
      <c r="M379">
        <f t="shared" si="15"/>
        <v>-585</v>
      </c>
      <c r="N379">
        <f t="shared" si="16"/>
        <v>-114538</v>
      </c>
      <c r="O379" t="str">
        <f t="shared" si="17"/>
        <v>&lt;Entry outShaftSpeed="2079.00" torque="-585.00" electricPower="-114538.00"/&gt;</v>
      </c>
    </row>
    <row r="380" spans="1:15" x14ac:dyDescent="0.25">
      <c r="A380" s="1">
        <v>2079</v>
      </c>
      <c r="B380">
        <v>-540</v>
      </c>
      <c r="C380">
        <v>-105.83499999999999</v>
      </c>
      <c r="L380">
        <f t="shared" si="15"/>
        <v>2079</v>
      </c>
      <c r="M380">
        <f t="shared" si="15"/>
        <v>-540</v>
      </c>
      <c r="N380">
        <f t="shared" si="16"/>
        <v>-105835</v>
      </c>
      <c r="O380" t="str">
        <f t="shared" si="17"/>
        <v>&lt;Entry outShaftSpeed="2079.00" torque="-540.00" electricPower="-105835.00"/&gt;</v>
      </c>
    </row>
    <row r="381" spans="1:15" x14ac:dyDescent="0.25">
      <c r="A381" s="1">
        <v>2079</v>
      </c>
      <c r="B381">
        <v>-495</v>
      </c>
      <c r="C381">
        <v>-97.078999999999994</v>
      </c>
      <c r="L381">
        <f t="shared" si="15"/>
        <v>2079</v>
      </c>
      <c r="M381">
        <f t="shared" si="15"/>
        <v>-495</v>
      </c>
      <c r="N381">
        <f t="shared" si="16"/>
        <v>-97079</v>
      </c>
      <c r="O381" t="str">
        <f t="shared" si="17"/>
        <v>&lt;Entry outShaftSpeed="2079.00" torque="-495.00" electricPower="-97079.00"/&gt;</v>
      </c>
    </row>
    <row r="382" spans="1:15" x14ac:dyDescent="0.25">
      <c r="A382" s="1">
        <v>2079</v>
      </c>
      <c r="B382">
        <v>-450</v>
      </c>
      <c r="C382">
        <v>-88.27</v>
      </c>
      <c r="L382">
        <f t="shared" si="15"/>
        <v>2079</v>
      </c>
      <c r="M382">
        <f t="shared" si="15"/>
        <v>-450</v>
      </c>
      <c r="N382">
        <f t="shared" si="16"/>
        <v>-88270</v>
      </c>
      <c r="O382" t="str">
        <f t="shared" si="17"/>
        <v>&lt;Entry outShaftSpeed="2079.00" torque="-450.00" electricPower="-88270.00"/&gt;</v>
      </c>
    </row>
    <row r="383" spans="1:15" x14ac:dyDescent="0.25">
      <c r="A383" s="1">
        <v>2079</v>
      </c>
      <c r="B383">
        <v>-405</v>
      </c>
      <c r="C383">
        <v>-79.409000000000006</v>
      </c>
      <c r="L383">
        <f t="shared" si="15"/>
        <v>2079</v>
      </c>
      <c r="M383">
        <f t="shared" si="15"/>
        <v>-405</v>
      </c>
      <c r="N383">
        <f t="shared" si="16"/>
        <v>-79409</v>
      </c>
      <c r="O383" t="str">
        <f t="shared" si="17"/>
        <v>&lt;Entry outShaftSpeed="2079.00" torque="-405.00" electricPower="-79409.00"/&gt;</v>
      </c>
    </row>
    <row r="384" spans="1:15" x14ac:dyDescent="0.25">
      <c r="A384" s="1">
        <v>2079</v>
      </c>
      <c r="B384">
        <v>-360</v>
      </c>
      <c r="C384">
        <v>-70.495000000000005</v>
      </c>
      <c r="L384">
        <f t="shared" si="15"/>
        <v>2079</v>
      </c>
      <c r="M384">
        <f t="shared" si="15"/>
        <v>-360</v>
      </c>
      <c r="N384">
        <f t="shared" si="16"/>
        <v>-70495</v>
      </c>
      <c r="O384" t="str">
        <f t="shared" si="17"/>
        <v>&lt;Entry outShaftSpeed="2079.00" torque="-360.00" electricPower="-70495.00"/&gt;</v>
      </c>
    </row>
    <row r="385" spans="1:15" x14ac:dyDescent="0.25">
      <c r="A385" s="1">
        <v>2079</v>
      </c>
      <c r="B385">
        <v>-315</v>
      </c>
      <c r="C385">
        <v>-61.529000000000003</v>
      </c>
      <c r="L385">
        <f t="shared" si="15"/>
        <v>2079</v>
      </c>
      <c r="M385">
        <f t="shared" si="15"/>
        <v>-315</v>
      </c>
      <c r="N385">
        <f t="shared" si="16"/>
        <v>-61529</v>
      </c>
      <c r="O385" t="str">
        <f t="shared" si="17"/>
        <v>&lt;Entry outShaftSpeed="2079.00" torque="-315.00" electricPower="-61529.00"/&gt;</v>
      </c>
    </row>
    <row r="386" spans="1:15" x14ac:dyDescent="0.25">
      <c r="A386" s="1">
        <v>2079</v>
      </c>
      <c r="B386">
        <v>-270</v>
      </c>
      <c r="C386">
        <v>-52.51</v>
      </c>
      <c r="L386">
        <f t="shared" si="15"/>
        <v>2079</v>
      </c>
      <c r="M386">
        <f t="shared" si="15"/>
        <v>-270</v>
      </c>
      <c r="N386">
        <f t="shared" si="16"/>
        <v>-52510</v>
      </c>
      <c r="O386" t="str">
        <f t="shared" si="17"/>
        <v>&lt;Entry outShaftSpeed="2079.00" torque="-270.00" electricPower="-52510.00"/&gt;</v>
      </c>
    </row>
    <row r="387" spans="1:15" x14ac:dyDescent="0.25">
      <c r="A387" s="1">
        <v>2079</v>
      </c>
      <c r="B387">
        <v>-225</v>
      </c>
      <c r="C387">
        <v>-43.439</v>
      </c>
      <c r="L387">
        <f t="shared" ref="L387:M450" si="18">A387</f>
        <v>2079</v>
      </c>
      <c r="M387">
        <f t="shared" si="18"/>
        <v>-225</v>
      </c>
      <c r="N387">
        <f t="shared" ref="N387:N450" si="19">C387*1000</f>
        <v>-43439</v>
      </c>
      <c r="O387" t="str">
        <f t="shared" ref="O387:O450" si="20">"&lt;Entry outShaftSpeed="""&amp;TEXT(ROUND(L387,2),"#0.00")&amp;""" torque=""" &amp; TEXT(ROUND(M387,2),"#0.00") &amp; """ electricPower="""&amp;TEXT(ROUND(N387,2),"#0.00") &amp;  """/&gt;"</f>
        <v>&lt;Entry outShaftSpeed="2079.00" torque="-225.00" electricPower="-43439.00"/&gt;</v>
      </c>
    </row>
    <row r="388" spans="1:15" x14ac:dyDescent="0.25">
      <c r="A388" s="1">
        <v>2079</v>
      </c>
      <c r="B388">
        <v>-180</v>
      </c>
      <c r="C388">
        <v>-34.314999999999998</v>
      </c>
      <c r="L388">
        <f t="shared" si="18"/>
        <v>2079</v>
      </c>
      <c r="M388">
        <f t="shared" si="18"/>
        <v>-180</v>
      </c>
      <c r="N388">
        <f t="shared" si="19"/>
        <v>-34315</v>
      </c>
      <c r="O388" t="str">
        <f t="shared" si="20"/>
        <v>&lt;Entry outShaftSpeed="2079.00" torque="-180.00" electricPower="-34315.00"/&gt;</v>
      </c>
    </row>
    <row r="389" spans="1:15" x14ac:dyDescent="0.25">
      <c r="A389" s="1">
        <v>2079</v>
      </c>
      <c r="B389">
        <v>-135</v>
      </c>
      <c r="C389">
        <v>-25.138999999999999</v>
      </c>
      <c r="L389">
        <f t="shared" si="18"/>
        <v>2079</v>
      </c>
      <c r="M389">
        <f t="shared" si="18"/>
        <v>-135</v>
      </c>
      <c r="N389">
        <f t="shared" si="19"/>
        <v>-25139</v>
      </c>
      <c r="O389" t="str">
        <f t="shared" si="20"/>
        <v>&lt;Entry outShaftSpeed="2079.00" torque="-135.00" electricPower="-25139.00"/&gt;</v>
      </c>
    </row>
    <row r="390" spans="1:15" x14ac:dyDescent="0.25">
      <c r="A390" s="1">
        <v>2079</v>
      </c>
      <c r="B390">
        <v>-90</v>
      </c>
      <c r="C390">
        <v>-15.91</v>
      </c>
      <c r="L390">
        <f t="shared" si="18"/>
        <v>2079</v>
      </c>
      <c r="M390">
        <f t="shared" si="18"/>
        <v>-90</v>
      </c>
      <c r="N390">
        <f t="shared" si="19"/>
        <v>-15910</v>
      </c>
      <c r="O390" t="str">
        <f t="shared" si="20"/>
        <v>&lt;Entry outShaftSpeed="2079.00" torque="-90.00" electricPower="-15910.00"/&gt;</v>
      </c>
    </row>
    <row r="391" spans="1:15" x14ac:dyDescent="0.25">
      <c r="A391" s="1">
        <v>2079</v>
      </c>
      <c r="B391">
        <v>-45</v>
      </c>
      <c r="C391">
        <v>-6.6289999999999996</v>
      </c>
      <c r="L391">
        <f t="shared" si="18"/>
        <v>2079</v>
      </c>
      <c r="M391">
        <f t="shared" si="18"/>
        <v>-45</v>
      </c>
      <c r="N391">
        <f t="shared" si="19"/>
        <v>-6629</v>
      </c>
      <c r="O391" t="str">
        <f t="shared" si="20"/>
        <v>&lt;Entry outShaftSpeed="2079.00" torque="-45.00" electricPower="-6629.00"/&gt;</v>
      </c>
    </row>
    <row r="392" spans="1:15" x14ac:dyDescent="0.25">
      <c r="A392" s="1">
        <v>2079</v>
      </c>
      <c r="B392">
        <v>-9</v>
      </c>
      <c r="C392">
        <v>0</v>
      </c>
      <c r="L392">
        <f t="shared" si="18"/>
        <v>2079</v>
      </c>
      <c r="M392">
        <f t="shared" si="18"/>
        <v>-9</v>
      </c>
      <c r="N392">
        <f t="shared" si="19"/>
        <v>0</v>
      </c>
      <c r="O392" t="str">
        <f t="shared" si="20"/>
        <v>&lt;Entry outShaftSpeed="2079.00" torque="-9.00" electricPower="0.00"/&gt;</v>
      </c>
    </row>
    <row r="393" spans="1:15" x14ac:dyDescent="0.25">
      <c r="A393" s="1">
        <v>2079</v>
      </c>
      <c r="B393">
        <v>9</v>
      </c>
      <c r="C393">
        <v>4.9870000000000001</v>
      </c>
      <c r="L393">
        <f t="shared" si="18"/>
        <v>2079</v>
      </c>
      <c r="M393">
        <f t="shared" si="18"/>
        <v>9</v>
      </c>
      <c r="N393">
        <f t="shared" si="19"/>
        <v>4987</v>
      </c>
      <c r="O393" t="str">
        <f t="shared" si="20"/>
        <v>&lt;Entry outShaftSpeed="2079.00" torque="9.00" electricPower="4987.00"/&gt;</v>
      </c>
    </row>
    <row r="394" spans="1:15" x14ac:dyDescent="0.25">
      <c r="A394" s="1">
        <v>2079</v>
      </c>
      <c r="B394">
        <v>45</v>
      </c>
      <c r="C394">
        <v>13.218</v>
      </c>
      <c r="L394">
        <f t="shared" si="18"/>
        <v>2079</v>
      </c>
      <c r="M394">
        <f t="shared" si="18"/>
        <v>45</v>
      </c>
      <c r="N394">
        <f t="shared" si="19"/>
        <v>13218</v>
      </c>
      <c r="O394" t="str">
        <f t="shared" si="20"/>
        <v>&lt;Entry outShaftSpeed="2079.00" torque="45.00" electricPower="13218.00"/&gt;</v>
      </c>
    </row>
    <row r="395" spans="1:15" x14ac:dyDescent="0.25">
      <c r="A395" s="1">
        <v>2079</v>
      </c>
      <c r="B395">
        <v>90</v>
      </c>
      <c r="C395">
        <v>23.556999999999999</v>
      </c>
      <c r="L395">
        <f t="shared" si="18"/>
        <v>2079</v>
      </c>
      <c r="M395">
        <f t="shared" si="18"/>
        <v>90</v>
      </c>
      <c r="N395">
        <f t="shared" si="19"/>
        <v>23557</v>
      </c>
      <c r="O395" t="str">
        <f t="shared" si="20"/>
        <v>&lt;Entry outShaftSpeed="2079.00" torque="90.00" electricPower="23557.00"/&gt;</v>
      </c>
    </row>
    <row r="396" spans="1:15" x14ac:dyDescent="0.25">
      <c r="A396" s="1">
        <v>2079</v>
      </c>
      <c r="B396">
        <v>135</v>
      </c>
      <c r="C396">
        <v>33.954000000000001</v>
      </c>
      <c r="L396">
        <f t="shared" si="18"/>
        <v>2079</v>
      </c>
      <c r="M396">
        <f t="shared" si="18"/>
        <v>135</v>
      </c>
      <c r="N396">
        <f t="shared" si="19"/>
        <v>33954</v>
      </c>
      <c r="O396" t="str">
        <f t="shared" si="20"/>
        <v>&lt;Entry outShaftSpeed="2079.00" torque="135.00" electricPower="33954.00"/&gt;</v>
      </c>
    </row>
    <row r="397" spans="1:15" x14ac:dyDescent="0.25">
      <c r="A397" s="1">
        <v>2079</v>
      </c>
      <c r="B397">
        <v>180</v>
      </c>
      <c r="C397">
        <v>44.406999999999996</v>
      </c>
      <c r="L397">
        <f t="shared" si="18"/>
        <v>2079</v>
      </c>
      <c r="M397">
        <f t="shared" si="18"/>
        <v>180</v>
      </c>
      <c r="N397">
        <f t="shared" si="19"/>
        <v>44407</v>
      </c>
      <c r="O397" t="str">
        <f t="shared" si="20"/>
        <v>&lt;Entry outShaftSpeed="2079.00" torque="180.00" electricPower="44407.00"/&gt;</v>
      </c>
    </row>
    <row r="398" spans="1:15" x14ac:dyDescent="0.25">
      <c r="A398" s="1">
        <v>2079</v>
      </c>
      <c r="B398">
        <v>225</v>
      </c>
      <c r="C398">
        <v>54.917999999999999</v>
      </c>
      <c r="L398">
        <f t="shared" si="18"/>
        <v>2079</v>
      </c>
      <c r="M398">
        <f t="shared" si="18"/>
        <v>225</v>
      </c>
      <c r="N398">
        <f t="shared" si="19"/>
        <v>54918</v>
      </c>
      <c r="O398" t="str">
        <f t="shared" si="20"/>
        <v>&lt;Entry outShaftSpeed="2079.00" torque="225.00" electricPower="54918.00"/&gt;</v>
      </c>
    </row>
    <row r="399" spans="1:15" x14ac:dyDescent="0.25">
      <c r="A399" s="1">
        <v>2079</v>
      </c>
      <c r="B399">
        <v>270</v>
      </c>
      <c r="C399">
        <v>65.486000000000004</v>
      </c>
      <c r="L399">
        <f t="shared" si="18"/>
        <v>2079</v>
      </c>
      <c r="M399">
        <f t="shared" si="18"/>
        <v>270</v>
      </c>
      <c r="N399">
        <f t="shared" si="19"/>
        <v>65486.000000000007</v>
      </c>
      <c r="O399" t="str">
        <f t="shared" si="20"/>
        <v>&lt;Entry outShaftSpeed="2079.00" torque="270.00" electricPower="65486.00"/&gt;</v>
      </c>
    </row>
    <row r="400" spans="1:15" x14ac:dyDescent="0.25">
      <c r="A400" s="1">
        <v>2079</v>
      </c>
      <c r="B400">
        <v>315</v>
      </c>
      <c r="C400">
        <v>76.11</v>
      </c>
      <c r="L400">
        <f t="shared" si="18"/>
        <v>2079</v>
      </c>
      <c r="M400">
        <f t="shared" si="18"/>
        <v>315</v>
      </c>
      <c r="N400">
        <f t="shared" si="19"/>
        <v>76110</v>
      </c>
      <c r="O400" t="str">
        <f t="shared" si="20"/>
        <v>&lt;Entry outShaftSpeed="2079.00" torque="315.00" electricPower="76110.00"/&gt;</v>
      </c>
    </row>
    <row r="401" spans="1:15" x14ac:dyDescent="0.25">
      <c r="A401" s="1">
        <v>2079</v>
      </c>
      <c r="B401">
        <v>360</v>
      </c>
      <c r="C401">
        <v>86.792000000000002</v>
      </c>
      <c r="L401">
        <f t="shared" si="18"/>
        <v>2079</v>
      </c>
      <c r="M401">
        <f t="shared" si="18"/>
        <v>360</v>
      </c>
      <c r="N401">
        <f t="shared" si="19"/>
        <v>86792</v>
      </c>
      <c r="O401" t="str">
        <f t="shared" si="20"/>
        <v>&lt;Entry outShaftSpeed="2079.00" torque="360.00" electricPower="86792.00"/&gt;</v>
      </c>
    </row>
    <row r="402" spans="1:15" x14ac:dyDescent="0.25">
      <c r="A402" s="1">
        <v>2079</v>
      </c>
      <c r="B402">
        <v>405</v>
      </c>
      <c r="C402">
        <v>97.531000000000006</v>
      </c>
      <c r="L402">
        <f t="shared" si="18"/>
        <v>2079</v>
      </c>
      <c r="M402">
        <f t="shared" si="18"/>
        <v>405</v>
      </c>
      <c r="N402">
        <f t="shared" si="19"/>
        <v>97531</v>
      </c>
      <c r="O402" t="str">
        <f t="shared" si="20"/>
        <v>&lt;Entry outShaftSpeed="2079.00" torque="405.00" electricPower="97531.00"/&gt;</v>
      </c>
    </row>
    <row r="403" spans="1:15" x14ac:dyDescent="0.25">
      <c r="A403" s="1">
        <v>2079</v>
      </c>
      <c r="B403">
        <v>450</v>
      </c>
      <c r="C403">
        <v>108.32599999999999</v>
      </c>
      <c r="L403">
        <f t="shared" si="18"/>
        <v>2079</v>
      </c>
      <c r="M403">
        <f t="shared" si="18"/>
        <v>450</v>
      </c>
      <c r="N403">
        <f t="shared" si="19"/>
        <v>108326</v>
      </c>
      <c r="O403" t="str">
        <f t="shared" si="20"/>
        <v>&lt;Entry outShaftSpeed="2079.00" torque="450.00" electricPower="108326.00"/&gt;</v>
      </c>
    </row>
    <row r="404" spans="1:15" x14ac:dyDescent="0.25">
      <c r="A404" s="1">
        <v>2079</v>
      </c>
      <c r="B404">
        <v>495</v>
      </c>
      <c r="C404">
        <v>119.179</v>
      </c>
      <c r="L404">
        <f t="shared" si="18"/>
        <v>2079</v>
      </c>
      <c r="M404">
        <f t="shared" si="18"/>
        <v>495</v>
      </c>
      <c r="N404">
        <f t="shared" si="19"/>
        <v>119179</v>
      </c>
      <c r="O404" t="str">
        <f t="shared" si="20"/>
        <v>&lt;Entry outShaftSpeed="2079.00" torque="495.00" electricPower="119179.00"/&gt;</v>
      </c>
    </row>
    <row r="405" spans="1:15" x14ac:dyDescent="0.25">
      <c r="A405" s="1">
        <v>2079</v>
      </c>
      <c r="B405">
        <v>540</v>
      </c>
      <c r="C405">
        <v>130.089</v>
      </c>
      <c r="L405">
        <f t="shared" si="18"/>
        <v>2079</v>
      </c>
      <c r="M405">
        <f t="shared" si="18"/>
        <v>540</v>
      </c>
      <c r="N405">
        <f t="shared" si="19"/>
        <v>130089</v>
      </c>
      <c r="O405" t="str">
        <f t="shared" si="20"/>
        <v>&lt;Entry outShaftSpeed="2079.00" torque="540.00" electricPower="130089.00"/&gt;</v>
      </c>
    </row>
    <row r="406" spans="1:15" x14ac:dyDescent="0.25">
      <c r="A406" s="1">
        <v>2079</v>
      </c>
      <c r="B406">
        <v>585</v>
      </c>
      <c r="C406">
        <v>141.05500000000001</v>
      </c>
      <c r="L406">
        <f t="shared" si="18"/>
        <v>2079</v>
      </c>
      <c r="M406">
        <f t="shared" si="18"/>
        <v>585</v>
      </c>
      <c r="N406">
        <f t="shared" si="19"/>
        <v>141055</v>
      </c>
      <c r="O406" t="str">
        <f t="shared" si="20"/>
        <v>&lt;Entry outShaftSpeed="2079.00" torque="585.00" electricPower="141055.00"/&gt;</v>
      </c>
    </row>
    <row r="407" spans="1:15" x14ac:dyDescent="0.25">
      <c r="A407" s="1">
        <v>2079</v>
      </c>
      <c r="B407">
        <v>630</v>
      </c>
      <c r="C407">
        <v>152.07900000000001</v>
      </c>
      <c r="L407">
        <f t="shared" si="18"/>
        <v>2079</v>
      </c>
      <c r="M407">
        <f t="shared" si="18"/>
        <v>630</v>
      </c>
      <c r="N407">
        <f t="shared" si="19"/>
        <v>152079</v>
      </c>
      <c r="O407" t="str">
        <f t="shared" si="20"/>
        <v>&lt;Entry outShaftSpeed="2079.00" torque="630.00" electricPower="152079.00"/&gt;</v>
      </c>
    </row>
    <row r="408" spans="1:15" x14ac:dyDescent="0.25">
      <c r="A408" s="1">
        <v>2079</v>
      </c>
      <c r="B408">
        <v>675</v>
      </c>
      <c r="C408">
        <v>163.16</v>
      </c>
      <c r="L408">
        <f t="shared" si="18"/>
        <v>2079</v>
      </c>
      <c r="M408">
        <f t="shared" si="18"/>
        <v>675</v>
      </c>
      <c r="N408">
        <f t="shared" si="19"/>
        <v>163160</v>
      </c>
      <c r="O408" t="str">
        <f t="shared" si="20"/>
        <v>&lt;Entry outShaftSpeed="2079.00" torque="675.00" electricPower="163160.00"/&gt;</v>
      </c>
    </row>
    <row r="409" spans="1:15" x14ac:dyDescent="0.25">
      <c r="A409" s="1">
        <v>2079</v>
      </c>
      <c r="B409">
        <v>720</v>
      </c>
      <c r="C409">
        <v>174.297</v>
      </c>
      <c r="L409">
        <f t="shared" si="18"/>
        <v>2079</v>
      </c>
      <c r="M409">
        <f t="shared" si="18"/>
        <v>720</v>
      </c>
      <c r="N409">
        <f t="shared" si="19"/>
        <v>174297</v>
      </c>
      <c r="O409" t="str">
        <f t="shared" si="20"/>
        <v>&lt;Entry outShaftSpeed="2079.00" torque="720.00" electricPower="174297.00"/&gt;</v>
      </c>
    </row>
    <row r="410" spans="1:15" x14ac:dyDescent="0.25">
      <c r="A410" s="1">
        <v>2079</v>
      </c>
      <c r="B410">
        <v>765</v>
      </c>
      <c r="C410">
        <v>185.49199999999999</v>
      </c>
      <c r="L410">
        <f t="shared" si="18"/>
        <v>2079</v>
      </c>
      <c r="M410">
        <f t="shared" si="18"/>
        <v>765</v>
      </c>
      <c r="N410">
        <f t="shared" si="19"/>
        <v>185492</v>
      </c>
      <c r="O410" t="str">
        <f t="shared" si="20"/>
        <v>&lt;Entry outShaftSpeed="2079.00" torque="765.00" electricPower="185492.00"/&gt;</v>
      </c>
    </row>
    <row r="411" spans="1:15" x14ac:dyDescent="0.25">
      <c r="A411" s="1">
        <v>2079</v>
      </c>
      <c r="B411">
        <v>810</v>
      </c>
      <c r="C411">
        <v>196.744</v>
      </c>
      <c r="L411">
        <f t="shared" si="18"/>
        <v>2079</v>
      </c>
      <c r="M411">
        <f t="shared" si="18"/>
        <v>810</v>
      </c>
      <c r="N411">
        <f t="shared" si="19"/>
        <v>196744</v>
      </c>
      <c r="O411" t="str">
        <f t="shared" si="20"/>
        <v>&lt;Entry outShaftSpeed="2079.00" torque="810.00" electricPower="196744.00"/&gt;</v>
      </c>
    </row>
    <row r="412" spans="1:15" x14ac:dyDescent="0.25">
      <c r="A412" s="1">
        <v>2079</v>
      </c>
      <c r="B412">
        <v>855</v>
      </c>
      <c r="C412">
        <v>208.05199999999999</v>
      </c>
      <c r="L412">
        <f t="shared" si="18"/>
        <v>2079</v>
      </c>
      <c r="M412">
        <f t="shared" si="18"/>
        <v>855</v>
      </c>
      <c r="N412">
        <f t="shared" si="19"/>
        <v>208052</v>
      </c>
      <c r="O412" t="str">
        <f t="shared" si="20"/>
        <v>&lt;Entry outShaftSpeed="2079.00" torque="855.00" electricPower="208052.00"/&gt;</v>
      </c>
    </row>
    <row r="413" spans="1:15" x14ac:dyDescent="0.25">
      <c r="A413" s="1">
        <v>2079</v>
      </c>
      <c r="B413">
        <v>900</v>
      </c>
      <c r="C413">
        <v>219.41800000000001</v>
      </c>
      <c r="L413">
        <f t="shared" si="18"/>
        <v>2079</v>
      </c>
      <c r="M413">
        <f t="shared" si="18"/>
        <v>900</v>
      </c>
      <c r="N413">
        <f t="shared" si="19"/>
        <v>219418</v>
      </c>
      <c r="O413" t="str">
        <f t="shared" si="20"/>
        <v>&lt;Entry outShaftSpeed="2079.00" torque="900.00" electricPower="219418.00"/&gt;</v>
      </c>
    </row>
    <row r="414" spans="1:15" x14ac:dyDescent="0.25">
      <c r="A414" s="1">
        <v>2079</v>
      </c>
      <c r="B414">
        <v>945</v>
      </c>
      <c r="C414">
        <v>230.84100000000001</v>
      </c>
      <c r="L414">
        <f t="shared" si="18"/>
        <v>2079</v>
      </c>
      <c r="M414">
        <f t="shared" si="18"/>
        <v>945</v>
      </c>
      <c r="N414">
        <f t="shared" si="19"/>
        <v>230841</v>
      </c>
      <c r="O414" t="str">
        <f t="shared" si="20"/>
        <v>&lt;Entry outShaftSpeed="2079.00" torque="945.00" electricPower="230841.00"/&gt;</v>
      </c>
    </row>
    <row r="415" spans="1:15" x14ac:dyDescent="0.25">
      <c r="A415" s="1">
        <v>2079</v>
      </c>
      <c r="B415">
        <v>990</v>
      </c>
      <c r="C415">
        <v>242.32</v>
      </c>
      <c r="L415">
        <f t="shared" si="18"/>
        <v>2079</v>
      </c>
      <c r="M415">
        <f t="shared" si="18"/>
        <v>990</v>
      </c>
      <c r="N415">
        <f t="shared" si="19"/>
        <v>242320</v>
      </c>
      <c r="O415" t="str">
        <f t="shared" si="20"/>
        <v>&lt;Entry outShaftSpeed="2079.00" torque="990.00" electricPower="242320.00"/&gt;</v>
      </c>
    </row>
    <row r="416" spans="1:15" x14ac:dyDescent="0.25">
      <c r="A416" s="1">
        <v>2376</v>
      </c>
      <c r="B416">
        <v>-990</v>
      </c>
      <c r="C416">
        <v>-216.22499999999999</v>
      </c>
      <c r="L416">
        <f t="shared" si="18"/>
        <v>2376</v>
      </c>
      <c r="M416">
        <f t="shared" si="18"/>
        <v>-990</v>
      </c>
      <c r="N416">
        <f t="shared" si="19"/>
        <v>-216225</v>
      </c>
      <c r="O416" t="str">
        <f t="shared" si="20"/>
        <v>&lt;Entry outShaftSpeed="2376.00" torque="-990.00" electricPower="-216225.00"/&gt;</v>
      </c>
    </row>
    <row r="417" spans="1:15" x14ac:dyDescent="0.25">
      <c r="A417" s="1">
        <v>2376</v>
      </c>
      <c r="B417">
        <v>-945</v>
      </c>
      <c r="C417">
        <v>-206.91300000000001</v>
      </c>
      <c r="L417">
        <f t="shared" si="18"/>
        <v>2376</v>
      </c>
      <c r="M417">
        <f t="shared" si="18"/>
        <v>-945</v>
      </c>
      <c r="N417">
        <f t="shared" si="19"/>
        <v>-206913</v>
      </c>
      <c r="O417" t="str">
        <f t="shared" si="20"/>
        <v>&lt;Entry outShaftSpeed="2376.00" torque="-945.00" electricPower="-206913.00"/&gt;</v>
      </c>
    </row>
    <row r="418" spans="1:15" x14ac:dyDescent="0.25">
      <c r="A418" s="1">
        <v>2376</v>
      </c>
      <c r="B418">
        <v>-900</v>
      </c>
      <c r="C418">
        <v>-197.53700000000001</v>
      </c>
      <c r="L418">
        <f t="shared" si="18"/>
        <v>2376</v>
      </c>
      <c r="M418">
        <f t="shared" si="18"/>
        <v>-900</v>
      </c>
      <c r="N418">
        <f t="shared" si="19"/>
        <v>-197537</v>
      </c>
      <c r="O418" t="str">
        <f t="shared" si="20"/>
        <v>&lt;Entry outShaftSpeed="2376.00" torque="-900.00" electricPower="-197537.00"/&gt;</v>
      </c>
    </row>
    <row r="419" spans="1:15" x14ac:dyDescent="0.25">
      <c r="A419" s="1">
        <v>2376</v>
      </c>
      <c r="B419">
        <v>-855</v>
      </c>
      <c r="C419">
        <v>-188.096</v>
      </c>
      <c r="L419">
        <f t="shared" si="18"/>
        <v>2376</v>
      </c>
      <c r="M419">
        <f t="shared" si="18"/>
        <v>-855</v>
      </c>
      <c r="N419">
        <f t="shared" si="19"/>
        <v>-188096</v>
      </c>
      <c r="O419" t="str">
        <f t="shared" si="20"/>
        <v>&lt;Entry outShaftSpeed="2376.00" torque="-855.00" electricPower="-188096.00"/&gt;</v>
      </c>
    </row>
    <row r="420" spans="1:15" x14ac:dyDescent="0.25">
      <c r="A420" s="1">
        <v>2376</v>
      </c>
      <c r="B420">
        <v>-810</v>
      </c>
      <c r="C420">
        <v>-178.59100000000001</v>
      </c>
      <c r="L420">
        <f t="shared" si="18"/>
        <v>2376</v>
      </c>
      <c r="M420">
        <f t="shared" si="18"/>
        <v>-810</v>
      </c>
      <c r="N420">
        <f t="shared" si="19"/>
        <v>-178591</v>
      </c>
      <c r="O420" t="str">
        <f t="shared" si="20"/>
        <v>&lt;Entry outShaftSpeed="2376.00" torque="-810.00" electricPower="-178591.00"/&gt;</v>
      </c>
    </row>
    <row r="421" spans="1:15" x14ac:dyDescent="0.25">
      <c r="A421" s="1">
        <v>2376</v>
      </c>
      <c r="B421">
        <v>-765</v>
      </c>
      <c r="C421">
        <v>-169.02</v>
      </c>
      <c r="L421">
        <f t="shared" si="18"/>
        <v>2376</v>
      </c>
      <c r="M421">
        <f t="shared" si="18"/>
        <v>-765</v>
      </c>
      <c r="N421">
        <f t="shared" si="19"/>
        <v>-169020</v>
      </c>
      <c r="O421" t="str">
        <f t="shared" si="20"/>
        <v>&lt;Entry outShaftSpeed="2376.00" torque="-765.00" electricPower="-169020.00"/&gt;</v>
      </c>
    </row>
    <row r="422" spans="1:15" x14ac:dyDescent="0.25">
      <c r="A422" s="1">
        <v>2376</v>
      </c>
      <c r="B422">
        <v>-720</v>
      </c>
      <c r="C422">
        <v>-159.38499999999999</v>
      </c>
      <c r="L422">
        <f t="shared" si="18"/>
        <v>2376</v>
      </c>
      <c r="M422">
        <f t="shared" si="18"/>
        <v>-720</v>
      </c>
      <c r="N422">
        <f t="shared" si="19"/>
        <v>-159385</v>
      </c>
      <c r="O422" t="str">
        <f t="shared" si="20"/>
        <v>&lt;Entry outShaftSpeed="2376.00" torque="-720.00" electricPower="-159385.00"/&gt;</v>
      </c>
    </row>
    <row r="423" spans="1:15" x14ac:dyDescent="0.25">
      <c r="A423" s="1">
        <v>2376</v>
      </c>
      <c r="B423">
        <v>-675</v>
      </c>
      <c r="C423">
        <v>-149.685</v>
      </c>
      <c r="L423">
        <f t="shared" si="18"/>
        <v>2376</v>
      </c>
      <c r="M423">
        <f t="shared" si="18"/>
        <v>-675</v>
      </c>
      <c r="N423">
        <f t="shared" si="19"/>
        <v>-149685</v>
      </c>
      <c r="O423" t="str">
        <f t="shared" si="20"/>
        <v>&lt;Entry outShaftSpeed="2376.00" torque="-675.00" electricPower="-149685.00"/&gt;</v>
      </c>
    </row>
    <row r="424" spans="1:15" x14ac:dyDescent="0.25">
      <c r="A424" s="1">
        <v>2376</v>
      </c>
      <c r="B424">
        <v>-630</v>
      </c>
      <c r="C424">
        <v>-139.91999999999999</v>
      </c>
      <c r="L424">
        <f t="shared" si="18"/>
        <v>2376</v>
      </c>
      <c r="M424">
        <f t="shared" si="18"/>
        <v>-630</v>
      </c>
      <c r="N424">
        <f t="shared" si="19"/>
        <v>-139920</v>
      </c>
      <c r="O424" t="str">
        <f t="shared" si="20"/>
        <v>&lt;Entry outShaftSpeed="2376.00" torque="-630.00" electricPower="-139920.00"/&gt;</v>
      </c>
    </row>
    <row r="425" spans="1:15" x14ac:dyDescent="0.25">
      <c r="A425" s="1">
        <v>2376</v>
      </c>
      <c r="B425">
        <v>-585</v>
      </c>
      <c r="C425">
        <v>-130.09100000000001</v>
      </c>
      <c r="L425">
        <f t="shared" si="18"/>
        <v>2376</v>
      </c>
      <c r="M425">
        <f t="shared" si="18"/>
        <v>-585</v>
      </c>
      <c r="N425">
        <f t="shared" si="19"/>
        <v>-130091.00000000001</v>
      </c>
      <c r="O425" t="str">
        <f t="shared" si="20"/>
        <v>&lt;Entry outShaftSpeed="2376.00" torque="-585.00" electricPower="-130091.00"/&gt;</v>
      </c>
    </row>
    <row r="426" spans="1:15" x14ac:dyDescent="0.25">
      <c r="A426" s="1">
        <v>2376</v>
      </c>
      <c r="B426">
        <v>-540</v>
      </c>
      <c r="C426">
        <v>-120.197</v>
      </c>
      <c r="L426">
        <f t="shared" si="18"/>
        <v>2376</v>
      </c>
      <c r="M426">
        <f t="shared" si="18"/>
        <v>-540</v>
      </c>
      <c r="N426">
        <f t="shared" si="19"/>
        <v>-120197</v>
      </c>
      <c r="O426" t="str">
        <f t="shared" si="20"/>
        <v>&lt;Entry outShaftSpeed="2376.00" torque="-540.00" electricPower="-120197.00"/&gt;</v>
      </c>
    </row>
    <row r="427" spans="1:15" x14ac:dyDescent="0.25">
      <c r="A427" s="1">
        <v>2376</v>
      </c>
      <c r="B427">
        <v>-495</v>
      </c>
      <c r="C427">
        <v>-110.238</v>
      </c>
      <c r="L427">
        <f t="shared" si="18"/>
        <v>2376</v>
      </c>
      <c r="M427">
        <f t="shared" si="18"/>
        <v>-495</v>
      </c>
      <c r="N427">
        <f t="shared" si="19"/>
        <v>-110238</v>
      </c>
      <c r="O427" t="str">
        <f t="shared" si="20"/>
        <v>&lt;Entry outShaftSpeed="2376.00" torque="-495.00" electricPower="-110238.00"/&gt;</v>
      </c>
    </row>
    <row r="428" spans="1:15" x14ac:dyDescent="0.25">
      <c r="A428" s="1">
        <v>2376</v>
      </c>
      <c r="B428">
        <v>-450</v>
      </c>
      <c r="C428">
        <v>-100.214</v>
      </c>
      <c r="L428">
        <f t="shared" si="18"/>
        <v>2376</v>
      </c>
      <c r="M428">
        <f t="shared" si="18"/>
        <v>-450</v>
      </c>
      <c r="N428">
        <f t="shared" si="19"/>
        <v>-100214</v>
      </c>
      <c r="O428" t="str">
        <f t="shared" si="20"/>
        <v>&lt;Entry outShaftSpeed="2376.00" torque="-450.00" electricPower="-100214.00"/&gt;</v>
      </c>
    </row>
    <row r="429" spans="1:15" x14ac:dyDescent="0.25">
      <c r="A429" s="1">
        <v>2376</v>
      </c>
      <c r="B429">
        <v>-405</v>
      </c>
      <c r="C429">
        <v>-90.125</v>
      </c>
      <c r="L429">
        <f t="shared" si="18"/>
        <v>2376</v>
      </c>
      <c r="M429">
        <f t="shared" si="18"/>
        <v>-405</v>
      </c>
      <c r="N429">
        <f t="shared" si="19"/>
        <v>-90125</v>
      </c>
      <c r="O429" t="str">
        <f t="shared" si="20"/>
        <v>&lt;Entry outShaftSpeed="2376.00" torque="-405.00" electricPower="-90125.00"/&gt;</v>
      </c>
    </row>
    <row r="430" spans="1:15" x14ac:dyDescent="0.25">
      <c r="A430" s="1">
        <v>2376</v>
      </c>
      <c r="B430">
        <v>-360</v>
      </c>
      <c r="C430">
        <v>-79.971999999999994</v>
      </c>
      <c r="L430">
        <f t="shared" si="18"/>
        <v>2376</v>
      </c>
      <c r="M430">
        <f t="shared" si="18"/>
        <v>-360</v>
      </c>
      <c r="N430">
        <f t="shared" si="19"/>
        <v>-79972</v>
      </c>
      <c r="O430" t="str">
        <f t="shared" si="20"/>
        <v>&lt;Entry outShaftSpeed="2376.00" torque="-360.00" electricPower="-79972.00"/&gt;</v>
      </c>
    </row>
    <row r="431" spans="1:15" x14ac:dyDescent="0.25">
      <c r="A431" s="1">
        <v>2376</v>
      </c>
      <c r="B431">
        <v>-315</v>
      </c>
      <c r="C431">
        <v>-69.754000000000005</v>
      </c>
      <c r="L431">
        <f t="shared" si="18"/>
        <v>2376</v>
      </c>
      <c r="M431">
        <f t="shared" si="18"/>
        <v>-315</v>
      </c>
      <c r="N431">
        <f t="shared" si="19"/>
        <v>-69754</v>
      </c>
      <c r="O431" t="str">
        <f t="shared" si="20"/>
        <v>&lt;Entry outShaftSpeed="2376.00" torque="-315.00" electricPower="-69754.00"/&gt;</v>
      </c>
    </row>
    <row r="432" spans="1:15" x14ac:dyDescent="0.25">
      <c r="A432" s="1">
        <v>2376</v>
      </c>
      <c r="B432">
        <v>-270</v>
      </c>
      <c r="C432">
        <v>-59.470999999999997</v>
      </c>
      <c r="L432">
        <f t="shared" si="18"/>
        <v>2376</v>
      </c>
      <c r="M432">
        <f t="shared" si="18"/>
        <v>-270</v>
      </c>
      <c r="N432">
        <f t="shared" si="19"/>
        <v>-59471</v>
      </c>
      <c r="O432" t="str">
        <f t="shared" si="20"/>
        <v>&lt;Entry outShaftSpeed="2376.00" torque="-270.00" electricPower="-59471.00"/&gt;</v>
      </c>
    </row>
    <row r="433" spans="1:15" x14ac:dyDescent="0.25">
      <c r="A433" s="1">
        <v>2376</v>
      </c>
      <c r="B433">
        <v>-225</v>
      </c>
      <c r="C433">
        <v>-49.122999999999998</v>
      </c>
      <c r="L433">
        <f t="shared" si="18"/>
        <v>2376</v>
      </c>
      <c r="M433">
        <f t="shared" si="18"/>
        <v>-225</v>
      </c>
      <c r="N433">
        <f t="shared" si="19"/>
        <v>-49123</v>
      </c>
      <c r="O433" t="str">
        <f t="shared" si="20"/>
        <v>&lt;Entry outShaftSpeed="2376.00" torque="-225.00" electricPower="-49123.00"/&gt;</v>
      </c>
    </row>
    <row r="434" spans="1:15" x14ac:dyDescent="0.25">
      <c r="A434" s="1">
        <v>2376</v>
      </c>
      <c r="B434">
        <v>-180</v>
      </c>
      <c r="C434">
        <v>-38.710999999999999</v>
      </c>
      <c r="L434">
        <f t="shared" si="18"/>
        <v>2376</v>
      </c>
      <c r="M434">
        <f t="shared" si="18"/>
        <v>-180</v>
      </c>
      <c r="N434">
        <f t="shared" si="19"/>
        <v>-38711</v>
      </c>
      <c r="O434" t="str">
        <f t="shared" si="20"/>
        <v>&lt;Entry outShaftSpeed="2376.00" torque="-180.00" electricPower="-38711.00"/&gt;</v>
      </c>
    </row>
    <row r="435" spans="1:15" x14ac:dyDescent="0.25">
      <c r="A435" s="1">
        <v>2376</v>
      </c>
      <c r="B435">
        <v>-135</v>
      </c>
      <c r="C435">
        <v>-28.234000000000002</v>
      </c>
      <c r="L435">
        <f t="shared" si="18"/>
        <v>2376</v>
      </c>
      <c r="M435">
        <f t="shared" si="18"/>
        <v>-135</v>
      </c>
      <c r="N435">
        <f t="shared" si="19"/>
        <v>-28234</v>
      </c>
      <c r="O435" t="str">
        <f t="shared" si="20"/>
        <v>&lt;Entry outShaftSpeed="2376.00" torque="-135.00" electricPower="-28234.00"/&gt;</v>
      </c>
    </row>
    <row r="436" spans="1:15" x14ac:dyDescent="0.25">
      <c r="A436" s="1">
        <v>2376</v>
      </c>
      <c r="B436">
        <v>-90</v>
      </c>
      <c r="C436">
        <v>-17.692</v>
      </c>
      <c r="L436">
        <f t="shared" si="18"/>
        <v>2376</v>
      </c>
      <c r="M436">
        <f t="shared" si="18"/>
        <v>-90</v>
      </c>
      <c r="N436">
        <f t="shared" si="19"/>
        <v>-17692</v>
      </c>
      <c r="O436" t="str">
        <f t="shared" si="20"/>
        <v>&lt;Entry outShaftSpeed="2376.00" torque="-90.00" electricPower="-17692.00"/&gt;</v>
      </c>
    </row>
    <row r="437" spans="1:15" x14ac:dyDescent="0.25">
      <c r="A437" s="1">
        <v>2376</v>
      </c>
      <c r="B437">
        <v>-45</v>
      </c>
      <c r="C437">
        <v>-7.0860000000000003</v>
      </c>
      <c r="L437">
        <f t="shared" si="18"/>
        <v>2376</v>
      </c>
      <c r="M437">
        <f t="shared" si="18"/>
        <v>-45</v>
      </c>
      <c r="N437">
        <f t="shared" si="19"/>
        <v>-7086</v>
      </c>
      <c r="O437" t="str">
        <f t="shared" si="20"/>
        <v>&lt;Entry outShaftSpeed="2376.00" torque="-45.00" electricPower="-7086.00"/&gt;</v>
      </c>
    </row>
    <row r="438" spans="1:15" x14ac:dyDescent="0.25">
      <c r="A438" s="1">
        <v>2376</v>
      </c>
      <c r="B438">
        <v>-9</v>
      </c>
      <c r="C438">
        <v>0</v>
      </c>
      <c r="L438">
        <f t="shared" si="18"/>
        <v>2376</v>
      </c>
      <c r="M438">
        <f t="shared" si="18"/>
        <v>-9</v>
      </c>
      <c r="N438">
        <f t="shared" si="19"/>
        <v>0</v>
      </c>
      <c r="O438" t="str">
        <f t="shared" si="20"/>
        <v>&lt;Entry outShaftSpeed="2376.00" torque="-9.00" electricPower="0.00"/&gt;</v>
      </c>
    </row>
    <row r="439" spans="1:15" x14ac:dyDescent="0.25">
      <c r="A439" s="1">
        <v>2376</v>
      </c>
      <c r="B439">
        <v>9</v>
      </c>
      <c r="C439">
        <v>6.2350000000000003</v>
      </c>
      <c r="L439">
        <f t="shared" si="18"/>
        <v>2376</v>
      </c>
      <c r="M439">
        <f t="shared" si="18"/>
        <v>9</v>
      </c>
      <c r="N439">
        <f t="shared" si="19"/>
        <v>6235</v>
      </c>
      <c r="O439" t="str">
        <f t="shared" si="20"/>
        <v>&lt;Entry outShaftSpeed="2376.00" torque="9.00" electricPower="6235.00"/&gt;</v>
      </c>
    </row>
    <row r="440" spans="1:15" x14ac:dyDescent="0.25">
      <c r="A440" s="1">
        <v>2376</v>
      </c>
      <c r="B440">
        <v>45</v>
      </c>
      <c r="C440">
        <v>15.638</v>
      </c>
      <c r="L440">
        <f t="shared" si="18"/>
        <v>2376</v>
      </c>
      <c r="M440">
        <f t="shared" si="18"/>
        <v>45</v>
      </c>
      <c r="N440">
        <f t="shared" si="19"/>
        <v>15638</v>
      </c>
      <c r="O440" t="str">
        <f t="shared" si="20"/>
        <v>&lt;Entry outShaftSpeed="2376.00" torque="45.00" electricPower="15638.00"/&gt;</v>
      </c>
    </row>
    <row r="441" spans="1:15" x14ac:dyDescent="0.25">
      <c r="A441" s="1">
        <v>2376</v>
      </c>
      <c r="B441">
        <v>90</v>
      </c>
      <c r="C441">
        <v>27.454999999999998</v>
      </c>
      <c r="L441">
        <f t="shared" si="18"/>
        <v>2376</v>
      </c>
      <c r="M441">
        <f t="shared" si="18"/>
        <v>90</v>
      </c>
      <c r="N441">
        <f t="shared" si="19"/>
        <v>27455</v>
      </c>
      <c r="O441" t="str">
        <f t="shared" si="20"/>
        <v>&lt;Entry outShaftSpeed="2376.00" torque="90.00" electricPower="27455.00"/&gt;</v>
      </c>
    </row>
    <row r="442" spans="1:15" x14ac:dyDescent="0.25">
      <c r="A442" s="1">
        <v>2376</v>
      </c>
      <c r="B442">
        <v>135</v>
      </c>
      <c r="C442">
        <v>39.343000000000004</v>
      </c>
      <c r="L442">
        <f t="shared" si="18"/>
        <v>2376</v>
      </c>
      <c r="M442">
        <f t="shared" si="18"/>
        <v>135</v>
      </c>
      <c r="N442">
        <f t="shared" si="19"/>
        <v>39343</v>
      </c>
      <c r="O442" t="str">
        <f t="shared" si="20"/>
        <v>&lt;Entry outShaftSpeed="2376.00" torque="135.00" electricPower="39343.00"/&gt;</v>
      </c>
    </row>
    <row r="443" spans="1:15" x14ac:dyDescent="0.25">
      <c r="A443" s="1">
        <v>2376</v>
      </c>
      <c r="B443">
        <v>180</v>
      </c>
      <c r="C443">
        <v>51.301000000000002</v>
      </c>
      <c r="L443">
        <f t="shared" si="18"/>
        <v>2376</v>
      </c>
      <c r="M443">
        <f t="shared" si="18"/>
        <v>180</v>
      </c>
      <c r="N443">
        <f t="shared" si="19"/>
        <v>51301</v>
      </c>
      <c r="O443" t="str">
        <f t="shared" si="20"/>
        <v>&lt;Entry outShaftSpeed="2376.00" torque="180.00" electricPower="51301.00"/&gt;</v>
      </c>
    </row>
    <row r="444" spans="1:15" x14ac:dyDescent="0.25">
      <c r="A444" s="1">
        <v>2376</v>
      </c>
      <c r="B444">
        <v>225</v>
      </c>
      <c r="C444">
        <v>63.329000000000001</v>
      </c>
      <c r="L444">
        <f t="shared" si="18"/>
        <v>2376</v>
      </c>
      <c r="M444">
        <f t="shared" si="18"/>
        <v>225</v>
      </c>
      <c r="N444">
        <f t="shared" si="19"/>
        <v>63329</v>
      </c>
      <c r="O444" t="str">
        <f t="shared" si="20"/>
        <v>&lt;Entry outShaftSpeed="2376.00" torque="225.00" electricPower="63329.00"/&gt;</v>
      </c>
    </row>
    <row r="445" spans="1:15" x14ac:dyDescent="0.25">
      <c r="A445" s="1">
        <v>2376</v>
      </c>
      <c r="B445">
        <v>270</v>
      </c>
      <c r="C445">
        <v>75.427999999999997</v>
      </c>
      <c r="L445">
        <f t="shared" si="18"/>
        <v>2376</v>
      </c>
      <c r="M445">
        <f t="shared" si="18"/>
        <v>270</v>
      </c>
      <c r="N445">
        <f t="shared" si="19"/>
        <v>75428</v>
      </c>
      <c r="O445" t="str">
        <f t="shared" si="20"/>
        <v>&lt;Entry outShaftSpeed="2376.00" torque="270.00" electricPower="75428.00"/&gt;</v>
      </c>
    </row>
    <row r="446" spans="1:15" x14ac:dyDescent="0.25">
      <c r="A446" s="1">
        <v>2376</v>
      </c>
      <c r="B446">
        <v>315</v>
      </c>
      <c r="C446">
        <v>87.596000000000004</v>
      </c>
      <c r="L446">
        <f t="shared" si="18"/>
        <v>2376</v>
      </c>
      <c r="M446">
        <f t="shared" si="18"/>
        <v>315</v>
      </c>
      <c r="N446">
        <f t="shared" si="19"/>
        <v>87596</v>
      </c>
      <c r="O446" t="str">
        <f t="shared" si="20"/>
        <v>&lt;Entry outShaftSpeed="2376.00" torque="315.00" electricPower="87596.00"/&gt;</v>
      </c>
    </row>
    <row r="447" spans="1:15" x14ac:dyDescent="0.25">
      <c r="A447" s="1">
        <v>2376</v>
      </c>
      <c r="B447">
        <v>360</v>
      </c>
      <c r="C447">
        <v>99.835999999999999</v>
      </c>
      <c r="L447">
        <f t="shared" si="18"/>
        <v>2376</v>
      </c>
      <c r="M447">
        <f t="shared" si="18"/>
        <v>360</v>
      </c>
      <c r="N447">
        <f t="shared" si="19"/>
        <v>99836</v>
      </c>
      <c r="O447" t="str">
        <f t="shared" si="20"/>
        <v>&lt;Entry outShaftSpeed="2376.00" torque="360.00" electricPower="99836.00"/&gt;</v>
      </c>
    </row>
    <row r="448" spans="1:15" x14ac:dyDescent="0.25">
      <c r="A448" s="1">
        <v>2376</v>
      </c>
      <c r="B448">
        <v>405</v>
      </c>
      <c r="C448">
        <v>112.145</v>
      </c>
      <c r="L448">
        <f t="shared" si="18"/>
        <v>2376</v>
      </c>
      <c r="M448">
        <f t="shared" si="18"/>
        <v>405</v>
      </c>
      <c r="N448">
        <f t="shared" si="19"/>
        <v>112145</v>
      </c>
      <c r="O448" t="str">
        <f t="shared" si="20"/>
        <v>&lt;Entry outShaftSpeed="2376.00" torque="405.00" electricPower="112145.00"/&gt;</v>
      </c>
    </row>
    <row r="449" spans="1:15" x14ac:dyDescent="0.25">
      <c r="A449" s="1">
        <v>2376</v>
      </c>
      <c r="B449">
        <v>450</v>
      </c>
      <c r="C449">
        <v>124.524</v>
      </c>
      <c r="L449">
        <f t="shared" si="18"/>
        <v>2376</v>
      </c>
      <c r="M449">
        <f t="shared" si="18"/>
        <v>450</v>
      </c>
      <c r="N449">
        <f t="shared" si="19"/>
        <v>124524</v>
      </c>
      <c r="O449" t="str">
        <f t="shared" si="20"/>
        <v>&lt;Entry outShaftSpeed="2376.00" torque="450.00" electricPower="124524.00"/&gt;</v>
      </c>
    </row>
    <row r="450" spans="1:15" x14ac:dyDescent="0.25">
      <c r="A450" s="1">
        <v>2376</v>
      </c>
      <c r="B450">
        <v>495</v>
      </c>
      <c r="C450">
        <v>136.97399999999999</v>
      </c>
      <c r="L450">
        <f t="shared" si="18"/>
        <v>2376</v>
      </c>
      <c r="M450">
        <f t="shared" si="18"/>
        <v>495</v>
      </c>
      <c r="N450">
        <f t="shared" si="19"/>
        <v>136974</v>
      </c>
      <c r="O450" t="str">
        <f t="shared" si="20"/>
        <v>&lt;Entry outShaftSpeed="2376.00" torque="495.00" electricPower="136974.00"/&gt;</v>
      </c>
    </row>
    <row r="451" spans="1:15" x14ac:dyDescent="0.25">
      <c r="A451" s="1">
        <v>2376</v>
      </c>
      <c r="B451">
        <v>540</v>
      </c>
      <c r="C451">
        <v>149.494</v>
      </c>
      <c r="L451">
        <f t="shared" ref="L451:M514" si="21">A451</f>
        <v>2376</v>
      </c>
      <c r="M451">
        <f t="shared" si="21"/>
        <v>540</v>
      </c>
      <c r="N451">
        <f t="shared" ref="N451:N514" si="22">C451*1000</f>
        <v>149494</v>
      </c>
      <c r="O451" t="str">
        <f t="shared" ref="O451:O514" si="23">"&lt;Entry outShaftSpeed="""&amp;TEXT(ROUND(L451,2),"#0.00")&amp;""" torque=""" &amp; TEXT(ROUND(M451,2),"#0.00") &amp; """ electricPower="""&amp;TEXT(ROUND(N451,2),"#0.00") &amp;  """/&gt;"</f>
        <v>&lt;Entry outShaftSpeed="2376.00" torque="540.00" electricPower="149494.00"/&gt;</v>
      </c>
    </row>
    <row r="452" spans="1:15" x14ac:dyDescent="0.25">
      <c r="A452" s="1">
        <v>2376</v>
      </c>
      <c r="B452">
        <v>585</v>
      </c>
      <c r="C452">
        <v>162.08500000000001</v>
      </c>
      <c r="L452">
        <f t="shared" si="21"/>
        <v>2376</v>
      </c>
      <c r="M452">
        <f t="shared" si="21"/>
        <v>585</v>
      </c>
      <c r="N452">
        <f t="shared" si="22"/>
        <v>162085</v>
      </c>
      <c r="O452" t="str">
        <f t="shared" si="23"/>
        <v>&lt;Entry outShaftSpeed="2376.00" torque="585.00" electricPower="162085.00"/&gt;</v>
      </c>
    </row>
    <row r="453" spans="1:15" x14ac:dyDescent="0.25">
      <c r="A453" s="1">
        <v>2376</v>
      </c>
      <c r="B453">
        <v>630</v>
      </c>
      <c r="C453">
        <v>174.745</v>
      </c>
      <c r="L453">
        <f t="shared" si="21"/>
        <v>2376</v>
      </c>
      <c r="M453">
        <f t="shared" si="21"/>
        <v>630</v>
      </c>
      <c r="N453">
        <f t="shared" si="22"/>
        <v>174745</v>
      </c>
      <c r="O453" t="str">
        <f t="shared" si="23"/>
        <v>&lt;Entry outShaftSpeed="2376.00" torque="630.00" electricPower="174745.00"/&gt;</v>
      </c>
    </row>
    <row r="454" spans="1:15" x14ac:dyDescent="0.25">
      <c r="A454" s="1">
        <v>2376</v>
      </c>
      <c r="B454">
        <v>675</v>
      </c>
      <c r="C454">
        <v>187.476</v>
      </c>
      <c r="L454">
        <f t="shared" si="21"/>
        <v>2376</v>
      </c>
      <c r="M454">
        <f t="shared" si="21"/>
        <v>675</v>
      </c>
      <c r="N454">
        <f t="shared" si="22"/>
        <v>187476</v>
      </c>
      <c r="O454" t="str">
        <f t="shared" si="23"/>
        <v>&lt;Entry outShaftSpeed="2376.00" torque="675.00" electricPower="187476.00"/&gt;</v>
      </c>
    </row>
    <row r="455" spans="1:15" x14ac:dyDescent="0.25">
      <c r="A455" s="1">
        <v>2376</v>
      </c>
      <c r="B455">
        <v>720</v>
      </c>
      <c r="C455">
        <v>200.27699999999999</v>
      </c>
      <c r="L455">
        <f t="shared" si="21"/>
        <v>2376</v>
      </c>
      <c r="M455">
        <f t="shared" si="21"/>
        <v>720</v>
      </c>
      <c r="N455">
        <f t="shared" si="22"/>
        <v>200277</v>
      </c>
      <c r="O455" t="str">
        <f t="shared" si="23"/>
        <v>&lt;Entry outShaftSpeed="2376.00" torque="720.00" electricPower="200277.00"/&gt;</v>
      </c>
    </row>
    <row r="456" spans="1:15" x14ac:dyDescent="0.25">
      <c r="A456" s="1">
        <v>2376</v>
      </c>
      <c r="B456">
        <v>765</v>
      </c>
      <c r="C456">
        <v>213.149</v>
      </c>
      <c r="L456">
        <f t="shared" si="21"/>
        <v>2376</v>
      </c>
      <c r="M456">
        <f t="shared" si="21"/>
        <v>765</v>
      </c>
      <c r="N456">
        <f t="shared" si="22"/>
        <v>213149</v>
      </c>
      <c r="O456" t="str">
        <f t="shared" si="23"/>
        <v>&lt;Entry outShaftSpeed="2376.00" torque="765.00" electricPower="213149.00"/&gt;</v>
      </c>
    </row>
    <row r="457" spans="1:15" x14ac:dyDescent="0.25">
      <c r="A457" s="1">
        <v>2376</v>
      </c>
      <c r="B457">
        <v>810</v>
      </c>
      <c r="C457">
        <v>226.09100000000001</v>
      </c>
      <c r="L457">
        <f t="shared" si="21"/>
        <v>2376</v>
      </c>
      <c r="M457">
        <f t="shared" si="21"/>
        <v>810</v>
      </c>
      <c r="N457">
        <f t="shared" si="22"/>
        <v>226091</v>
      </c>
      <c r="O457" t="str">
        <f t="shared" si="23"/>
        <v>&lt;Entry outShaftSpeed="2376.00" torque="810.00" electricPower="226091.00"/&gt;</v>
      </c>
    </row>
    <row r="458" spans="1:15" x14ac:dyDescent="0.25">
      <c r="A458" s="1">
        <v>2376</v>
      </c>
      <c r="B458">
        <v>855</v>
      </c>
      <c r="C458">
        <v>239.10300000000001</v>
      </c>
      <c r="L458">
        <f t="shared" si="21"/>
        <v>2376</v>
      </c>
      <c r="M458">
        <f t="shared" si="21"/>
        <v>855</v>
      </c>
      <c r="N458">
        <f t="shared" si="22"/>
        <v>239103</v>
      </c>
      <c r="O458" t="str">
        <f t="shared" si="23"/>
        <v>&lt;Entry outShaftSpeed="2376.00" torque="855.00" electricPower="239103.00"/&gt;</v>
      </c>
    </row>
    <row r="459" spans="1:15" x14ac:dyDescent="0.25">
      <c r="A459" s="1">
        <v>2376</v>
      </c>
      <c r="B459">
        <v>900</v>
      </c>
      <c r="C459">
        <v>252.185</v>
      </c>
      <c r="L459">
        <f t="shared" si="21"/>
        <v>2376</v>
      </c>
      <c r="M459">
        <f t="shared" si="21"/>
        <v>900</v>
      </c>
      <c r="N459">
        <f t="shared" si="22"/>
        <v>252185</v>
      </c>
      <c r="O459" t="str">
        <f t="shared" si="23"/>
        <v>&lt;Entry outShaftSpeed="2376.00" torque="900.00" electricPower="252185.00"/&gt;</v>
      </c>
    </row>
    <row r="460" spans="1:15" x14ac:dyDescent="0.25">
      <c r="A460" s="1">
        <v>2376</v>
      </c>
      <c r="B460">
        <v>945</v>
      </c>
      <c r="C460">
        <v>265.33800000000002</v>
      </c>
      <c r="L460">
        <f t="shared" si="21"/>
        <v>2376</v>
      </c>
      <c r="M460">
        <f t="shared" si="21"/>
        <v>945</v>
      </c>
      <c r="N460">
        <f t="shared" si="22"/>
        <v>265338</v>
      </c>
      <c r="O460" t="str">
        <f t="shared" si="23"/>
        <v>&lt;Entry outShaftSpeed="2376.00" torque="945.00" electricPower="265338.00"/&gt;</v>
      </c>
    </row>
    <row r="461" spans="1:15" x14ac:dyDescent="0.25">
      <c r="A461" s="1">
        <v>2376</v>
      </c>
      <c r="B461">
        <v>990</v>
      </c>
      <c r="C461">
        <v>278.56</v>
      </c>
      <c r="L461">
        <f t="shared" si="21"/>
        <v>2376</v>
      </c>
      <c r="M461">
        <f t="shared" si="21"/>
        <v>990</v>
      </c>
      <c r="N461">
        <f t="shared" si="22"/>
        <v>278560</v>
      </c>
      <c r="O461" t="str">
        <f t="shared" si="23"/>
        <v>&lt;Entry outShaftSpeed="2376.00" torque="990.00" electricPower="278560.00"/&gt;</v>
      </c>
    </row>
    <row r="462" spans="1:15" x14ac:dyDescent="0.25">
      <c r="A462" s="1">
        <v>2673</v>
      </c>
      <c r="B462">
        <v>-990</v>
      </c>
      <c r="C462">
        <v>-241.37200000000001</v>
      </c>
      <c r="L462">
        <f t="shared" si="21"/>
        <v>2673</v>
      </c>
      <c r="M462">
        <f t="shared" si="21"/>
        <v>-990</v>
      </c>
      <c r="N462">
        <f t="shared" si="22"/>
        <v>-241372</v>
      </c>
      <c r="O462" t="str">
        <f t="shared" si="23"/>
        <v>&lt;Entry outShaftSpeed="2673.00" torque="-990.00" electricPower="-241372.00"/&gt;</v>
      </c>
    </row>
    <row r="463" spans="1:15" x14ac:dyDescent="0.25">
      <c r="A463" s="1">
        <v>2673</v>
      </c>
      <c r="B463">
        <v>-945</v>
      </c>
      <c r="C463">
        <v>-231.01499999999999</v>
      </c>
      <c r="L463">
        <f t="shared" si="21"/>
        <v>2673</v>
      </c>
      <c r="M463">
        <f t="shared" si="21"/>
        <v>-945</v>
      </c>
      <c r="N463">
        <f t="shared" si="22"/>
        <v>-231015</v>
      </c>
      <c r="O463" t="str">
        <f t="shared" si="23"/>
        <v>&lt;Entry outShaftSpeed="2673.00" torque="-945.00" electricPower="-231015.00"/&gt;</v>
      </c>
    </row>
    <row r="464" spans="1:15" x14ac:dyDescent="0.25">
      <c r="A464" s="1">
        <v>2673</v>
      </c>
      <c r="B464">
        <v>-900</v>
      </c>
      <c r="C464">
        <v>-220.57900000000001</v>
      </c>
      <c r="L464">
        <f t="shared" si="21"/>
        <v>2673</v>
      </c>
      <c r="M464">
        <f t="shared" si="21"/>
        <v>-900</v>
      </c>
      <c r="N464">
        <f t="shared" si="22"/>
        <v>-220579</v>
      </c>
      <c r="O464" t="str">
        <f t="shared" si="23"/>
        <v>&lt;Entry outShaftSpeed="2673.00" torque="-900.00" electricPower="-220579.00"/&gt;</v>
      </c>
    </row>
    <row r="465" spans="1:15" x14ac:dyDescent="0.25">
      <c r="A465" s="1">
        <v>2673</v>
      </c>
      <c r="B465">
        <v>-855</v>
      </c>
      <c r="C465">
        <v>-210.06399999999999</v>
      </c>
      <c r="L465">
        <f t="shared" si="21"/>
        <v>2673</v>
      </c>
      <c r="M465">
        <f t="shared" si="21"/>
        <v>-855</v>
      </c>
      <c r="N465">
        <f t="shared" si="22"/>
        <v>-210064</v>
      </c>
      <c r="O465" t="str">
        <f t="shared" si="23"/>
        <v>&lt;Entry outShaftSpeed="2673.00" torque="-855.00" electricPower="-210064.00"/&gt;</v>
      </c>
    </row>
    <row r="466" spans="1:15" x14ac:dyDescent="0.25">
      <c r="A466" s="1">
        <v>2673</v>
      </c>
      <c r="B466">
        <v>-810</v>
      </c>
      <c r="C466">
        <v>-199.471</v>
      </c>
      <c r="L466">
        <f t="shared" si="21"/>
        <v>2673</v>
      </c>
      <c r="M466">
        <f t="shared" si="21"/>
        <v>-810</v>
      </c>
      <c r="N466">
        <f t="shared" si="22"/>
        <v>-199471</v>
      </c>
      <c r="O466" t="str">
        <f t="shared" si="23"/>
        <v>&lt;Entry outShaftSpeed="2673.00" torque="-810.00" electricPower="-199471.00"/&gt;</v>
      </c>
    </row>
    <row r="467" spans="1:15" x14ac:dyDescent="0.25">
      <c r="A467" s="1">
        <v>2673</v>
      </c>
      <c r="B467">
        <v>-765</v>
      </c>
      <c r="C467">
        <v>-188.79900000000001</v>
      </c>
      <c r="L467">
        <f t="shared" si="21"/>
        <v>2673</v>
      </c>
      <c r="M467">
        <f t="shared" si="21"/>
        <v>-765</v>
      </c>
      <c r="N467">
        <f t="shared" si="22"/>
        <v>-188799</v>
      </c>
      <c r="O467" t="str">
        <f t="shared" si="23"/>
        <v>&lt;Entry outShaftSpeed="2673.00" torque="-765.00" electricPower="-188799.00"/&gt;</v>
      </c>
    </row>
    <row r="468" spans="1:15" x14ac:dyDescent="0.25">
      <c r="A468" s="1">
        <v>2673</v>
      </c>
      <c r="B468">
        <v>-720</v>
      </c>
      <c r="C468">
        <v>-178.04900000000001</v>
      </c>
      <c r="L468">
        <f t="shared" si="21"/>
        <v>2673</v>
      </c>
      <c r="M468">
        <f t="shared" si="21"/>
        <v>-720</v>
      </c>
      <c r="N468">
        <f t="shared" si="22"/>
        <v>-178049</v>
      </c>
      <c r="O468" t="str">
        <f t="shared" si="23"/>
        <v>&lt;Entry outShaftSpeed="2673.00" torque="-720.00" electricPower="-178049.00"/&gt;</v>
      </c>
    </row>
    <row r="469" spans="1:15" x14ac:dyDescent="0.25">
      <c r="A469" s="1">
        <v>2673</v>
      </c>
      <c r="B469">
        <v>-675</v>
      </c>
      <c r="C469">
        <v>-167.22</v>
      </c>
      <c r="L469">
        <f t="shared" si="21"/>
        <v>2673</v>
      </c>
      <c r="M469">
        <f t="shared" si="21"/>
        <v>-675</v>
      </c>
      <c r="N469">
        <f t="shared" si="22"/>
        <v>-167220</v>
      </c>
      <c r="O469" t="str">
        <f t="shared" si="23"/>
        <v>&lt;Entry outShaftSpeed="2673.00" torque="-675.00" electricPower="-167220.00"/&gt;</v>
      </c>
    </row>
    <row r="470" spans="1:15" x14ac:dyDescent="0.25">
      <c r="A470" s="1">
        <v>2673</v>
      </c>
      <c r="B470">
        <v>-630</v>
      </c>
      <c r="C470">
        <v>-156.31200000000001</v>
      </c>
      <c r="L470">
        <f t="shared" si="21"/>
        <v>2673</v>
      </c>
      <c r="M470">
        <f t="shared" si="21"/>
        <v>-630</v>
      </c>
      <c r="N470">
        <f t="shared" si="22"/>
        <v>-156312</v>
      </c>
      <c r="O470" t="str">
        <f t="shared" si="23"/>
        <v>&lt;Entry outShaftSpeed="2673.00" torque="-630.00" electricPower="-156312.00"/&gt;</v>
      </c>
    </row>
    <row r="471" spans="1:15" x14ac:dyDescent="0.25">
      <c r="A471" s="1">
        <v>2673</v>
      </c>
      <c r="B471">
        <v>-585</v>
      </c>
      <c r="C471">
        <v>-145.32599999999999</v>
      </c>
      <c r="L471">
        <f t="shared" si="21"/>
        <v>2673</v>
      </c>
      <c r="M471">
        <f t="shared" si="21"/>
        <v>-585</v>
      </c>
      <c r="N471">
        <f t="shared" si="22"/>
        <v>-145326</v>
      </c>
      <c r="O471" t="str">
        <f t="shared" si="23"/>
        <v>&lt;Entry outShaftSpeed="2673.00" torque="-585.00" electricPower="-145326.00"/&gt;</v>
      </c>
    </row>
    <row r="472" spans="1:15" x14ac:dyDescent="0.25">
      <c r="A472" s="1">
        <v>2673</v>
      </c>
      <c r="B472">
        <v>-540</v>
      </c>
      <c r="C472">
        <v>-134.261</v>
      </c>
      <c r="L472">
        <f t="shared" si="21"/>
        <v>2673</v>
      </c>
      <c r="M472">
        <f t="shared" si="21"/>
        <v>-540</v>
      </c>
      <c r="N472">
        <f t="shared" si="22"/>
        <v>-134261</v>
      </c>
      <c r="O472" t="str">
        <f t="shared" si="23"/>
        <v>&lt;Entry outShaftSpeed="2673.00" torque="-540.00" electricPower="-134261.00"/&gt;</v>
      </c>
    </row>
    <row r="473" spans="1:15" x14ac:dyDescent="0.25">
      <c r="A473" s="1">
        <v>2673</v>
      </c>
      <c r="B473">
        <v>-495</v>
      </c>
      <c r="C473">
        <v>-123.117</v>
      </c>
      <c r="L473">
        <f t="shared" si="21"/>
        <v>2673</v>
      </c>
      <c r="M473">
        <f t="shared" si="21"/>
        <v>-495</v>
      </c>
      <c r="N473">
        <f t="shared" si="22"/>
        <v>-123117</v>
      </c>
      <c r="O473" t="str">
        <f t="shared" si="23"/>
        <v>&lt;Entry outShaftSpeed="2673.00" torque="-495.00" electricPower="-123117.00"/&gt;</v>
      </c>
    </row>
    <row r="474" spans="1:15" x14ac:dyDescent="0.25">
      <c r="A474" s="1">
        <v>2673</v>
      </c>
      <c r="B474">
        <v>-450</v>
      </c>
      <c r="C474">
        <v>-111.895</v>
      </c>
      <c r="L474">
        <f t="shared" si="21"/>
        <v>2673</v>
      </c>
      <c r="M474">
        <f t="shared" si="21"/>
        <v>-450</v>
      </c>
      <c r="N474">
        <f t="shared" si="22"/>
        <v>-111895</v>
      </c>
      <c r="O474" t="str">
        <f t="shared" si="23"/>
        <v>&lt;Entry outShaftSpeed="2673.00" torque="-450.00" electricPower="-111895.00"/&gt;</v>
      </c>
    </row>
    <row r="475" spans="1:15" x14ac:dyDescent="0.25">
      <c r="A475" s="1">
        <v>2673</v>
      </c>
      <c r="B475">
        <v>-405</v>
      </c>
      <c r="C475">
        <v>-100.595</v>
      </c>
      <c r="L475">
        <f t="shared" si="21"/>
        <v>2673</v>
      </c>
      <c r="M475">
        <f t="shared" si="21"/>
        <v>-405</v>
      </c>
      <c r="N475">
        <f t="shared" si="22"/>
        <v>-100595</v>
      </c>
      <c r="O475" t="str">
        <f t="shared" si="23"/>
        <v>&lt;Entry outShaftSpeed="2673.00" torque="-405.00" electricPower="-100595.00"/&gt;</v>
      </c>
    </row>
    <row r="476" spans="1:15" x14ac:dyDescent="0.25">
      <c r="A476" s="1">
        <v>2673</v>
      </c>
      <c r="B476">
        <v>-360</v>
      </c>
      <c r="C476">
        <v>-89.215000000000003</v>
      </c>
      <c r="L476">
        <f t="shared" si="21"/>
        <v>2673</v>
      </c>
      <c r="M476">
        <f t="shared" si="21"/>
        <v>-360</v>
      </c>
      <c r="N476">
        <f t="shared" si="22"/>
        <v>-89215</v>
      </c>
      <c r="O476" t="str">
        <f t="shared" si="23"/>
        <v>&lt;Entry outShaftSpeed="2673.00" torque="-360.00" electricPower="-89215.00"/&gt;</v>
      </c>
    </row>
    <row r="477" spans="1:15" x14ac:dyDescent="0.25">
      <c r="A477" s="1">
        <v>2673</v>
      </c>
      <c r="B477">
        <v>-315</v>
      </c>
      <c r="C477">
        <v>-77.757000000000005</v>
      </c>
      <c r="L477">
        <f t="shared" si="21"/>
        <v>2673</v>
      </c>
      <c r="M477">
        <f t="shared" si="21"/>
        <v>-315</v>
      </c>
      <c r="N477">
        <f t="shared" si="22"/>
        <v>-77757</v>
      </c>
      <c r="O477" t="str">
        <f t="shared" si="23"/>
        <v>&lt;Entry outShaftSpeed="2673.00" torque="-315.00" electricPower="-77757.00"/&gt;</v>
      </c>
    </row>
    <row r="478" spans="1:15" x14ac:dyDescent="0.25">
      <c r="A478" s="1">
        <v>2673</v>
      </c>
      <c r="B478">
        <v>-270</v>
      </c>
      <c r="C478">
        <v>-66.221000000000004</v>
      </c>
      <c r="L478">
        <f t="shared" si="21"/>
        <v>2673</v>
      </c>
      <c r="M478">
        <f t="shared" si="21"/>
        <v>-270</v>
      </c>
      <c r="N478">
        <f t="shared" si="22"/>
        <v>-66221</v>
      </c>
      <c r="O478" t="str">
        <f t="shared" si="23"/>
        <v>&lt;Entry outShaftSpeed="2673.00" torque="-270.00" electricPower="-66221.00"/&gt;</v>
      </c>
    </row>
    <row r="479" spans="1:15" x14ac:dyDescent="0.25">
      <c r="A479" s="1">
        <v>2673</v>
      </c>
      <c r="B479">
        <v>-225</v>
      </c>
      <c r="C479">
        <v>-54.606000000000002</v>
      </c>
      <c r="L479">
        <f t="shared" si="21"/>
        <v>2673</v>
      </c>
      <c r="M479">
        <f t="shared" si="21"/>
        <v>-225</v>
      </c>
      <c r="N479">
        <f t="shared" si="22"/>
        <v>-54606</v>
      </c>
      <c r="O479" t="str">
        <f t="shared" si="23"/>
        <v>&lt;Entry outShaftSpeed="2673.00" torque="-225.00" electricPower="-54606.00"/&gt;</v>
      </c>
    </row>
    <row r="480" spans="1:15" x14ac:dyDescent="0.25">
      <c r="A480" s="1">
        <v>2673</v>
      </c>
      <c r="B480">
        <v>-180</v>
      </c>
      <c r="C480">
        <v>-42.911999999999999</v>
      </c>
      <c r="L480">
        <f t="shared" si="21"/>
        <v>2673</v>
      </c>
      <c r="M480">
        <f t="shared" si="21"/>
        <v>-180</v>
      </c>
      <c r="N480">
        <f t="shared" si="22"/>
        <v>-42912</v>
      </c>
      <c r="O480" t="str">
        <f t="shared" si="23"/>
        <v>&lt;Entry outShaftSpeed="2673.00" torque="-180.00" electricPower="-42912.00"/&gt;</v>
      </c>
    </row>
    <row r="481" spans="1:15" x14ac:dyDescent="0.25">
      <c r="A481" s="1">
        <v>2673</v>
      </c>
      <c r="B481">
        <v>-135</v>
      </c>
      <c r="C481">
        <v>-31.14</v>
      </c>
      <c r="L481">
        <f t="shared" si="21"/>
        <v>2673</v>
      </c>
      <c r="M481">
        <f t="shared" si="21"/>
        <v>-135</v>
      </c>
      <c r="N481">
        <f t="shared" si="22"/>
        <v>-31140</v>
      </c>
      <c r="O481" t="str">
        <f t="shared" si="23"/>
        <v>&lt;Entry outShaftSpeed="2673.00" torque="-135.00" electricPower="-31140.00"/&gt;</v>
      </c>
    </row>
    <row r="482" spans="1:15" x14ac:dyDescent="0.25">
      <c r="A482" s="1">
        <v>2673</v>
      </c>
      <c r="B482">
        <v>-90</v>
      </c>
      <c r="C482">
        <v>-19.289000000000001</v>
      </c>
      <c r="L482">
        <f t="shared" si="21"/>
        <v>2673</v>
      </c>
      <c r="M482">
        <f t="shared" si="21"/>
        <v>-90</v>
      </c>
      <c r="N482">
        <f t="shared" si="22"/>
        <v>-19289</v>
      </c>
      <c r="O482" t="str">
        <f t="shared" si="23"/>
        <v>&lt;Entry outShaftSpeed="2673.00" torque="-90.00" electricPower="-19289.00"/&gt;</v>
      </c>
    </row>
    <row r="483" spans="1:15" x14ac:dyDescent="0.25">
      <c r="A483" s="1">
        <v>2673</v>
      </c>
      <c r="B483">
        <v>-45</v>
      </c>
      <c r="C483">
        <v>-7.36</v>
      </c>
      <c r="L483">
        <f t="shared" si="21"/>
        <v>2673</v>
      </c>
      <c r="M483">
        <f t="shared" si="21"/>
        <v>-45</v>
      </c>
      <c r="N483">
        <f t="shared" si="22"/>
        <v>-7360</v>
      </c>
      <c r="O483" t="str">
        <f t="shared" si="23"/>
        <v>&lt;Entry outShaftSpeed="2673.00" torque="-45.00" electricPower="-7360.00"/&gt;</v>
      </c>
    </row>
    <row r="484" spans="1:15" x14ac:dyDescent="0.25">
      <c r="A484" s="1">
        <v>2673</v>
      </c>
      <c r="B484">
        <v>-9</v>
      </c>
      <c r="C484">
        <v>0</v>
      </c>
      <c r="L484">
        <f t="shared" si="21"/>
        <v>2673</v>
      </c>
      <c r="M484">
        <f t="shared" si="21"/>
        <v>-9</v>
      </c>
      <c r="N484">
        <f t="shared" si="22"/>
        <v>0</v>
      </c>
      <c r="O484" t="str">
        <f t="shared" si="23"/>
        <v>&lt;Entry outShaftSpeed="2673.00" torque="-9.00" electricPower="0.00"/&gt;</v>
      </c>
    </row>
    <row r="485" spans="1:15" x14ac:dyDescent="0.25">
      <c r="A485" s="1">
        <v>2673</v>
      </c>
      <c r="B485">
        <v>9</v>
      </c>
      <c r="C485">
        <v>7.6790000000000003</v>
      </c>
      <c r="L485">
        <f t="shared" si="21"/>
        <v>2673</v>
      </c>
      <c r="M485">
        <f t="shared" si="21"/>
        <v>9</v>
      </c>
      <c r="N485">
        <f t="shared" si="22"/>
        <v>7679</v>
      </c>
      <c r="O485" t="str">
        <f t="shared" si="23"/>
        <v>&lt;Entry outShaftSpeed="2673.00" torque="9.00" electricPower="7679.00"/&gt;</v>
      </c>
    </row>
    <row r="486" spans="1:15" x14ac:dyDescent="0.25">
      <c r="A486" s="1">
        <v>2673</v>
      </c>
      <c r="B486">
        <v>45</v>
      </c>
      <c r="C486">
        <v>18.256</v>
      </c>
      <c r="L486">
        <f t="shared" si="21"/>
        <v>2673</v>
      </c>
      <c r="M486">
        <f t="shared" si="21"/>
        <v>45</v>
      </c>
      <c r="N486">
        <f t="shared" si="22"/>
        <v>18256</v>
      </c>
      <c r="O486" t="str">
        <f t="shared" si="23"/>
        <v>&lt;Entry outShaftSpeed="2673.00" torque="45.00" electricPower="18256.00"/&gt;</v>
      </c>
    </row>
    <row r="487" spans="1:15" x14ac:dyDescent="0.25">
      <c r="A487" s="1">
        <v>2673</v>
      </c>
      <c r="B487">
        <v>90</v>
      </c>
      <c r="C487">
        <v>31.553999999999998</v>
      </c>
      <c r="L487">
        <f t="shared" si="21"/>
        <v>2673</v>
      </c>
      <c r="M487">
        <f t="shared" si="21"/>
        <v>90</v>
      </c>
      <c r="N487">
        <f t="shared" si="22"/>
        <v>31554</v>
      </c>
      <c r="O487" t="str">
        <f t="shared" si="23"/>
        <v>&lt;Entry outShaftSpeed="2673.00" torque="90.00" electricPower="31554.00"/&gt;</v>
      </c>
    </row>
    <row r="488" spans="1:15" x14ac:dyDescent="0.25">
      <c r="A488" s="1">
        <v>2673</v>
      </c>
      <c r="B488">
        <v>135</v>
      </c>
      <c r="C488">
        <v>44.936999999999998</v>
      </c>
      <c r="L488">
        <f t="shared" si="21"/>
        <v>2673</v>
      </c>
      <c r="M488">
        <f t="shared" si="21"/>
        <v>135</v>
      </c>
      <c r="N488">
        <f t="shared" si="22"/>
        <v>44937</v>
      </c>
      <c r="O488" t="str">
        <f t="shared" si="23"/>
        <v>&lt;Entry outShaftSpeed="2673.00" torque="135.00" electricPower="44937.00"/&gt;</v>
      </c>
    </row>
    <row r="489" spans="1:15" x14ac:dyDescent="0.25">
      <c r="A489" s="1">
        <v>2673</v>
      </c>
      <c r="B489">
        <v>180</v>
      </c>
      <c r="C489">
        <v>58.405999999999999</v>
      </c>
      <c r="L489">
        <f t="shared" si="21"/>
        <v>2673</v>
      </c>
      <c r="M489">
        <f t="shared" si="21"/>
        <v>180</v>
      </c>
      <c r="N489">
        <f t="shared" si="22"/>
        <v>58406</v>
      </c>
      <c r="O489" t="str">
        <f t="shared" si="23"/>
        <v>&lt;Entry outShaftSpeed="2673.00" torque="180.00" electricPower="58406.00"/&gt;</v>
      </c>
    </row>
    <row r="490" spans="1:15" x14ac:dyDescent="0.25">
      <c r="A490" s="1">
        <v>2673</v>
      </c>
      <c r="B490">
        <v>225</v>
      </c>
      <c r="C490">
        <v>71.959000000000003</v>
      </c>
      <c r="L490">
        <f t="shared" si="21"/>
        <v>2673</v>
      </c>
      <c r="M490">
        <f t="shared" si="21"/>
        <v>225</v>
      </c>
      <c r="N490">
        <f t="shared" si="22"/>
        <v>71959</v>
      </c>
      <c r="O490" t="str">
        <f t="shared" si="23"/>
        <v>&lt;Entry outShaftSpeed="2673.00" torque="225.00" electricPower="71959.00"/&gt;</v>
      </c>
    </row>
    <row r="491" spans="1:15" x14ac:dyDescent="0.25">
      <c r="A491" s="1">
        <v>2673</v>
      </c>
      <c r="B491">
        <v>270</v>
      </c>
      <c r="C491">
        <v>85.597999999999999</v>
      </c>
      <c r="L491">
        <f t="shared" si="21"/>
        <v>2673</v>
      </c>
      <c r="M491">
        <f t="shared" si="21"/>
        <v>270</v>
      </c>
      <c r="N491">
        <f t="shared" si="22"/>
        <v>85598</v>
      </c>
      <c r="O491" t="str">
        <f t="shared" si="23"/>
        <v>&lt;Entry outShaftSpeed="2673.00" torque="270.00" electricPower="85598.00"/&gt;</v>
      </c>
    </row>
    <row r="492" spans="1:15" x14ac:dyDescent="0.25">
      <c r="A492" s="1">
        <v>2673</v>
      </c>
      <c r="B492">
        <v>315</v>
      </c>
      <c r="C492">
        <v>99.322999999999993</v>
      </c>
      <c r="L492">
        <f t="shared" si="21"/>
        <v>2673</v>
      </c>
      <c r="M492">
        <f t="shared" si="21"/>
        <v>315</v>
      </c>
      <c r="N492">
        <f t="shared" si="22"/>
        <v>99323</v>
      </c>
      <c r="O492" t="str">
        <f t="shared" si="23"/>
        <v>&lt;Entry outShaftSpeed="2673.00" torque="315.00" electricPower="99323.00"/&gt;</v>
      </c>
    </row>
    <row r="493" spans="1:15" x14ac:dyDescent="0.25">
      <c r="A493" s="1">
        <v>2673</v>
      </c>
      <c r="B493">
        <v>360</v>
      </c>
      <c r="C493">
        <v>113.13200000000001</v>
      </c>
      <c r="L493">
        <f t="shared" si="21"/>
        <v>2673</v>
      </c>
      <c r="M493">
        <f t="shared" si="21"/>
        <v>360</v>
      </c>
      <c r="N493">
        <f t="shared" si="22"/>
        <v>113132</v>
      </c>
      <c r="O493" t="str">
        <f t="shared" si="23"/>
        <v>&lt;Entry outShaftSpeed="2673.00" torque="360.00" electricPower="113132.00"/&gt;</v>
      </c>
    </row>
    <row r="494" spans="1:15" x14ac:dyDescent="0.25">
      <c r="A494" s="1">
        <v>2673</v>
      </c>
      <c r="B494">
        <v>405</v>
      </c>
      <c r="C494">
        <v>127.027</v>
      </c>
      <c r="L494">
        <f t="shared" si="21"/>
        <v>2673</v>
      </c>
      <c r="M494">
        <f t="shared" si="21"/>
        <v>405</v>
      </c>
      <c r="N494">
        <f t="shared" si="22"/>
        <v>127027</v>
      </c>
      <c r="O494" t="str">
        <f t="shared" si="23"/>
        <v>&lt;Entry outShaftSpeed="2673.00" torque="405.00" electricPower="127027.00"/&gt;</v>
      </c>
    </row>
    <row r="495" spans="1:15" x14ac:dyDescent="0.25">
      <c r="A495" s="1">
        <v>2673</v>
      </c>
      <c r="B495">
        <v>450</v>
      </c>
      <c r="C495">
        <v>141.00700000000001</v>
      </c>
      <c r="L495">
        <f t="shared" si="21"/>
        <v>2673</v>
      </c>
      <c r="M495">
        <f t="shared" si="21"/>
        <v>450</v>
      </c>
      <c r="N495">
        <f t="shared" si="22"/>
        <v>141007</v>
      </c>
      <c r="O495" t="str">
        <f t="shared" si="23"/>
        <v>&lt;Entry outShaftSpeed="2673.00" torque="450.00" electricPower="141007.00"/&gt;</v>
      </c>
    </row>
    <row r="496" spans="1:15" x14ac:dyDescent="0.25">
      <c r="A496" s="1">
        <v>2673</v>
      </c>
      <c r="B496">
        <v>495</v>
      </c>
      <c r="C496">
        <v>155.072</v>
      </c>
      <c r="L496">
        <f t="shared" si="21"/>
        <v>2673</v>
      </c>
      <c r="M496">
        <f t="shared" si="21"/>
        <v>495</v>
      </c>
      <c r="N496">
        <f t="shared" si="22"/>
        <v>155072</v>
      </c>
      <c r="O496" t="str">
        <f t="shared" si="23"/>
        <v>&lt;Entry outShaftSpeed="2673.00" torque="495.00" electricPower="155072.00"/&gt;</v>
      </c>
    </row>
    <row r="497" spans="1:15" x14ac:dyDescent="0.25">
      <c r="A497" s="1">
        <v>2673</v>
      </c>
      <c r="B497">
        <v>540</v>
      </c>
      <c r="C497">
        <v>169.22300000000001</v>
      </c>
      <c r="L497">
        <f t="shared" si="21"/>
        <v>2673</v>
      </c>
      <c r="M497">
        <f t="shared" si="21"/>
        <v>540</v>
      </c>
      <c r="N497">
        <f t="shared" si="22"/>
        <v>169223</v>
      </c>
      <c r="O497" t="str">
        <f t="shared" si="23"/>
        <v>&lt;Entry outShaftSpeed="2673.00" torque="540.00" electricPower="169223.00"/&gt;</v>
      </c>
    </row>
    <row r="498" spans="1:15" x14ac:dyDescent="0.25">
      <c r="A498" s="1">
        <v>2673</v>
      </c>
      <c r="B498">
        <v>585</v>
      </c>
      <c r="C498">
        <v>183.459</v>
      </c>
      <c r="L498">
        <f t="shared" si="21"/>
        <v>2673</v>
      </c>
      <c r="M498">
        <f t="shared" si="21"/>
        <v>585</v>
      </c>
      <c r="N498">
        <f t="shared" si="22"/>
        <v>183459</v>
      </c>
      <c r="O498" t="str">
        <f t="shared" si="23"/>
        <v>&lt;Entry outShaftSpeed="2673.00" torque="585.00" electricPower="183459.00"/&gt;</v>
      </c>
    </row>
    <row r="499" spans="1:15" x14ac:dyDescent="0.25">
      <c r="A499" s="1">
        <v>2673</v>
      </c>
      <c r="B499">
        <v>630</v>
      </c>
      <c r="C499">
        <v>197.78</v>
      </c>
      <c r="L499">
        <f t="shared" si="21"/>
        <v>2673</v>
      </c>
      <c r="M499">
        <f t="shared" si="21"/>
        <v>630</v>
      </c>
      <c r="N499">
        <f t="shared" si="22"/>
        <v>197780</v>
      </c>
      <c r="O499" t="str">
        <f t="shared" si="23"/>
        <v>&lt;Entry outShaftSpeed="2673.00" torque="630.00" electricPower="197780.00"/&gt;</v>
      </c>
    </row>
    <row r="500" spans="1:15" x14ac:dyDescent="0.25">
      <c r="A500" s="1">
        <v>2673</v>
      </c>
      <c r="B500">
        <v>675</v>
      </c>
      <c r="C500">
        <v>212.18700000000001</v>
      </c>
      <c r="L500">
        <f t="shared" si="21"/>
        <v>2673</v>
      </c>
      <c r="M500">
        <f t="shared" si="21"/>
        <v>675</v>
      </c>
      <c r="N500">
        <f t="shared" si="22"/>
        <v>212187</v>
      </c>
      <c r="O500" t="str">
        <f t="shared" si="23"/>
        <v>&lt;Entry outShaftSpeed="2673.00" torque="675.00" electricPower="212187.00"/&gt;</v>
      </c>
    </row>
    <row r="501" spans="1:15" x14ac:dyDescent="0.25">
      <c r="A501" s="1">
        <v>2673</v>
      </c>
      <c r="B501">
        <v>720</v>
      </c>
      <c r="C501">
        <v>226.679</v>
      </c>
      <c r="L501">
        <f t="shared" si="21"/>
        <v>2673</v>
      </c>
      <c r="M501">
        <f t="shared" si="21"/>
        <v>720</v>
      </c>
      <c r="N501">
        <f t="shared" si="22"/>
        <v>226679</v>
      </c>
      <c r="O501" t="str">
        <f t="shared" si="23"/>
        <v>&lt;Entry outShaftSpeed="2673.00" torque="720.00" electricPower="226679.00"/&gt;</v>
      </c>
    </row>
    <row r="502" spans="1:15" x14ac:dyDescent="0.25">
      <c r="A502" s="1">
        <v>2673</v>
      </c>
      <c r="B502">
        <v>765</v>
      </c>
      <c r="C502">
        <v>241.256</v>
      </c>
      <c r="L502">
        <f t="shared" si="21"/>
        <v>2673</v>
      </c>
      <c r="M502">
        <f t="shared" si="21"/>
        <v>765</v>
      </c>
      <c r="N502">
        <f t="shared" si="22"/>
        <v>241256</v>
      </c>
      <c r="O502" t="str">
        <f t="shared" si="23"/>
        <v>&lt;Entry outShaftSpeed="2673.00" torque="765.00" electricPower="241256.00"/&gt;</v>
      </c>
    </row>
    <row r="503" spans="1:15" x14ac:dyDescent="0.25">
      <c r="A503" s="1">
        <v>2673</v>
      </c>
      <c r="B503">
        <v>810</v>
      </c>
      <c r="C503">
        <v>255.91800000000001</v>
      </c>
      <c r="L503">
        <f t="shared" si="21"/>
        <v>2673</v>
      </c>
      <c r="M503">
        <f t="shared" si="21"/>
        <v>810</v>
      </c>
      <c r="N503">
        <f t="shared" si="22"/>
        <v>255918</v>
      </c>
      <c r="O503" t="str">
        <f t="shared" si="23"/>
        <v>&lt;Entry outShaftSpeed="2673.00" torque="810.00" electricPower="255918.00"/&gt;</v>
      </c>
    </row>
    <row r="504" spans="1:15" x14ac:dyDescent="0.25">
      <c r="A504" s="1">
        <v>2673</v>
      </c>
      <c r="B504">
        <v>855</v>
      </c>
      <c r="C504">
        <v>270.666</v>
      </c>
      <c r="L504">
        <f t="shared" si="21"/>
        <v>2673</v>
      </c>
      <c r="M504">
        <f t="shared" si="21"/>
        <v>855</v>
      </c>
      <c r="N504">
        <f t="shared" si="22"/>
        <v>270666</v>
      </c>
      <c r="O504" t="str">
        <f t="shared" si="23"/>
        <v>&lt;Entry outShaftSpeed="2673.00" torque="855.00" electricPower="270666.00"/&gt;</v>
      </c>
    </row>
    <row r="505" spans="1:15" x14ac:dyDescent="0.25">
      <c r="A505" s="1">
        <v>2673</v>
      </c>
      <c r="B505">
        <v>900</v>
      </c>
      <c r="C505">
        <v>285.49900000000002</v>
      </c>
      <c r="L505">
        <f t="shared" si="21"/>
        <v>2673</v>
      </c>
      <c r="M505">
        <f t="shared" si="21"/>
        <v>900</v>
      </c>
      <c r="N505">
        <f t="shared" si="22"/>
        <v>285499</v>
      </c>
      <c r="O505" t="str">
        <f t="shared" si="23"/>
        <v>&lt;Entry outShaftSpeed="2673.00" torque="900.00" electricPower="285499.00"/&gt;</v>
      </c>
    </row>
    <row r="506" spans="1:15" x14ac:dyDescent="0.25">
      <c r="A506" s="1">
        <v>2673</v>
      </c>
      <c r="B506">
        <v>945</v>
      </c>
      <c r="C506">
        <v>300.41699999999997</v>
      </c>
      <c r="L506">
        <f t="shared" si="21"/>
        <v>2673</v>
      </c>
      <c r="M506">
        <f t="shared" si="21"/>
        <v>945</v>
      </c>
      <c r="N506">
        <f t="shared" si="22"/>
        <v>300417</v>
      </c>
      <c r="O506" t="str">
        <f t="shared" si="23"/>
        <v>&lt;Entry outShaftSpeed="2673.00" torque="945.00" electricPower="300417.00"/&gt;</v>
      </c>
    </row>
    <row r="507" spans="1:15" x14ac:dyDescent="0.25">
      <c r="A507" s="1">
        <v>2673</v>
      </c>
      <c r="B507">
        <v>990</v>
      </c>
      <c r="C507">
        <v>315.42099999999999</v>
      </c>
      <c r="L507">
        <f t="shared" si="21"/>
        <v>2673</v>
      </c>
      <c r="M507">
        <f t="shared" si="21"/>
        <v>990</v>
      </c>
      <c r="N507">
        <f t="shared" si="22"/>
        <v>315421</v>
      </c>
      <c r="O507" t="str">
        <f t="shared" si="23"/>
        <v>&lt;Entry outShaftSpeed="2673.00" torque="990.00" electricPower="315421.00"/&gt;</v>
      </c>
    </row>
    <row r="508" spans="1:15" x14ac:dyDescent="0.25">
      <c r="A508" s="1">
        <v>2970</v>
      </c>
      <c r="B508">
        <v>-990</v>
      </c>
      <c r="C508">
        <v>-265.92899999999997</v>
      </c>
      <c r="L508">
        <f t="shared" si="21"/>
        <v>2970</v>
      </c>
      <c r="M508">
        <f t="shared" si="21"/>
        <v>-990</v>
      </c>
      <c r="N508">
        <f t="shared" si="22"/>
        <v>-265929</v>
      </c>
      <c r="O508" t="str">
        <f t="shared" si="23"/>
        <v>&lt;Entry outShaftSpeed="2970.00" torque="-990.00" electricPower="-265929.00"/&gt;</v>
      </c>
    </row>
    <row r="509" spans="1:15" x14ac:dyDescent="0.25">
      <c r="A509" s="1">
        <v>2970</v>
      </c>
      <c r="B509">
        <v>-945</v>
      </c>
      <c r="C509">
        <v>-254.56</v>
      </c>
      <c r="L509">
        <f t="shared" si="21"/>
        <v>2970</v>
      </c>
      <c r="M509">
        <f t="shared" si="21"/>
        <v>-945</v>
      </c>
      <c r="N509">
        <f t="shared" si="22"/>
        <v>-254560</v>
      </c>
      <c r="O509" t="str">
        <f t="shared" si="23"/>
        <v>&lt;Entry outShaftSpeed="2970.00" torque="-945.00" electricPower="-254560.00"/&gt;</v>
      </c>
    </row>
    <row r="510" spans="1:15" x14ac:dyDescent="0.25">
      <c r="A510" s="1">
        <v>2970</v>
      </c>
      <c r="B510">
        <v>-900</v>
      </c>
      <c r="C510">
        <v>-243.09700000000001</v>
      </c>
      <c r="L510">
        <f t="shared" si="21"/>
        <v>2970</v>
      </c>
      <c r="M510">
        <f t="shared" si="21"/>
        <v>-900</v>
      </c>
      <c r="N510">
        <f t="shared" si="22"/>
        <v>-243097</v>
      </c>
      <c r="O510" t="str">
        <f t="shared" si="23"/>
        <v>&lt;Entry outShaftSpeed="2970.00" torque="-900.00" electricPower="-243097.00"/&gt;</v>
      </c>
    </row>
    <row r="511" spans="1:15" x14ac:dyDescent="0.25">
      <c r="A511" s="1">
        <v>2970</v>
      </c>
      <c r="B511">
        <v>-855</v>
      </c>
      <c r="C511">
        <v>-231.54</v>
      </c>
      <c r="L511">
        <f t="shared" si="21"/>
        <v>2970</v>
      </c>
      <c r="M511">
        <f t="shared" si="21"/>
        <v>-855</v>
      </c>
      <c r="N511">
        <f t="shared" si="22"/>
        <v>-231540</v>
      </c>
      <c r="O511" t="str">
        <f t="shared" si="23"/>
        <v>&lt;Entry outShaftSpeed="2970.00" torque="-855.00" electricPower="-231540.00"/&gt;</v>
      </c>
    </row>
    <row r="512" spans="1:15" x14ac:dyDescent="0.25">
      <c r="A512" s="1">
        <v>2970</v>
      </c>
      <c r="B512">
        <v>-810</v>
      </c>
      <c r="C512">
        <v>-219.88900000000001</v>
      </c>
      <c r="L512">
        <f t="shared" si="21"/>
        <v>2970</v>
      </c>
      <c r="M512">
        <f t="shared" si="21"/>
        <v>-810</v>
      </c>
      <c r="N512">
        <f t="shared" si="22"/>
        <v>-219889</v>
      </c>
      <c r="O512" t="str">
        <f t="shared" si="23"/>
        <v>&lt;Entry outShaftSpeed="2970.00" torque="-810.00" electricPower="-219889.00"/&gt;</v>
      </c>
    </row>
    <row r="513" spans="1:15" x14ac:dyDescent="0.25">
      <c r="A513" s="1">
        <v>2970</v>
      </c>
      <c r="B513">
        <v>-765</v>
      </c>
      <c r="C513">
        <v>-208.14400000000001</v>
      </c>
      <c r="L513">
        <f t="shared" si="21"/>
        <v>2970</v>
      </c>
      <c r="M513">
        <f t="shared" si="21"/>
        <v>-765</v>
      </c>
      <c r="N513">
        <f t="shared" si="22"/>
        <v>-208144</v>
      </c>
      <c r="O513" t="str">
        <f t="shared" si="23"/>
        <v>&lt;Entry outShaftSpeed="2970.00" torque="-765.00" electricPower="-208144.00"/&gt;</v>
      </c>
    </row>
    <row r="514" spans="1:15" x14ac:dyDescent="0.25">
      <c r="A514" s="1">
        <v>2970</v>
      </c>
      <c r="B514">
        <v>-720</v>
      </c>
      <c r="C514">
        <v>-196.30500000000001</v>
      </c>
      <c r="L514">
        <f t="shared" si="21"/>
        <v>2970</v>
      </c>
      <c r="M514">
        <f t="shared" si="21"/>
        <v>-720</v>
      </c>
      <c r="N514">
        <f t="shared" si="22"/>
        <v>-196305</v>
      </c>
      <c r="O514" t="str">
        <f t="shared" si="23"/>
        <v>&lt;Entry outShaftSpeed="2970.00" torque="-720.00" electricPower="-196305.00"/&gt;</v>
      </c>
    </row>
    <row r="515" spans="1:15" x14ac:dyDescent="0.25">
      <c r="A515" s="1">
        <v>2970</v>
      </c>
      <c r="B515">
        <v>-675</v>
      </c>
      <c r="C515">
        <v>-184.37200000000001</v>
      </c>
      <c r="L515">
        <f t="shared" ref="L515:M578" si="24">A515</f>
        <v>2970</v>
      </c>
      <c r="M515">
        <f t="shared" si="24"/>
        <v>-675</v>
      </c>
      <c r="N515">
        <f t="shared" ref="N515:N578" si="25">C515*1000</f>
        <v>-184372</v>
      </c>
      <c r="O515" t="str">
        <f t="shared" ref="O515:O578" si="26">"&lt;Entry outShaftSpeed="""&amp;TEXT(ROUND(L515,2),"#0.00")&amp;""" torque=""" &amp; TEXT(ROUND(M515,2),"#0.00") &amp; """ electricPower="""&amp;TEXT(ROUND(N515,2),"#0.00") &amp;  """/&gt;"</f>
        <v>&lt;Entry outShaftSpeed="2970.00" torque="-675.00" electricPower="-184372.00"/&gt;</v>
      </c>
    </row>
    <row r="516" spans="1:15" x14ac:dyDescent="0.25">
      <c r="A516" s="1">
        <v>2970</v>
      </c>
      <c r="B516">
        <v>-630</v>
      </c>
      <c r="C516">
        <v>-172.34399999999999</v>
      </c>
      <c r="L516">
        <f t="shared" si="24"/>
        <v>2970</v>
      </c>
      <c r="M516">
        <f t="shared" si="24"/>
        <v>-630</v>
      </c>
      <c r="N516">
        <f t="shared" si="25"/>
        <v>-172344</v>
      </c>
      <c r="O516" t="str">
        <f t="shared" si="26"/>
        <v>&lt;Entry outShaftSpeed="2970.00" torque="-630.00" electricPower="-172344.00"/&gt;</v>
      </c>
    </row>
    <row r="517" spans="1:15" x14ac:dyDescent="0.25">
      <c r="A517" s="1">
        <v>2970</v>
      </c>
      <c r="B517">
        <v>-585</v>
      </c>
      <c r="C517">
        <v>-160.22300000000001</v>
      </c>
      <c r="L517">
        <f t="shared" si="24"/>
        <v>2970</v>
      </c>
      <c r="M517">
        <f t="shared" si="24"/>
        <v>-585</v>
      </c>
      <c r="N517">
        <f t="shared" si="25"/>
        <v>-160223</v>
      </c>
      <c r="O517" t="str">
        <f t="shared" si="26"/>
        <v>&lt;Entry outShaftSpeed="2970.00" torque="-585.00" electricPower="-160223.00"/&gt;</v>
      </c>
    </row>
    <row r="518" spans="1:15" x14ac:dyDescent="0.25">
      <c r="A518" s="1">
        <v>2970</v>
      </c>
      <c r="B518">
        <v>-540</v>
      </c>
      <c r="C518">
        <v>-148.00800000000001</v>
      </c>
      <c r="L518">
        <f t="shared" si="24"/>
        <v>2970</v>
      </c>
      <c r="M518">
        <f t="shared" si="24"/>
        <v>-540</v>
      </c>
      <c r="N518">
        <f t="shared" si="25"/>
        <v>-148008</v>
      </c>
      <c r="O518" t="str">
        <f t="shared" si="26"/>
        <v>&lt;Entry outShaftSpeed="2970.00" torque="-540.00" electricPower="-148008.00"/&gt;</v>
      </c>
    </row>
    <row r="519" spans="1:15" x14ac:dyDescent="0.25">
      <c r="A519" s="1">
        <v>2970</v>
      </c>
      <c r="B519">
        <v>-495</v>
      </c>
      <c r="C519">
        <v>-135.69900000000001</v>
      </c>
      <c r="L519">
        <f t="shared" si="24"/>
        <v>2970</v>
      </c>
      <c r="M519">
        <f t="shared" si="24"/>
        <v>-495</v>
      </c>
      <c r="N519">
        <f t="shared" si="25"/>
        <v>-135699</v>
      </c>
      <c r="O519" t="str">
        <f t="shared" si="26"/>
        <v>&lt;Entry outShaftSpeed="2970.00" torque="-495.00" electricPower="-135699.00"/&gt;</v>
      </c>
    </row>
    <row r="520" spans="1:15" x14ac:dyDescent="0.25">
      <c r="A520" s="1">
        <v>2970</v>
      </c>
      <c r="B520">
        <v>-450</v>
      </c>
      <c r="C520">
        <v>-123.295</v>
      </c>
      <c r="L520">
        <f t="shared" si="24"/>
        <v>2970</v>
      </c>
      <c r="M520">
        <f t="shared" si="24"/>
        <v>-450</v>
      </c>
      <c r="N520">
        <f t="shared" si="25"/>
        <v>-123295</v>
      </c>
      <c r="O520" t="str">
        <f t="shared" si="26"/>
        <v>&lt;Entry outShaftSpeed="2970.00" torque="-450.00" electricPower="-123295.00"/&gt;</v>
      </c>
    </row>
    <row r="521" spans="1:15" x14ac:dyDescent="0.25">
      <c r="A521" s="1">
        <v>2970</v>
      </c>
      <c r="B521">
        <v>-405</v>
      </c>
      <c r="C521">
        <v>-110.798</v>
      </c>
      <c r="L521">
        <f t="shared" si="24"/>
        <v>2970</v>
      </c>
      <c r="M521">
        <f t="shared" si="24"/>
        <v>-405</v>
      </c>
      <c r="N521">
        <f t="shared" si="25"/>
        <v>-110798</v>
      </c>
      <c r="O521" t="str">
        <f t="shared" si="26"/>
        <v>&lt;Entry outShaftSpeed="2970.00" torque="-405.00" electricPower="-110798.00"/&gt;</v>
      </c>
    </row>
    <row r="522" spans="1:15" x14ac:dyDescent="0.25">
      <c r="A522" s="1">
        <v>2970</v>
      </c>
      <c r="B522">
        <v>-360</v>
      </c>
      <c r="C522">
        <v>-98.206000000000003</v>
      </c>
      <c r="L522">
        <f t="shared" si="24"/>
        <v>2970</v>
      </c>
      <c r="M522">
        <f t="shared" si="24"/>
        <v>-360</v>
      </c>
      <c r="N522">
        <f t="shared" si="25"/>
        <v>-98206</v>
      </c>
      <c r="O522" t="str">
        <f t="shared" si="26"/>
        <v>&lt;Entry outShaftSpeed="2970.00" torque="-360.00" electricPower="-98206.00"/&gt;</v>
      </c>
    </row>
    <row r="523" spans="1:15" x14ac:dyDescent="0.25">
      <c r="A523" s="1">
        <v>2970</v>
      </c>
      <c r="B523">
        <v>-315</v>
      </c>
      <c r="C523">
        <v>-85.521000000000001</v>
      </c>
      <c r="L523">
        <f t="shared" si="24"/>
        <v>2970</v>
      </c>
      <c r="M523">
        <f t="shared" si="24"/>
        <v>-315</v>
      </c>
      <c r="N523">
        <f t="shared" si="25"/>
        <v>-85521</v>
      </c>
      <c r="O523" t="str">
        <f t="shared" si="26"/>
        <v>&lt;Entry outShaftSpeed="2970.00" torque="-315.00" electricPower="-85521.00"/&gt;</v>
      </c>
    </row>
    <row r="524" spans="1:15" x14ac:dyDescent="0.25">
      <c r="A524" s="1">
        <v>2970</v>
      </c>
      <c r="B524">
        <v>-270</v>
      </c>
      <c r="C524">
        <v>-72.741</v>
      </c>
      <c r="L524">
        <f t="shared" si="24"/>
        <v>2970</v>
      </c>
      <c r="M524">
        <f t="shared" si="24"/>
        <v>-270</v>
      </c>
      <c r="N524">
        <f t="shared" si="25"/>
        <v>-72741</v>
      </c>
      <c r="O524" t="str">
        <f t="shared" si="26"/>
        <v>&lt;Entry outShaftSpeed="2970.00" torque="-270.00" electricPower="-72741.00"/&gt;</v>
      </c>
    </row>
    <row r="525" spans="1:15" x14ac:dyDescent="0.25">
      <c r="A525" s="1">
        <v>2970</v>
      </c>
      <c r="B525">
        <v>-225</v>
      </c>
      <c r="C525">
        <v>-59.866999999999997</v>
      </c>
      <c r="L525">
        <f t="shared" si="24"/>
        <v>2970</v>
      </c>
      <c r="M525">
        <f t="shared" si="24"/>
        <v>-225</v>
      </c>
      <c r="N525">
        <f t="shared" si="25"/>
        <v>-59867</v>
      </c>
      <c r="O525" t="str">
        <f t="shared" si="26"/>
        <v>&lt;Entry outShaftSpeed="2970.00" torque="-225.00" electricPower="-59867.00"/&gt;</v>
      </c>
    </row>
    <row r="526" spans="1:15" x14ac:dyDescent="0.25">
      <c r="A526" s="1">
        <v>2970</v>
      </c>
      <c r="B526">
        <v>-180</v>
      </c>
      <c r="C526">
        <v>-46.9</v>
      </c>
      <c r="L526">
        <f t="shared" si="24"/>
        <v>2970</v>
      </c>
      <c r="M526">
        <f t="shared" si="24"/>
        <v>-180</v>
      </c>
      <c r="N526">
        <f t="shared" si="25"/>
        <v>-46900</v>
      </c>
      <c r="O526" t="str">
        <f t="shared" si="26"/>
        <v>&lt;Entry outShaftSpeed="2970.00" torque="-180.00" electricPower="-46900.00"/&gt;</v>
      </c>
    </row>
    <row r="527" spans="1:15" x14ac:dyDescent="0.25">
      <c r="A527" s="1">
        <v>2970</v>
      </c>
      <c r="B527">
        <v>-135</v>
      </c>
      <c r="C527">
        <v>-33.838000000000001</v>
      </c>
      <c r="L527">
        <f t="shared" si="24"/>
        <v>2970</v>
      </c>
      <c r="M527">
        <f t="shared" si="24"/>
        <v>-135</v>
      </c>
      <c r="N527">
        <f t="shared" si="25"/>
        <v>-33838</v>
      </c>
      <c r="O527" t="str">
        <f t="shared" si="26"/>
        <v>&lt;Entry outShaftSpeed="2970.00" torque="-135.00" electricPower="-33838.00"/&gt;</v>
      </c>
    </row>
    <row r="528" spans="1:15" x14ac:dyDescent="0.25">
      <c r="A528" s="1">
        <v>2970</v>
      </c>
      <c r="B528">
        <v>-90</v>
      </c>
      <c r="C528">
        <v>-20.681999999999999</v>
      </c>
      <c r="L528">
        <f t="shared" si="24"/>
        <v>2970</v>
      </c>
      <c r="M528">
        <f t="shared" si="24"/>
        <v>-90</v>
      </c>
      <c r="N528">
        <f t="shared" si="25"/>
        <v>-20682</v>
      </c>
      <c r="O528" t="str">
        <f t="shared" si="26"/>
        <v>&lt;Entry outShaftSpeed="2970.00" torque="-90.00" electricPower="-20682.00"/&gt;</v>
      </c>
    </row>
    <row r="529" spans="1:15" x14ac:dyDescent="0.25">
      <c r="A529" s="1">
        <v>2970</v>
      </c>
      <c r="B529">
        <v>-45</v>
      </c>
      <c r="C529">
        <v>-7.4320000000000004</v>
      </c>
      <c r="L529">
        <f t="shared" si="24"/>
        <v>2970</v>
      </c>
      <c r="M529">
        <f t="shared" si="24"/>
        <v>-45</v>
      </c>
      <c r="N529">
        <f t="shared" si="25"/>
        <v>-7432</v>
      </c>
      <c r="O529" t="str">
        <f t="shared" si="26"/>
        <v>&lt;Entry outShaftSpeed="2970.00" torque="-45.00" electricPower="-7432.00"/&gt;</v>
      </c>
    </row>
    <row r="530" spans="1:15" x14ac:dyDescent="0.25">
      <c r="A530" s="1">
        <v>2970</v>
      </c>
      <c r="B530">
        <v>-9</v>
      </c>
      <c r="C530">
        <v>0</v>
      </c>
      <c r="L530">
        <f t="shared" si="24"/>
        <v>2970</v>
      </c>
      <c r="M530">
        <f t="shared" si="24"/>
        <v>-9</v>
      </c>
      <c r="N530">
        <f t="shared" si="25"/>
        <v>0</v>
      </c>
      <c r="O530" t="str">
        <f t="shared" si="26"/>
        <v>&lt;Entry outShaftSpeed="2970.00" torque="-9.00" electricPower="0.00"/&gt;</v>
      </c>
    </row>
    <row r="531" spans="1:15" x14ac:dyDescent="0.25">
      <c r="A531" s="1">
        <v>2970</v>
      </c>
      <c r="B531">
        <v>9</v>
      </c>
      <c r="C531">
        <v>9.3420000000000005</v>
      </c>
      <c r="L531">
        <f t="shared" si="24"/>
        <v>2970</v>
      </c>
      <c r="M531">
        <f t="shared" si="24"/>
        <v>9</v>
      </c>
      <c r="N531">
        <f t="shared" si="25"/>
        <v>9342</v>
      </c>
      <c r="O531" t="str">
        <f t="shared" si="26"/>
        <v>&lt;Entry outShaftSpeed="2970.00" torque="9.00" electricPower="9342.00"/&gt;</v>
      </c>
    </row>
    <row r="532" spans="1:15" x14ac:dyDescent="0.25">
      <c r="A532" s="1">
        <v>2970</v>
      </c>
      <c r="B532">
        <v>45</v>
      </c>
      <c r="C532">
        <v>21.094000000000001</v>
      </c>
      <c r="L532">
        <f t="shared" si="24"/>
        <v>2970</v>
      </c>
      <c r="M532">
        <f t="shared" si="24"/>
        <v>45</v>
      </c>
      <c r="N532">
        <f t="shared" si="25"/>
        <v>21094</v>
      </c>
      <c r="O532" t="str">
        <f t="shared" si="26"/>
        <v>&lt;Entry outShaftSpeed="2970.00" torque="45.00" electricPower="21094.00"/&gt;</v>
      </c>
    </row>
    <row r="533" spans="1:15" x14ac:dyDescent="0.25">
      <c r="A533" s="1">
        <v>2970</v>
      </c>
      <c r="B533">
        <v>90</v>
      </c>
      <c r="C533">
        <v>35.874000000000002</v>
      </c>
      <c r="L533">
        <f t="shared" si="24"/>
        <v>2970</v>
      </c>
      <c r="M533">
        <f t="shared" si="24"/>
        <v>90</v>
      </c>
      <c r="N533">
        <f t="shared" si="25"/>
        <v>35874</v>
      </c>
      <c r="O533" t="str">
        <f t="shared" si="26"/>
        <v>&lt;Entry outShaftSpeed="2970.00" torque="90.00" electricPower="35874.00"/&gt;</v>
      </c>
    </row>
    <row r="534" spans="1:15" x14ac:dyDescent="0.25">
      <c r="A534" s="1">
        <v>2970</v>
      </c>
      <c r="B534">
        <v>135</v>
      </c>
      <c r="C534">
        <v>50.756999999999998</v>
      </c>
      <c r="L534">
        <f t="shared" si="24"/>
        <v>2970</v>
      </c>
      <c r="M534">
        <f t="shared" si="24"/>
        <v>135</v>
      </c>
      <c r="N534">
        <f t="shared" si="25"/>
        <v>50757</v>
      </c>
      <c r="O534" t="str">
        <f t="shared" si="26"/>
        <v>&lt;Entry outShaftSpeed="2970.00" torque="135.00" electricPower="50757.00"/&gt;</v>
      </c>
    </row>
    <row r="535" spans="1:15" x14ac:dyDescent="0.25">
      <c r="A535" s="1">
        <v>2970</v>
      </c>
      <c r="B535">
        <v>180</v>
      </c>
      <c r="C535">
        <v>65.742000000000004</v>
      </c>
      <c r="L535">
        <f t="shared" si="24"/>
        <v>2970</v>
      </c>
      <c r="M535">
        <f t="shared" si="24"/>
        <v>180</v>
      </c>
      <c r="N535">
        <f t="shared" si="25"/>
        <v>65742</v>
      </c>
      <c r="O535" t="str">
        <f t="shared" si="26"/>
        <v>&lt;Entry outShaftSpeed="2970.00" torque="180.00" electricPower="65742.00"/&gt;</v>
      </c>
    </row>
    <row r="536" spans="1:15" x14ac:dyDescent="0.25">
      <c r="A536" s="1">
        <v>2970</v>
      </c>
      <c r="B536">
        <v>225</v>
      </c>
      <c r="C536">
        <v>80.828999999999994</v>
      </c>
      <c r="L536">
        <f t="shared" si="24"/>
        <v>2970</v>
      </c>
      <c r="M536">
        <f t="shared" si="24"/>
        <v>225</v>
      </c>
      <c r="N536">
        <f t="shared" si="25"/>
        <v>80829</v>
      </c>
      <c r="O536" t="str">
        <f t="shared" si="26"/>
        <v>&lt;Entry outShaftSpeed="2970.00" torque="225.00" electricPower="80829.00"/&gt;</v>
      </c>
    </row>
    <row r="537" spans="1:15" x14ac:dyDescent="0.25">
      <c r="A537" s="1">
        <v>2970</v>
      </c>
      <c r="B537">
        <v>270</v>
      </c>
      <c r="C537">
        <v>96.018000000000001</v>
      </c>
      <c r="L537">
        <f t="shared" si="24"/>
        <v>2970</v>
      </c>
      <c r="M537">
        <f t="shared" si="24"/>
        <v>270</v>
      </c>
      <c r="N537">
        <f t="shared" si="25"/>
        <v>96018</v>
      </c>
      <c r="O537" t="str">
        <f t="shared" si="26"/>
        <v>&lt;Entry outShaftSpeed="2970.00" torque="270.00" electricPower="96018.00"/&gt;</v>
      </c>
    </row>
    <row r="538" spans="1:15" x14ac:dyDescent="0.25">
      <c r="A538" s="1">
        <v>2970</v>
      </c>
      <c r="B538">
        <v>315</v>
      </c>
      <c r="C538">
        <v>111.31</v>
      </c>
      <c r="L538">
        <f t="shared" si="24"/>
        <v>2970</v>
      </c>
      <c r="M538">
        <f t="shared" si="24"/>
        <v>315</v>
      </c>
      <c r="N538">
        <f t="shared" si="25"/>
        <v>111310</v>
      </c>
      <c r="O538" t="str">
        <f t="shared" si="26"/>
        <v>&lt;Entry outShaftSpeed="2970.00" torque="315.00" electricPower="111310.00"/&gt;</v>
      </c>
    </row>
    <row r="539" spans="1:15" x14ac:dyDescent="0.25">
      <c r="A539" s="1">
        <v>2970</v>
      </c>
      <c r="B539">
        <v>360</v>
      </c>
      <c r="C539">
        <v>126.703</v>
      </c>
      <c r="L539">
        <f t="shared" si="24"/>
        <v>2970</v>
      </c>
      <c r="M539">
        <f t="shared" si="24"/>
        <v>360</v>
      </c>
      <c r="N539">
        <f t="shared" si="25"/>
        <v>126703</v>
      </c>
      <c r="O539" t="str">
        <f t="shared" si="26"/>
        <v>&lt;Entry outShaftSpeed="2970.00" torque="360.00" electricPower="126703.00"/&gt;</v>
      </c>
    </row>
    <row r="540" spans="1:15" x14ac:dyDescent="0.25">
      <c r="A540" s="1">
        <v>2970</v>
      </c>
      <c r="B540">
        <v>405</v>
      </c>
      <c r="C540">
        <v>142.19800000000001</v>
      </c>
      <c r="L540">
        <f t="shared" si="24"/>
        <v>2970</v>
      </c>
      <c r="M540">
        <f t="shared" si="24"/>
        <v>405</v>
      </c>
      <c r="N540">
        <f t="shared" si="25"/>
        <v>142198</v>
      </c>
      <c r="O540" t="str">
        <f t="shared" si="26"/>
        <v>&lt;Entry outShaftSpeed="2970.00" torque="405.00" electricPower="142198.00"/&gt;</v>
      </c>
    </row>
    <row r="541" spans="1:15" x14ac:dyDescent="0.25">
      <c r="A541" s="1">
        <v>2970</v>
      </c>
      <c r="B541">
        <v>450</v>
      </c>
      <c r="C541">
        <v>157.79499999999999</v>
      </c>
      <c r="L541">
        <f t="shared" si="24"/>
        <v>2970</v>
      </c>
      <c r="M541">
        <f t="shared" si="24"/>
        <v>450</v>
      </c>
      <c r="N541">
        <f t="shared" si="25"/>
        <v>157795</v>
      </c>
      <c r="O541" t="str">
        <f t="shared" si="26"/>
        <v>&lt;Entry outShaftSpeed="2970.00" torque="450.00" electricPower="157795.00"/&gt;</v>
      </c>
    </row>
    <row r="542" spans="1:15" x14ac:dyDescent="0.25">
      <c r="A542" s="1">
        <v>2970</v>
      </c>
      <c r="B542">
        <v>495</v>
      </c>
      <c r="C542">
        <v>173.495</v>
      </c>
      <c r="L542">
        <f t="shared" si="24"/>
        <v>2970</v>
      </c>
      <c r="M542">
        <f t="shared" si="24"/>
        <v>495</v>
      </c>
      <c r="N542">
        <f t="shared" si="25"/>
        <v>173495</v>
      </c>
      <c r="O542" t="str">
        <f t="shared" si="26"/>
        <v>&lt;Entry outShaftSpeed="2970.00" torque="495.00" electricPower="173495.00"/&gt;</v>
      </c>
    </row>
    <row r="543" spans="1:15" x14ac:dyDescent="0.25">
      <c r="A543" s="1">
        <v>2970</v>
      </c>
      <c r="B543">
        <v>540</v>
      </c>
      <c r="C543">
        <v>189.29599999999999</v>
      </c>
      <c r="L543">
        <f t="shared" si="24"/>
        <v>2970</v>
      </c>
      <c r="M543">
        <f t="shared" si="24"/>
        <v>540</v>
      </c>
      <c r="N543">
        <f t="shared" si="25"/>
        <v>189296</v>
      </c>
      <c r="O543" t="str">
        <f t="shared" si="26"/>
        <v>&lt;Entry outShaftSpeed="2970.00" torque="540.00" electricPower="189296.00"/&gt;</v>
      </c>
    </row>
    <row r="544" spans="1:15" x14ac:dyDescent="0.25">
      <c r="A544" s="1">
        <v>2970</v>
      </c>
      <c r="B544">
        <v>585</v>
      </c>
      <c r="C544">
        <v>205.19900000000001</v>
      </c>
      <c r="L544">
        <f t="shared" si="24"/>
        <v>2970</v>
      </c>
      <c r="M544">
        <f t="shared" si="24"/>
        <v>585</v>
      </c>
      <c r="N544">
        <f t="shared" si="25"/>
        <v>205199</v>
      </c>
      <c r="O544" t="str">
        <f t="shared" si="26"/>
        <v>&lt;Entry outShaftSpeed="2970.00" torque="585.00" electricPower="205199.00"/&gt;</v>
      </c>
    </row>
    <row r="545" spans="1:15" x14ac:dyDescent="0.25">
      <c r="A545" s="1">
        <v>2970</v>
      </c>
      <c r="B545">
        <v>630</v>
      </c>
      <c r="C545">
        <v>221.20500000000001</v>
      </c>
      <c r="L545">
        <f t="shared" si="24"/>
        <v>2970</v>
      </c>
      <c r="M545">
        <f t="shared" si="24"/>
        <v>630</v>
      </c>
      <c r="N545">
        <f t="shared" si="25"/>
        <v>221205</v>
      </c>
      <c r="O545" t="str">
        <f t="shared" si="26"/>
        <v>&lt;Entry outShaftSpeed="2970.00" torque="630.00" electricPower="221205.00"/&gt;</v>
      </c>
    </row>
    <row r="546" spans="1:15" x14ac:dyDescent="0.25">
      <c r="A546" s="1">
        <v>2970</v>
      </c>
      <c r="B546">
        <v>675</v>
      </c>
      <c r="C546">
        <v>237.31299999999999</v>
      </c>
      <c r="L546">
        <f t="shared" si="24"/>
        <v>2970</v>
      </c>
      <c r="M546">
        <f t="shared" si="24"/>
        <v>675</v>
      </c>
      <c r="N546">
        <f t="shared" si="25"/>
        <v>237313</v>
      </c>
      <c r="O546" t="str">
        <f t="shared" si="26"/>
        <v>&lt;Entry outShaftSpeed="2970.00" torque="675.00" electricPower="237313.00"/&gt;</v>
      </c>
    </row>
    <row r="547" spans="1:15" x14ac:dyDescent="0.25">
      <c r="A547" s="1">
        <v>2970</v>
      </c>
      <c r="B547">
        <v>720</v>
      </c>
      <c r="C547">
        <v>253.52199999999999</v>
      </c>
      <c r="L547">
        <f t="shared" si="24"/>
        <v>2970</v>
      </c>
      <c r="M547">
        <f t="shared" si="24"/>
        <v>720</v>
      </c>
      <c r="N547">
        <f t="shared" si="25"/>
        <v>253522</v>
      </c>
      <c r="O547" t="str">
        <f t="shared" si="26"/>
        <v>&lt;Entry outShaftSpeed="2970.00" torque="720.00" electricPower="253522.00"/&gt;</v>
      </c>
    </row>
    <row r="548" spans="1:15" x14ac:dyDescent="0.25">
      <c r="A548" s="1">
        <v>2970</v>
      </c>
      <c r="B548">
        <v>765</v>
      </c>
      <c r="C548">
        <v>269.834</v>
      </c>
      <c r="L548">
        <f t="shared" si="24"/>
        <v>2970</v>
      </c>
      <c r="M548">
        <f t="shared" si="24"/>
        <v>765</v>
      </c>
      <c r="N548">
        <f t="shared" si="25"/>
        <v>269834</v>
      </c>
      <c r="O548" t="str">
        <f t="shared" si="26"/>
        <v>&lt;Entry outShaftSpeed="2970.00" torque="765.00" electricPower="269834.00"/&gt;</v>
      </c>
    </row>
    <row r="549" spans="1:15" x14ac:dyDescent="0.25">
      <c r="A549" s="1">
        <v>2970</v>
      </c>
      <c r="B549">
        <v>810</v>
      </c>
      <c r="C549">
        <v>286.24799999999999</v>
      </c>
      <c r="L549">
        <f t="shared" si="24"/>
        <v>2970</v>
      </c>
      <c r="M549">
        <f t="shared" si="24"/>
        <v>810</v>
      </c>
      <c r="N549">
        <f t="shared" si="25"/>
        <v>286248</v>
      </c>
      <c r="O549" t="str">
        <f t="shared" si="26"/>
        <v>&lt;Entry outShaftSpeed="2970.00" torque="810.00" electricPower="286248.00"/&gt;</v>
      </c>
    </row>
    <row r="550" spans="1:15" x14ac:dyDescent="0.25">
      <c r="A550" s="1">
        <v>2970</v>
      </c>
      <c r="B550">
        <v>855</v>
      </c>
      <c r="C550">
        <v>302.76299999999998</v>
      </c>
      <c r="L550">
        <f t="shared" si="24"/>
        <v>2970</v>
      </c>
      <c r="M550">
        <f t="shared" si="24"/>
        <v>855</v>
      </c>
      <c r="N550">
        <f t="shared" si="25"/>
        <v>302763</v>
      </c>
      <c r="O550" t="str">
        <f t="shared" si="26"/>
        <v>&lt;Entry outShaftSpeed="2970.00" torque="855.00" electricPower="302763.00"/&gt;</v>
      </c>
    </row>
    <row r="551" spans="1:15" x14ac:dyDescent="0.25">
      <c r="A551" s="1">
        <v>2970</v>
      </c>
      <c r="B551">
        <v>900</v>
      </c>
      <c r="C551">
        <v>319.38099999999997</v>
      </c>
      <c r="L551">
        <f t="shared" si="24"/>
        <v>2970</v>
      </c>
      <c r="M551">
        <f t="shared" si="24"/>
        <v>900</v>
      </c>
      <c r="N551">
        <f t="shared" si="25"/>
        <v>319381</v>
      </c>
      <c r="O551" t="str">
        <f t="shared" si="26"/>
        <v>&lt;Entry outShaftSpeed="2970.00" torque="900.00" electricPower="319381.00"/&gt;</v>
      </c>
    </row>
    <row r="552" spans="1:15" x14ac:dyDescent="0.25">
      <c r="A552" s="1">
        <v>2970</v>
      </c>
      <c r="B552">
        <v>945</v>
      </c>
      <c r="C552">
        <v>336.101</v>
      </c>
      <c r="L552">
        <f t="shared" si="24"/>
        <v>2970</v>
      </c>
      <c r="M552">
        <f t="shared" si="24"/>
        <v>945</v>
      </c>
      <c r="N552">
        <f t="shared" si="25"/>
        <v>336101</v>
      </c>
      <c r="O552" t="str">
        <f t="shared" si="26"/>
        <v>&lt;Entry outShaftSpeed="2970.00" torque="945.00" electricPower="336101.00"/&gt;</v>
      </c>
    </row>
    <row r="553" spans="1:15" x14ac:dyDescent="0.25">
      <c r="A553" s="1">
        <v>2970</v>
      </c>
      <c r="B553">
        <v>990</v>
      </c>
      <c r="C553">
        <v>352.923</v>
      </c>
      <c r="L553">
        <f t="shared" si="24"/>
        <v>2970</v>
      </c>
      <c r="M553">
        <f t="shared" si="24"/>
        <v>990</v>
      </c>
      <c r="N553">
        <f t="shared" si="25"/>
        <v>352923</v>
      </c>
      <c r="O553" t="str">
        <f t="shared" si="26"/>
        <v>&lt;Entry outShaftSpeed="2970.00" torque="990.00" electricPower="352923.00"/&gt;</v>
      </c>
    </row>
    <row r="554" spans="1:15" x14ac:dyDescent="0.25">
      <c r="A554" s="1">
        <v>3267</v>
      </c>
      <c r="B554">
        <v>-990</v>
      </c>
      <c r="C554">
        <v>-289.87400000000002</v>
      </c>
      <c r="L554">
        <f t="shared" si="24"/>
        <v>3267</v>
      </c>
      <c r="M554">
        <f t="shared" si="24"/>
        <v>-990</v>
      </c>
      <c r="N554">
        <f t="shared" si="25"/>
        <v>-289874</v>
      </c>
      <c r="O554" t="str">
        <f t="shared" si="26"/>
        <v>&lt;Entry outShaftSpeed="3267.00" torque="-990.00" electricPower="-289874.00"/&gt;</v>
      </c>
    </row>
    <row r="555" spans="1:15" x14ac:dyDescent="0.25">
      <c r="A555" s="1">
        <v>3267</v>
      </c>
      <c r="B555">
        <v>-945</v>
      </c>
      <c r="C555">
        <v>-277.529</v>
      </c>
      <c r="L555">
        <f t="shared" si="24"/>
        <v>3267</v>
      </c>
      <c r="M555">
        <f t="shared" si="24"/>
        <v>-945</v>
      </c>
      <c r="N555">
        <f t="shared" si="25"/>
        <v>-277529</v>
      </c>
      <c r="O555" t="str">
        <f t="shared" si="26"/>
        <v>&lt;Entry outShaftSpeed="3267.00" torque="-945.00" electricPower="-277529.00"/&gt;</v>
      </c>
    </row>
    <row r="556" spans="1:15" x14ac:dyDescent="0.25">
      <c r="A556" s="1">
        <v>3267</v>
      </c>
      <c r="B556">
        <v>-900</v>
      </c>
      <c r="C556">
        <v>-265.072</v>
      </c>
      <c r="L556">
        <f t="shared" si="24"/>
        <v>3267</v>
      </c>
      <c r="M556">
        <f t="shared" si="24"/>
        <v>-900</v>
      </c>
      <c r="N556">
        <f t="shared" si="25"/>
        <v>-265072</v>
      </c>
      <c r="O556" t="str">
        <f t="shared" si="26"/>
        <v>&lt;Entry outShaftSpeed="3267.00" torque="-900.00" electricPower="-265072.00"/&gt;</v>
      </c>
    </row>
    <row r="557" spans="1:15" x14ac:dyDescent="0.25">
      <c r="A557" s="1">
        <v>3267</v>
      </c>
      <c r="B557">
        <v>-855</v>
      </c>
      <c r="C557">
        <v>-252.50399999999999</v>
      </c>
      <c r="L557">
        <f t="shared" si="24"/>
        <v>3267</v>
      </c>
      <c r="M557">
        <f t="shared" si="24"/>
        <v>-855</v>
      </c>
      <c r="N557">
        <f t="shared" si="25"/>
        <v>-252504</v>
      </c>
      <c r="O557" t="str">
        <f t="shared" si="26"/>
        <v>&lt;Entry outShaftSpeed="3267.00" torque="-855.00" electricPower="-252504.00"/&gt;</v>
      </c>
    </row>
    <row r="558" spans="1:15" x14ac:dyDescent="0.25">
      <c r="A558" s="1">
        <v>3267</v>
      </c>
      <c r="B558">
        <v>-810</v>
      </c>
      <c r="C558">
        <v>-239.82499999999999</v>
      </c>
      <c r="L558">
        <f t="shared" si="24"/>
        <v>3267</v>
      </c>
      <c r="M558">
        <f t="shared" si="24"/>
        <v>-810</v>
      </c>
      <c r="N558">
        <f t="shared" si="25"/>
        <v>-239825</v>
      </c>
      <c r="O558" t="str">
        <f t="shared" si="26"/>
        <v>&lt;Entry outShaftSpeed="3267.00" torque="-810.00" electricPower="-239825.00"/&gt;</v>
      </c>
    </row>
    <row r="559" spans="1:15" x14ac:dyDescent="0.25">
      <c r="A559" s="1">
        <v>3267</v>
      </c>
      <c r="B559">
        <v>-765</v>
      </c>
      <c r="C559">
        <v>-227.035</v>
      </c>
      <c r="L559">
        <f t="shared" si="24"/>
        <v>3267</v>
      </c>
      <c r="M559">
        <f t="shared" si="24"/>
        <v>-765</v>
      </c>
      <c r="N559">
        <f t="shared" si="25"/>
        <v>-227035</v>
      </c>
      <c r="O559" t="str">
        <f t="shared" si="26"/>
        <v>&lt;Entry outShaftSpeed="3267.00" torque="-765.00" electricPower="-227035.00"/&gt;</v>
      </c>
    </row>
    <row r="560" spans="1:15" x14ac:dyDescent="0.25">
      <c r="A560" s="1">
        <v>3267</v>
      </c>
      <c r="B560">
        <v>-720</v>
      </c>
      <c r="C560">
        <v>-214.13399999999999</v>
      </c>
      <c r="L560">
        <f t="shared" si="24"/>
        <v>3267</v>
      </c>
      <c r="M560">
        <f t="shared" si="24"/>
        <v>-720</v>
      </c>
      <c r="N560">
        <f t="shared" si="25"/>
        <v>-214134</v>
      </c>
      <c r="O560" t="str">
        <f t="shared" si="26"/>
        <v>&lt;Entry outShaftSpeed="3267.00" torque="-720.00" electricPower="-214134.00"/&gt;</v>
      </c>
    </row>
    <row r="561" spans="1:15" x14ac:dyDescent="0.25">
      <c r="A561" s="1">
        <v>3267</v>
      </c>
      <c r="B561">
        <v>-675</v>
      </c>
      <c r="C561">
        <v>-201.12200000000001</v>
      </c>
      <c r="L561">
        <f t="shared" si="24"/>
        <v>3267</v>
      </c>
      <c r="M561">
        <f t="shared" si="24"/>
        <v>-675</v>
      </c>
      <c r="N561">
        <f t="shared" si="25"/>
        <v>-201122</v>
      </c>
      <c r="O561" t="str">
        <f t="shared" si="26"/>
        <v>&lt;Entry outShaftSpeed="3267.00" torque="-675.00" electricPower="-201122.00"/&gt;</v>
      </c>
    </row>
    <row r="562" spans="1:15" x14ac:dyDescent="0.25">
      <c r="A562" s="1">
        <v>3267</v>
      </c>
      <c r="B562">
        <v>-630</v>
      </c>
      <c r="C562">
        <v>-187.999</v>
      </c>
      <c r="L562">
        <f t="shared" si="24"/>
        <v>3267</v>
      </c>
      <c r="M562">
        <f t="shared" si="24"/>
        <v>-630</v>
      </c>
      <c r="N562">
        <f t="shared" si="25"/>
        <v>-187999</v>
      </c>
      <c r="O562" t="str">
        <f t="shared" si="26"/>
        <v>&lt;Entry outShaftSpeed="3267.00" torque="-630.00" electricPower="-187999.00"/&gt;</v>
      </c>
    </row>
    <row r="563" spans="1:15" x14ac:dyDescent="0.25">
      <c r="A563" s="1">
        <v>3267</v>
      </c>
      <c r="B563">
        <v>-585</v>
      </c>
      <c r="C563">
        <v>-174.76400000000001</v>
      </c>
      <c r="L563">
        <f t="shared" si="24"/>
        <v>3267</v>
      </c>
      <c r="M563">
        <f t="shared" si="24"/>
        <v>-585</v>
      </c>
      <c r="N563">
        <f t="shared" si="25"/>
        <v>-174764</v>
      </c>
      <c r="O563" t="str">
        <f t="shared" si="26"/>
        <v>&lt;Entry outShaftSpeed="3267.00" torque="-585.00" electricPower="-174764.00"/&gt;</v>
      </c>
    </row>
    <row r="564" spans="1:15" x14ac:dyDescent="0.25">
      <c r="A564" s="1">
        <v>3267</v>
      </c>
      <c r="B564">
        <v>-540</v>
      </c>
      <c r="C564">
        <v>-161.41900000000001</v>
      </c>
      <c r="L564">
        <f t="shared" si="24"/>
        <v>3267</v>
      </c>
      <c r="M564">
        <f t="shared" si="24"/>
        <v>-540</v>
      </c>
      <c r="N564">
        <f t="shared" si="25"/>
        <v>-161419</v>
      </c>
      <c r="O564" t="str">
        <f t="shared" si="26"/>
        <v>&lt;Entry outShaftSpeed="3267.00" torque="-540.00" electricPower="-161419.00"/&gt;</v>
      </c>
    </row>
    <row r="565" spans="1:15" x14ac:dyDescent="0.25">
      <c r="A565" s="1">
        <v>3267</v>
      </c>
      <c r="B565">
        <v>-495</v>
      </c>
      <c r="C565">
        <v>-147.96199999999999</v>
      </c>
      <c r="L565">
        <f t="shared" si="24"/>
        <v>3267</v>
      </c>
      <c r="M565">
        <f t="shared" si="24"/>
        <v>-495</v>
      </c>
      <c r="N565">
        <f t="shared" si="25"/>
        <v>-147962</v>
      </c>
      <c r="O565" t="str">
        <f t="shared" si="26"/>
        <v>&lt;Entry outShaftSpeed="3267.00" torque="-495.00" electricPower="-147962.00"/&gt;</v>
      </c>
    </row>
    <row r="566" spans="1:15" x14ac:dyDescent="0.25">
      <c r="A566" s="1">
        <v>3267</v>
      </c>
      <c r="B566">
        <v>-450</v>
      </c>
      <c r="C566">
        <v>-134.39400000000001</v>
      </c>
      <c r="L566">
        <f t="shared" si="24"/>
        <v>3267</v>
      </c>
      <c r="M566">
        <f t="shared" si="24"/>
        <v>-450</v>
      </c>
      <c r="N566">
        <f t="shared" si="25"/>
        <v>-134394</v>
      </c>
      <c r="O566" t="str">
        <f t="shared" si="26"/>
        <v>&lt;Entry outShaftSpeed="3267.00" torque="-450.00" electricPower="-134394.00"/&gt;</v>
      </c>
    </row>
    <row r="567" spans="1:15" x14ac:dyDescent="0.25">
      <c r="A567" s="1">
        <v>3267</v>
      </c>
      <c r="B567">
        <v>-405</v>
      </c>
      <c r="C567">
        <v>-120.715</v>
      </c>
      <c r="L567">
        <f t="shared" si="24"/>
        <v>3267</v>
      </c>
      <c r="M567">
        <f t="shared" si="24"/>
        <v>-405</v>
      </c>
      <c r="N567">
        <f t="shared" si="25"/>
        <v>-120715</v>
      </c>
      <c r="O567" t="str">
        <f t="shared" si="26"/>
        <v>&lt;Entry outShaftSpeed="3267.00" torque="-405.00" electricPower="-120715.00"/&gt;</v>
      </c>
    </row>
    <row r="568" spans="1:15" x14ac:dyDescent="0.25">
      <c r="A568" s="1">
        <v>3267</v>
      </c>
      <c r="B568">
        <v>-360</v>
      </c>
      <c r="C568">
        <v>-106.925</v>
      </c>
      <c r="L568">
        <f t="shared" si="24"/>
        <v>3267</v>
      </c>
      <c r="M568">
        <f t="shared" si="24"/>
        <v>-360</v>
      </c>
      <c r="N568">
        <f t="shared" si="25"/>
        <v>-106925</v>
      </c>
      <c r="O568" t="str">
        <f t="shared" si="26"/>
        <v>&lt;Entry outShaftSpeed="3267.00" torque="-360.00" electricPower="-106925.00"/&gt;</v>
      </c>
    </row>
    <row r="569" spans="1:15" x14ac:dyDescent="0.25">
      <c r="A569" s="1">
        <v>3267</v>
      </c>
      <c r="B569">
        <v>-315</v>
      </c>
      <c r="C569">
        <v>-93.024000000000001</v>
      </c>
      <c r="L569">
        <f t="shared" si="24"/>
        <v>3267</v>
      </c>
      <c r="M569">
        <f t="shared" si="24"/>
        <v>-315</v>
      </c>
      <c r="N569">
        <f t="shared" si="25"/>
        <v>-93024</v>
      </c>
      <c r="O569" t="str">
        <f t="shared" si="26"/>
        <v>&lt;Entry outShaftSpeed="3267.00" torque="-315.00" electricPower="-93024.00"/&gt;</v>
      </c>
    </row>
    <row r="570" spans="1:15" x14ac:dyDescent="0.25">
      <c r="A570" s="1">
        <v>3267</v>
      </c>
      <c r="B570">
        <v>-270</v>
      </c>
      <c r="C570">
        <v>-79.012</v>
      </c>
      <c r="L570">
        <f t="shared" si="24"/>
        <v>3267</v>
      </c>
      <c r="M570">
        <f t="shared" si="24"/>
        <v>-270</v>
      </c>
      <c r="N570">
        <f t="shared" si="25"/>
        <v>-79012</v>
      </c>
      <c r="O570" t="str">
        <f t="shared" si="26"/>
        <v>&lt;Entry outShaftSpeed="3267.00" torque="-270.00" electricPower="-79012.00"/&gt;</v>
      </c>
    </row>
    <row r="571" spans="1:15" x14ac:dyDescent="0.25">
      <c r="A571" s="1">
        <v>3267</v>
      </c>
      <c r="B571">
        <v>-225</v>
      </c>
      <c r="C571">
        <v>-64.888000000000005</v>
      </c>
      <c r="L571">
        <f t="shared" si="24"/>
        <v>3267</v>
      </c>
      <c r="M571">
        <f t="shared" si="24"/>
        <v>-225</v>
      </c>
      <c r="N571">
        <f t="shared" si="25"/>
        <v>-64888.000000000007</v>
      </c>
      <c r="O571" t="str">
        <f t="shared" si="26"/>
        <v>&lt;Entry outShaftSpeed="3267.00" torque="-225.00" electricPower="-64888.00"/&gt;</v>
      </c>
    </row>
    <row r="572" spans="1:15" x14ac:dyDescent="0.25">
      <c r="A572" s="1">
        <v>3267</v>
      </c>
      <c r="B572">
        <v>-180</v>
      </c>
      <c r="C572">
        <v>-50.654000000000003</v>
      </c>
      <c r="L572">
        <f t="shared" si="24"/>
        <v>3267</v>
      </c>
      <c r="M572">
        <f t="shared" si="24"/>
        <v>-180</v>
      </c>
      <c r="N572">
        <f t="shared" si="25"/>
        <v>-50654</v>
      </c>
      <c r="O572" t="str">
        <f t="shared" si="26"/>
        <v>&lt;Entry outShaftSpeed="3267.00" torque="-180.00" electricPower="-50654.00"/&gt;</v>
      </c>
    </row>
    <row r="573" spans="1:15" x14ac:dyDescent="0.25">
      <c r="A573" s="1">
        <v>3267</v>
      </c>
      <c r="B573">
        <v>-135</v>
      </c>
      <c r="C573">
        <v>-36.308</v>
      </c>
      <c r="L573">
        <f t="shared" si="24"/>
        <v>3267</v>
      </c>
      <c r="M573">
        <f t="shared" si="24"/>
        <v>-135</v>
      </c>
      <c r="N573">
        <f t="shared" si="25"/>
        <v>-36308</v>
      </c>
      <c r="O573" t="str">
        <f t="shared" si="26"/>
        <v>&lt;Entry outShaftSpeed="3267.00" torque="-135.00" electricPower="-36308.00"/&gt;</v>
      </c>
    </row>
    <row r="574" spans="1:15" x14ac:dyDescent="0.25">
      <c r="A574" s="1">
        <v>3267</v>
      </c>
      <c r="B574">
        <v>-90</v>
      </c>
      <c r="C574">
        <v>-21.850999999999999</v>
      </c>
      <c r="L574">
        <f t="shared" si="24"/>
        <v>3267</v>
      </c>
      <c r="M574">
        <f t="shared" si="24"/>
        <v>-90</v>
      </c>
      <c r="N574">
        <f t="shared" si="25"/>
        <v>-21851</v>
      </c>
      <c r="O574" t="str">
        <f t="shared" si="26"/>
        <v>&lt;Entry outShaftSpeed="3267.00" torque="-90.00" electricPower="-21851.00"/&gt;</v>
      </c>
    </row>
    <row r="575" spans="1:15" x14ac:dyDescent="0.25">
      <c r="A575" s="1">
        <v>3267</v>
      </c>
      <c r="B575">
        <v>-45</v>
      </c>
      <c r="C575">
        <v>-7.2830000000000004</v>
      </c>
      <c r="L575">
        <f t="shared" si="24"/>
        <v>3267</v>
      </c>
      <c r="M575">
        <f t="shared" si="24"/>
        <v>-45</v>
      </c>
      <c r="N575">
        <f t="shared" si="25"/>
        <v>-7283</v>
      </c>
      <c r="O575" t="str">
        <f t="shared" si="26"/>
        <v>&lt;Entry outShaftSpeed="3267.00" torque="-45.00" electricPower="-7283.00"/&gt;</v>
      </c>
    </row>
    <row r="576" spans="1:15" x14ac:dyDescent="0.25">
      <c r="A576" s="1">
        <v>3267</v>
      </c>
      <c r="B576">
        <v>-9</v>
      </c>
      <c r="C576">
        <v>0</v>
      </c>
      <c r="L576">
        <f t="shared" si="24"/>
        <v>3267</v>
      </c>
      <c r="M576">
        <f t="shared" si="24"/>
        <v>-9</v>
      </c>
      <c r="N576">
        <f t="shared" si="25"/>
        <v>0</v>
      </c>
      <c r="O576" t="str">
        <f t="shared" si="26"/>
        <v>&lt;Entry outShaftSpeed="3267.00" torque="-9.00" electricPower="0.00"/&gt;</v>
      </c>
    </row>
    <row r="577" spans="1:15" x14ac:dyDescent="0.25">
      <c r="A577" s="1">
        <v>3267</v>
      </c>
      <c r="B577">
        <v>9</v>
      </c>
      <c r="C577">
        <v>11.244</v>
      </c>
      <c r="L577">
        <f t="shared" si="24"/>
        <v>3267</v>
      </c>
      <c r="M577">
        <f t="shared" si="24"/>
        <v>9</v>
      </c>
      <c r="N577">
        <f t="shared" si="25"/>
        <v>11244</v>
      </c>
      <c r="O577" t="str">
        <f t="shared" si="26"/>
        <v>&lt;Entry outShaftSpeed="3267.00" torque="9.00" electricPower="11244.00"/&gt;</v>
      </c>
    </row>
    <row r="578" spans="1:15" x14ac:dyDescent="0.25">
      <c r="A578" s="1">
        <v>3267</v>
      </c>
      <c r="B578">
        <v>45</v>
      </c>
      <c r="C578">
        <v>24.170999999999999</v>
      </c>
      <c r="L578">
        <f t="shared" si="24"/>
        <v>3267</v>
      </c>
      <c r="M578">
        <f t="shared" si="24"/>
        <v>45</v>
      </c>
      <c r="N578">
        <f t="shared" si="25"/>
        <v>24171</v>
      </c>
      <c r="O578" t="str">
        <f t="shared" si="26"/>
        <v>&lt;Entry outShaftSpeed="3267.00" torque="45.00" electricPower="24171.00"/&gt;</v>
      </c>
    </row>
    <row r="579" spans="1:15" x14ac:dyDescent="0.25">
      <c r="A579" s="1">
        <v>3267</v>
      </c>
      <c r="B579">
        <v>90</v>
      </c>
      <c r="C579">
        <v>40.436999999999998</v>
      </c>
      <c r="L579">
        <f t="shared" ref="L579:M642" si="27">A579</f>
        <v>3267</v>
      </c>
      <c r="M579">
        <f t="shared" si="27"/>
        <v>90</v>
      </c>
      <c r="N579">
        <f t="shared" ref="N579:N642" si="28">C579*1000</f>
        <v>40437</v>
      </c>
      <c r="O579" t="str">
        <f t="shared" ref="O579:O642" si="29">"&lt;Entry outShaftSpeed="""&amp;TEXT(ROUND(L579,2),"#0.00")&amp;""" torque=""" &amp; TEXT(ROUND(M579,2),"#0.00") &amp; """ electricPower="""&amp;TEXT(ROUND(N579,2),"#0.00") &amp;  """/&gt;"</f>
        <v>&lt;Entry outShaftSpeed="3267.00" torque="90.00" electricPower="40437.00"/&gt;</v>
      </c>
    </row>
    <row r="580" spans="1:15" x14ac:dyDescent="0.25">
      <c r="A580" s="1">
        <v>3267</v>
      </c>
      <c r="B580">
        <v>135</v>
      </c>
      <c r="C580">
        <v>56.823999999999998</v>
      </c>
      <c r="L580">
        <f t="shared" si="27"/>
        <v>3267</v>
      </c>
      <c r="M580">
        <f t="shared" si="27"/>
        <v>135</v>
      </c>
      <c r="N580">
        <f t="shared" si="28"/>
        <v>56824</v>
      </c>
      <c r="O580" t="str">
        <f t="shared" si="29"/>
        <v>&lt;Entry outShaftSpeed="3267.00" torque="135.00" electricPower="56824.00"/&gt;</v>
      </c>
    </row>
    <row r="581" spans="1:15" x14ac:dyDescent="0.25">
      <c r="A581" s="1">
        <v>3267</v>
      </c>
      <c r="B581">
        <v>180</v>
      </c>
      <c r="C581">
        <v>73.331999999999994</v>
      </c>
      <c r="L581">
        <f t="shared" si="27"/>
        <v>3267</v>
      </c>
      <c r="M581">
        <f t="shared" si="27"/>
        <v>180</v>
      </c>
      <c r="N581">
        <f t="shared" si="28"/>
        <v>73332</v>
      </c>
      <c r="O581" t="str">
        <f t="shared" si="29"/>
        <v>&lt;Entry outShaftSpeed="3267.00" torque="180.00" electricPower="73332.00"/&gt;</v>
      </c>
    </row>
    <row r="582" spans="1:15" x14ac:dyDescent="0.25">
      <c r="A582" s="1">
        <v>3267</v>
      </c>
      <c r="B582">
        <v>225</v>
      </c>
      <c r="C582">
        <v>89.96</v>
      </c>
      <c r="L582">
        <f t="shared" si="27"/>
        <v>3267</v>
      </c>
      <c r="M582">
        <f t="shared" si="27"/>
        <v>225</v>
      </c>
      <c r="N582">
        <f t="shared" si="28"/>
        <v>89960</v>
      </c>
      <c r="O582" t="str">
        <f t="shared" si="29"/>
        <v>&lt;Entry outShaftSpeed="3267.00" torque="225.00" electricPower="89960.00"/&gt;</v>
      </c>
    </row>
    <row r="583" spans="1:15" x14ac:dyDescent="0.25">
      <c r="A583" s="1">
        <v>3267</v>
      </c>
      <c r="B583">
        <v>270</v>
      </c>
      <c r="C583">
        <v>106.709</v>
      </c>
      <c r="L583">
        <f t="shared" si="27"/>
        <v>3267</v>
      </c>
      <c r="M583">
        <f t="shared" si="27"/>
        <v>270</v>
      </c>
      <c r="N583">
        <f t="shared" si="28"/>
        <v>106709</v>
      </c>
      <c r="O583" t="str">
        <f t="shared" si="29"/>
        <v>&lt;Entry outShaftSpeed="3267.00" torque="270.00" electricPower="106709.00"/&gt;</v>
      </c>
    </row>
    <row r="584" spans="1:15" x14ac:dyDescent="0.25">
      <c r="A584" s="1">
        <v>3267</v>
      </c>
      <c r="B584">
        <v>315</v>
      </c>
      <c r="C584">
        <v>123.57899999999999</v>
      </c>
      <c r="L584">
        <f t="shared" si="27"/>
        <v>3267</v>
      </c>
      <c r="M584">
        <f t="shared" si="27"/>
        <v>315</v>
      </c>
      <c r="N584">
        <f t="shared" si="28"/>
        <v>123579</v>
      </c>
      <c r="O584" t="str">
        <f t="shared" si="29"/>
        <v>&lt;Entry outShaftSpeed="3267.00" torque="315.00" electricPower="123579.00"/&gt;</v>
      </c>
    </row>
    <row r="585" spans="1:15" x14ac:dyDescent="0.25">
      <c r="A585" s="1">
        <v>3267</v>
      </c>
      <c r="B585">
        <v>360</v>
      </c>
      <c r="C585">
        <v>140.56899999999999</v>
      </c>
      <c r="L585">
        <f t="shared" si="27"/>
        <v>3267</v>
      </c>
      <c r="M585">
        <f t="shared" si="27"/>
        <v>360</v>
      </c>
      <c r="N585">
        <f t="shared" si="28"/>
        <v>140569</v>
      </c>
      <c r="O585" t="str">
        <f t="shared" si="29"/>
        <v>&lt;Entry outShaftSpeed="3267.00" torque="360.00" electricPower="140569.00"/&gt;</v>
      </c>
    </row>
    <row r="586" spans="1:15" x14ac:dyDescent="0.25">
      <c r="A586" s="1">
        <v>3267</v>
      </c>
      <c r="B586">
        <v>405</v>
      </c>
      <c r="C586">
        <v>157.679</v>
      </c>
      <c r="L586">
        <f t="shared" si="27"/>
        <v>3267</v>
      </c>
      <c r="M586">
        <f t="shared" si="27"/>
        <v>405</v>
      </c>
      <c r="N586">
        <f t="shared" si="28"/>
        <v>157679</v>
      </c>
      <c r="O586" t="str">
        <f t="shared" si="29"/>
        <v>&lt;Entry outShaftSpeed="3267.00" torque="405.00" electricPower="157679.00"/&gt;</v>
      </c>
    </row>
    <row r="587" spans="1:15" x14ac:dyDescent="0.25">
      <c r="A587" s="1">
        <v>3267</v>
      </c>
      <c r="B587">
        <v>450</v>
      </c>
      <c r="C587">
        <v>174.91</v>
      </c>
      <c r="L587">
        <f t="shared" si="27"/>
        <v>3267</v>
      </c>
      <c r="M587">
        <f t="shared" si="27"/>
        <v>450</v>
      </c>
      <c r="N587">
        <f t="shared" si="28"/>
        <v>174910</v>
      </c>
      <c r="O587" t="str">
        <f t="shared" si="29"/>
        <v>&lt;Entry outShaftSpeed="3267.00" torque="450.00" electricPower="174910.00"/&gt;</v>
      </c>
    </row>
    <row r="588" spans="1:15" x14ac:dyDescent="0.25">
      <c r="A588" s="1">
        <v>3267</v>
      </c>
      <c r="B588">
        <v>495</v>
      </c>
      <c r="C588">
        <v>192.262</v>
      </c>
      <c r="L588">
        <f t="shared" si="27"/>
        <v>3267</v>
      </c>
      <c r="M588">
        <f t="shared" si="27"/>
        <v>495</v>
      </c>
      <c r="N588">
        <f t="shared" si="28"/>
        <v>192262</v>
      </c>
      <c r="O588" t="str">
        <f t="shared" si="29"/>
        <v>&lt;Entry outShaftSpeed="3267.00" torque="495.00" electricPower="192262.00"/&gt;</v>
      </c>
    </row>
    <row r="589" spans="1:15" x14ac:dyDescent="0.25">
      <c r="A589" s="1">
        <v>3267</v>
      </c>
      <c r="B589">
        <v>540</v>
      </c>
      <c r="C589">
        <v>209.73400000000001</v>
      </c>
      <c r="L589">
        <f t="shared" si="27"/>
        <v>3267</v>
      </c>
      <c r="M589">
        <f t="shared" si="27"/>
        <v>540</v>
      </c>
      <c r="N589">
        <f t="shared" si="28"/>
        <v>209734</v>
      </c>
      <c r="O589" t="str">
        <f t="shared" si="29"/>
        <v>&lt;Entry outShaftSpeed="3267.00" torque="540.00" electricPower="209734.00"/&gt;</v>
      </c>
    </row>
    <row r="590" spans="1:15" x14ac:dyDescent="0.25">
      <c r="A590" s="1">
        <v>3267</v>
      </c>
      <c r="B590">
        <v>585</v>
      </c>
      <c r="C590">
        <v>227.327</v>
      </c>
      <c r="L590">
        <f t="shared" si="27"/>
        <v>3267</v>
      </c>
      <c r="M590">
        <f t="shared" si="27"/>
        <v>585</v>
      </c>
      <c r="N590">
        <f t="shared" si="28"/>
        <v>227327</v>
      </c>
      <c r="O590" t="str">
        <f t="shared" si="29"/>
        <v>&lt;Entry outShaftSpeed="3267.00" torque="585.00" electricPower="227327.00"/&gt;</v>
      </c>
    </row>
    <row r="591" spans="1:15" x14ac:dyDescent="0.25">
      <c r="A591" s="1">
        <v>3267</v>
      </c>
      <c r="B591">
        <v>630</v>
      </c>
      <c r="C591">
        <v>245.04</v>
      </c>
      <c r="L591">
        <f t="shared" si="27"/>
        <v>3267</v>
      </c>
      <c r="M591">
        <f t="shared" si="27"/>
        <v>630</v>
      </c>
      <c r="N591">
        <f t="shared" si="28"/>
        <v>245040</v>
      </c>
      <c r="O591" t="str">
        <f t="shared" si="29"/>
        <v>&lt;Entry outShaftSpeed="3267.00" torque="630.00" electricPower="245040.00"/&gt;</v>
      </c>
    </row>
    <row r="592" spans="1:15" x14ac:dyDescent="0.25">
      <c r="A592" s="1">
        <v>3267</v>
      </c>
      <c r="B592">
        <v>675</v>
      </c>
      <c r="C592">
        <v>262.87400000000002</v>
      </c>
      <c r="L592">
        <f t="shared" si="27"/>
        <v>3267</v>
      </c>
      <c r="M592">
        <f t="shared" si="27"/>
        <v>675</v>
      </c>
      <c r="N592">
        <f t="shared" si="28"/>
        <v>262874</v>
      </c>
      <c r="O592" t="str">
        <f t="shared" si="29"/>
        <v>&lt;Entry outShaftSpeed="3267.00" torque="675.00" electricPower="262874.00"/&gt;</v>
      </c>
    </row>
    <row r="593" spans="1:15" x14ac:dyDescent="0.25">
      <c r="A593" s="1">
        <v>3267</v>
      </c>
      <c r="B593">
        <v>720</v>
      </c>
      <c r="C593">
        <v>280.82900000000001</v>
      </c>
      <c r="L593">
        <f t="shared" si="27"/>
        <v>3267</v>
      </c>
      <c r="M593">
        <f t="shared" si="27"/>
        <v>720</v>
      </c>
      <c r="N593">
        <f t="shared" si="28"/>
        <v>280829</v>
      </c>
      <c r="O593" t="str">
        <f t="shared" si="29"/>
        <v>&lt;Entry outShaftSpeed="3267.00" torque="720.00" electricPower="280829.00"/&gt;</v>
      </c>
    </row>
    <row r="594" spans="1:15" x14ac:dyDescent="0.25">
      <c r="A594" s="1">
        <v>3267</v>
      </c>
      <c r="B594">
        <v>765</v>
      </c>
      <c r="C594">
        <v>298.904</v>
      </c>
      <c r="L594">
        <f t="shared" si="27"/>
        <v>3267</v>
      </c>
      <c r="M594">
        <f t="shared" si="27"/>
        <v>765</v>
      </c>
      <c r="N594">
        <f t="shared" si="28"/>
        <v>298904</v>
      </c>
      <c r="O594" t="str">
        <f t="shared" si="29"/>
        <v>&lt;Entry outShaftSpeed="3267.00" torque="765.00" electricPower="298904.00"/&gt;</v>
      </c>
    </row>
    <row r="595" spans="1:15" x14ac:dyDescent="0.25">
      <c r="A595" s="1">
        <v>3267</v>
      </c>
      <c r="B595">
        <v>810</v>
      </c>
      <c r="C595">
        <v>317.09899999999999</v>
      </c>
      <c r="L595">
        <f t="shared" si="27"/>
        <v>3267</v>
      </c>
      <c r="M595">
        <f t="shared" si="27"/>
        <v>810</v>
      </c>
      <c r="N595">
        <f t="shared" si="28"/>
        <v>317099</v>
      </c>
      <c r="O595" t="str">
        <f t="shared" si="29"/>
        <v>&lt;Entry outShaftSpeed="3267.00" torque="810.00" electricPower="317099.00"/&gt;</v>
      </c>
    </row>
    <row r="596" spans="1:15" x14ac:dyDescent="0.25">
      <c r="A596" s="1">
        <v>3267</v>
      </c>
      <c r="B596">
        <v>855</v>
      </c>
      <c r="C596">
        <v>335.41500000000002</v>
      </c>
      <c r="L596">
        <f t="shared" si="27"/>
        <v>3267</v>
      </c>
      <c r="M596">
        <f t="shared" si="27"/>
        <v>855</v>
      </c>
      <c r="N596">
        <f t="shared" si="28"/>
        <v>335415</v>
      </c>
      <c r="O596" t="str">
        <f t="shared" si="29"/>
        <v>&lt;Entry outShaftSpeed="3267.00" torque="855.00" electricPower="335415.00"/&gt;</v>
      </c>
    </row>
    <row r="597" spans="1:15" x14ac:dyDescent="0.25">
      <c r="A597" s="1">
        <v>3267</v>
      </c>
      <c r="B597">
        <v>900</v>
      </c>
      <c r="C597">
        <v>353.85199999999998</v>
      </c>
      <c r="L597">
        <f t="shared" si="27"/>
        <v>3267</v>
      </c>
      <c r="M597">
        <f t="shared" si="27"/>
        <v>900</v>
      </c>
      <c r="N597">
        <f t="shared" si="28"/>
        <v>353852</v>
      </c>
      <c r="O597" t="str">
        <f t="shared" si="29"/>
        <v>&lt;Entry outShaftSpeed="3267.00" torque="900.00" electricPower="353852.00"/&gt;</v>
      </c>
    </row>
    <row r="598" spans="1:15" x14ac:dyDescent="0.25">
      <c r="A598" s="1">
        <v>3267</v>
      </c>
      <c r="B598">
        <v>945</v>
      </c>
      <c r="C598">
        <v>372.41</v>
      </c>
      <c r="L598">
        <f t="shared" si="27"/>
        <v>3267</v>
      </c>
      <c r="M598">
        <f t="shared" si="27"/>
        <v>945</v>
      </c>
      <c r="N598">
        <f t="shared" si="28"/>
        <v>372410</v>
      </c>
      <c r="O598" t="str">
        <f t="shared" si="29"/>
        <v>&lt;Entry outShaftSpeed="3267.00" torque="945.00" electricPower="372410.00"/&gt;</v>
      </c>
    </row>
    <row r="599" spans="1:15" x14ac:dyDescent="0.25">
      <c r="A599" s="1">
        <v>3267</v>
      </c>
      <c r="B599">
        <v>990</v>
      </c>
      <c r="C599">
        <v>391.08699999999999</v>
      </c>
      <c r="L599">
        <f t="shared" si="27"/>
        <v>3267</v>
      </c>
      <c r="M599">
        <f t="shared" si="27"/>
        <v>990</v>
      </c>
      <c r="N599">
        <f t="shared" si="28"/>
        <v>391087</v>
      </c>
      <c r="O599" t="str">
        <f t="shared" si="29"/>
        <v>&lt;Entry outShaftSpeed="3267.00" torque="990.00" electricPower="391087.00"/&gt;</v>
      </c>
    </row>
    <row r="600" spans="1:15" x14ac:dyDescent="0.25">
      <c r="A600" s="1">
        <v>3564</v>
      </c>
      <c r="B600">
        <v>-990</v>
      </c>
      <c r="C600">
        <v>-313.19</v>
      </c>
      <c r="L600">
        <f t="shared" si="27"/>
        <v>3564</v>
      </c>
      <c r="M600">
        <f t="shared" si="27"/>
        <v>-990</v>
      </c>
      <c r="N600">
        <f t="shared" si="28"/>
        <v>-313190</v>
      </c>
      <c r="O600" t="str">
        <f t="shared" si="29"/>
        <v>&lt;Entry outShaftSpeed="3564.00" torque="-990.00" electricPower="-313190.00"/&gt;</v>
      </c>
    </row>
    <row r="601" spans="1:15" x14ac:dyDescent="0.25">
      <c r="A601" s="1">
        <v>3564</v>
      </c>
      <c r="B601">
        <v>-945</v>
      </c>
      <c r="C601">
        <v>-299.90300000000002</v>
      </c>
      <c r="L601">
        <f t="shared" si="27"/>
        <v>3564</v>
      </c>
      <c r="M601">
        <f t="shared" si="27"/>
        <v>-945</v>
      </c>
      <c r="N601">
        <f t="shared" si="28"/>
        <v>-299903</v>
      </c>
      <c r="O601" t="str">
        <f t="shared" si="29"/>
        <v>&lt;Entry outShaftSpeed="3564.00" torque="-945.00" electricPower="-299903.00"/&gt;</v>
      </c>
    </row>
    <row r="602" spans="1:15" x14ac:dyDescent="0.25">
      <c r="A602" s="1">
        <v>3564</v>
      </c>
      <c r="B602">
        <v>-900</v>
      </c>
      <c r="C602">
        <v>-286.48500000000001</v>
      </c>
      <c r="L602">
        <f t="shared" si="27"/>
        <v>3564</v>
      </c>
      <c r="M602">
        <f t="shared" si="27"/>
        <v>-900</v>
      </c>
      <c r="N602">
        <f t="shared" si="28"/>
        <v>-286485</v>
      </c>
      <c r="O602" t="str">
        <f t="shared" si="29"/>
        <v>&lt;Entry outShaftSpeed="3564.00" torque="-900.00" electricPower="-286485.00"/&gt;</v>
      </c>
    </row>
    <row r="603" spans="1:15" x14ac:dyDescent="0.25">
      <c r="A603" s="1">
        <v>3564</v>
      </c>
      <c r="B603">
        <v>-855</v>
      </c>
      <c r="C603">
        <v>-272.93799999999999</v>
      </c>
      <c r="L603">
        <f t="shared" si="27"/>
        <v>3564</v>
      </c>
      <c r="M603">
        <f t="shared" si="27"/>
        <v>-855</v>
      </c>
      <c r="N603">
        <f t="shared" si="28"/>
        <v>-272938</v>
      </c>
      <c r="O603" t="str">
        <f t="shared" si="29"/>
        <v>&lt;Entry outShaftSpeed="3564.00" torque="-855.00" electricPower="-272938.00"/&gt;</v>
      </c>
    </row>
    <row r="604" spans="1:15" x14ac:dyDescent="0.25">
      <c r="A604" s="1">
        <v>3564</v>
      </c>
      <c r="B604">
        <v>-810</v>
      </c>
      <c r="C604">
        <v>-259.26100000000002</v>
      </c>
      <c r="L604">
        <f t="shared" si="27"/>
        <v>3564</v>
      </c>
      <c r="M604">
        <f t="shared" si="27"/>
        <v>-810</v>
      </c>
      <c r="N604">
        <f t="shared" si="28"/>
        <v>-259261.00000000003</v>
      </c>
      <c r="O604" t="str">
        <f t="shared" si="29"/>
        <v>&lt;Entry outShaftSpeed="3564.00" torque="-810.00" electricPower="-259261.00"/&gt;</v>
      </c>
    </row>
    <row r="605" spans="1:15" x14ac:dyDescent="0.25">
      <c r="A605" s="1">
        <v>3564</v>
      </c>
      <c r="B605">
        <v>-765</v>
      </c>
      <c r="C605">
        <v>-245.45400000000001</v>
      </c>
      <c r="L605">
        <f t="shared" si="27"/>
        <v>3564</v>
      </c>
      <c r="M605">
        <f t="shared" si="27"/>
        <v>-765</v>
      </c>
      <c r="N605">
        <f t="shared" si="28"/>
        <v>-245454</v>
      </c>
      <c r="O605" t="str">
        <f t="shared" si="29"/>
        <v>&lt;Entry outShaftSpeed="3564.00" torque="-765.00" electricPower="-245454.00"/&gt;</v>
      </c>
    </row>
    <row r="606" spans="1:15" x14ac:dyDescent="0.25">
      <c r="A606" s="1">
        <v>3564</v>
      </c>
      <c r="B606">
        <v>-720</v>
      </c>
      <c r="C606">
        <v>-231.518</v>
      </c>
      <c r="L606">
        <f t="shared" si="27"/>
        <v>3564</v>
      </c>
      <c r="M606">
        <f t="shared" si="27"/>
        <v>-720</v>
      </c>
      <c r="N606">
        <f t="shared" si="28"/>
        <v>-231518</v>
      </c>
      <c r="O606" t="str">
        <f t="shared" si="29"/>
        <v>&lt;Entry outShaftSpeed="3564.00" torque="-720.00" electricPower="-231518.00"/&gt;</v>
      </c>
    </row>
    <row r="607" spans="1:15" x14ac:dyDescent="0.25">
      <c r="A607" s="1">
        <v>3564</v>
      </c>
      <c r="B607">
        <v>-675</v>
      </c>
      <c r="C607">
        <v>-217.45099999999999</v>
      </c>
      <c r="L607">
        <f t="shared" si="27"/>
        <v>3564</v>
      </c>
      <c r="M607">
        <f t="shared" si="27"/>
        <v>-675</v>
      </c>
      <c r="N607">
        <f t="shared" si="28"/>
        <v>-217451</v>
      </c>
      <c r="O607" t="str">
        <f t="shared" si="29"/>
        <v>&lt;Entry outShaftSpeed="3564.00" torque="-675.00" electricPower="-217451.00"/&gt;</v>
      </c>
    </row>
    <row r="608" spans="1:15" x14ac:dyDescent="0.25">
      <c r="A608" s="1">
        <v>3564</v>
      </c>
      <c r="B608">
        <v>-630</v>
      </c>
      <c r="C608">
        <v>-203.255</v>
      </c>
      <c r="L608">
        <f t="shared" si="27"/>
        <v>3564</v>
      </c>
      <c r="M608">
        <f t="shared" si="27"/>
        <v>-630</v>
      </c>
      <c r="N608">
        <f t="shared" si="28"/>
        <v>-203255</v>
      </c>
      <c r="O608" t="str">
        <f t="shared" si="29"/>
        <v>&lt;Entry outShaftSpeed="3564.00" torque="-630.00" electricPower="-203255.00"/&gt;</v>
      </c>
    </row>
    <row r="609" spans="1:15" x14ac:dyDescent="0.25">
      <c r="A609" s="1">
        <v>3564</v>
      </c>
      <c r="B609">
        <v>-585</v>
      </c>
      <c r="C609">
        <v>-188.929</v>
      </c>
      <c r="L609">
        <f t="shared" si="27"/>
        <v>3564</v>
      </c>
      <c r="M609">
        <f t="shared" si="27"/>
        <v>-585</v>
      </c>
      <c r="N609">
        <f t="shared" si="28"/>
        <v>-188929</v>
      </c>
      <c r="O609" t="str">
        <f t="shared" si="29"/>
        <v>&lt;Entry outShaftSpeed="3564.00" torque="-585.00" electricPower="-188929.00"/&gt;</v>
      </c>
    </row>
    <row r="610" spans="1:15" x14ac:dyDescent="0.25">
      <c r="A610" s="1">
        <v>3564</v>
      </c>
      <c r="B610">
        <v>-540</v>
      </c>
      <c r="C610">
        <v>-174.47399999999999</v>
      </c>
      <c r="L610">
        <f t="shared" si="27"/>
        <v>3564</v>
      </c>
      <c r="M610">
        <f t="shared" si="27"/>
        <v>-540</v>
      </c>
      <c r="N610">
        <f t="shared" si="28"/>
        <v>-174474</v>
      </c>
      <c r="O610" t="str">
        <f t="shared" si="29"/>
        <v>&lt;Entry outShaftSpeed="3564.00" torque="-540.00" electricPower="-174474.00"/&gt;</v>
      </c>
    </row>
    <row r="611" spans="1:15" x14ac:dyDescent="0.25">
      <c r="A611" s="1">
        <v>3564</v>
      </c>
      <c r="B611">
        <v>-495</v>
      </c>
      <c r="C611">
        <v>-159.88800000000001</v>
      </c>
      <c r="L611">
        <f t="shared" si="27"/>
        <v>3564</v>
      </c>
      <c r="M611">
        <f t="shared" si="27"/>
        <v>-495</v>
      </c>
      <c r="N611">
        <f t="shared" si="28"/>
        <v>-159888</v>
      </c>
      <c r="O611" t="str">
        <f t="shared" si="29"/>
        <v>&lt;Entry outShaftSpeed="3564.00" torque="-495.00" electricPower="-159888.00"/&gt;</v>
      </c>
    </row>
    <row r="612" spans="1:15" x14ac:dyDescent="0.25">
      <c r="A612" s="1">
        <v>3564</v>
      </c>
      <c r="B612">
        <v>-450</v>
      </c>
      <c r="C612">
        <v>-145.173</v>
      </c>
      <c r="L612">
        <f t="shared" si="27"/>
        <v>3564</v>
      </c>
      <c r="M612">
        <f t="shared" si="27"/>
        <v>-450</v>
      </c>
      <c r="N612">
        <f t="shared" si="28"/>
        <v>-145173</v>
      </c>
      <c r="O612" t="str">
        <f t="shared" si="29"/>
        <v>&lt;Entry outShaftSpeed="3564.00" torque="-450.00" electricPower="-145173.00"/&gt;</v>
      </c>
    </row>
    <row r="613" spans="1:15" x14ac:dyDescent="0.25">
      <c r="A613" s="1">
        <v>3564</v>
      </c>
      <c r="B613">
        <v>-405</v>
      </c>
      <c r="C613">
        <v>-130.328</v>
      </c>
      <c r="L613">
        <f t="shared" si="27"/>
        <v>3564</v>
      </c>
      <c r="M613">
        <f t="shared" si="27"/>
        <v>-405</v>
      </c>
      <c r="N613">
        <f t="shared" si="28"/>
        <v>-130328</v>
      </c>
      <c r="O613" t="str">
        <f t="shared" si="29"/>
        <v>&lt;Entry outShaftSpeed="3564.00" torque="-405.00" electricPower="-130328.00"/&gt;</v>
      </c>
    </row>
    <row r="614" spans="1:15" x14ac:dyDescent="0.25">
      <c r="A614" s="1">
        <v>3564</v>
      </c>
      <c r="B614">
        <v>-360</v>
      </c>
      <c r="C614">
        <v>-115.35299999999999</v>
      </c>
      <c r="L614">
        <f t="shared" si="27"/>
        <v>3564</v>
      </c>
      <c r="M614">
        <f t="shared" si="27"/>
        <v>-360</v>
      </c>
      <c r="N614">
        <f t="shared" si="28"/>
        <v>-115353</v>
      </c>
      <c r="O614" t="str">
        <f t="shared" si="29"/>
        <v>&lt;Entry outShaftSpeed="3564.00" torque="-360.00" electricPower="-115353.00"/&gt;</v>
      </c>
    </row>
    <row r="615" spans="1:15" x14ac:dyDescent="0.25">
      <c r="A615" s="1">
        <v>3564</v>
      </c>
      <c r="B615">
        <v>-315</v>
      </c>
      <c r="C615">
        <v>-100.248</v>
      </c>
      <c r="L615">
        <f t="shared" si="27"/>
        <v>3564</v>
      </c>
      <c r="M615">
        <f t="shared" si="27"/>
        <v>-315</v>
      </c>
      <c r="N615">
        <f t="shared" si="28"/>
        <v>-100248</v>
      </c>
      <c r="O615" t="str">
        <f t="shared" si="29"/>
        <v>&lt;Entry outShaftSpeed="3564.00" torque="-315.00" electricPower="-100248.00"/&gt;</v>
      </c>
    </row>
    <row r="616" spans="1:15" x14ac:dyDescent="0.25">
      <c r="A616" s="1">
        <v>3564</v>
      </c>
      <c r="B616">
        <v>-270</v>
      </c>
      <c r="C616">
        <v>-85.013000000000005</v>
      </c>
      <c r="L616">
        <f t="shared" si="27"/>
        <v>3564</v>
      </c>
      <c r="M616">
        <f t="shared" si="27"/>
        <v>-270</v>
      </c>
      <c r="N616">
        <f t="shared" si="28"/>
        <v>-85013</v>
      </c>
      <c r="O616" t="str">
        <f t="shared" si="29"/>
        <v>&lt;Entry outShaftSpeed="3564.00" torque="-270.00" electricPower="-85013.00"/&gt;</v>
      </c>
    </row>
    <row r="617" spans="1:15" x14ac:dyDescent="0.25">
      <c r="A617" s="1">
        <v>3564</v>
      </c>
      <c r="B617">
        <v>-225</v>
      </c>
      <c r="C617">
        <v>-69.649000000000001</v>
      </c>
      <c r="L617">
        <f t="shared" si="27"/>
        <v>3564</v>
      </c>
      <c r="M617">
        <f t="shared" si="27"/>
        <v>-225</v>
      </c>
      <c r="N617">
        <f t="shared" si="28"/>
        <v>-69649</v>
      </c>
      <c r="O617" t="str">
        <f t="shared" si="29"/>
        <v>&lt;Entry outShaftSpeed="3564.00" torque="-225.00" electricPower="-69649.00"/&gt;</v>
      </c>
    </row>
    <row r="618" spans="1:15" x14ac:dyDescent="0.25">
      <c r="A618" s="1">
        <v>3564</v>
      </c>
      <c r="B618">
        <v>-180</v>
      </c>
      <c r="C618">
        <v>-54.155000000000001</v>
      </c>
      <c r="L618">
        <f t="shared" si="27"/>
        <v>3564</v>
      </c>
      <c r="M618">
        <f t="shared" si="27"/>
        <v>-180</v>
      </c>
      <c r="N618">
        <f t="shared" si="28"/>
        <v>-54155</v>
      </c>
      <c r="O618" t="str">
        <f t="shared" si="29"/>
        <v>&lt;Entry outShaftSpeed="3564.00" torque="-180.00" electricPower="-54155.00"/&gt;</v>
      </c>
    </row>
    <row r="619" spans="1:15" x14ac:dyDescent="0.25">
      <c r="A619" s="1">
        <v>3564</v>
      </c>
      <c r="B619">
        <v>-135</v>
      </c>
      <c r="C619">
        <v>-38.530999999999999</v>
      </c>
      <c r="L619">
        <f t="shared" si="27"/>
        <v>3564</v>
      </c>
      <c r="M619">
        <f t="shared" si="27"/>
        <v>-135</v>
      </c>
      <c r="N619">
        <f t="shared" si="28"/>
        <v>-38531</v>
      </c>
      <c r="O619" t="str">
        <f t="shared" si="29"/>
        <v>&lt;Entry outShaftSpeed="3564.00" torque="-135.00" electricPower="-38531.00"/&gt;</v>
      </c>
    </row>
    <row r="620" spans="1:15" x14ac:dyDescent="0.25">
      <c r="A620" s="1">
        <v>3564</v>
      </c>
      <c r="B620">
        <v>-90</v>
      </c>
      <c r="C620">
        <v>-22.777000000000001</v>
      </c>
      <c r="L620">
        <f t="shared" si="27"/>
        <v>3564</v>
      </c>
      <c r="M620">
        <f t="shared" si="27"/>
        <v>-90</v>
      </c>
      <c r="N620">
        <f t="shared" si="28"/>
        <v>-22777</v>
      </c>
      <c r="O620" t="str">
        <f t="shared" si="29"/>
        <v>&lt;Entry outShaftSpeed="3564.00" torque="-90.00" electricPower="-22777.00"/&gt;</v>
      </c>
    </row>
    <row r="621" spans="1:15" x14ac:dyDescent="0.25">
      <c r="A621" s="1">
        <v>3564</v>
      </c>
      <c r="B621">
        <v>-45</v>
      </c>
      <c r="C621">
        <v>-6.8940000000000001</v>
      </c>
      <c r="L621">
        <f t="shared" si="27"/>
        <v>3564</v>
      </c>
      <c r="M621">
        <f t="shared" si="27"/>
        <v>-45</v>
      </c>
      <c r="N621">
        <f t="shared" si="28"/>
        <v>-6894</v>
      </c>
      <c r="O621" t="str">
        <f t="shared" si="29"/>
        <v>&lt;Entry outShaftSpeed="3564.00" torque="-45.00" electricPower="-6894.00"/&gt;</v>
      </c>
    </row>
    <row r="622" spans="1:15" x14ac:dyDescent="0.25">
      <c r="A622" s="1">
        <v>3564</v>
      </c>
      <c r="B622">
        <v>-9</v>
      </c>
      <c r="C622">
        <v>0</v>
      </c>
      <c r="L622">
        <f t="shared" si="27"/>
        <v>3564</v>
      </c>
      <c r="M622">
        <f t="shared" si="27"/>
        <v>-9</v>
      </c>
      <c r="N622">
        <f t="shared" si="28"/>
        <v>0</v>
      </c>
      <c r="O622" t="str">
        <f t="shared" si="29"/>
        <v>&lt;Entry outShaftSpeed="3564.00" torque="-9.00" electricPower="0.00"/&gt;</v>
      </c>
    </row>
    <row r="623" spans="1:15" x14ac:dyDescent="0.25">
      <c r="A623" s="1">
        <v>3564</v>
      </c>
      <c r="B623">
        <v>9</v>
      </c>
      <c r="C623">
        <v>13.407</v>
      </c>
      <c r="L623">
        <f t="shared" si="27"/>
        <v>3564</v>
      </c>
      <c r="M623">
        <f t="shared" si="27"/>
        <v>9</v>
      </c>
      <c r="N623">
        <f t="shared" si="28"/>
        <v>13407</v>
      </c>
      <c r="O623" t="str">
        <f t="shared" si="29"/>
        <v>&lt;Entry outShaftSpeed="3564.00" torque="9.00" electricPower="13407.00"/&gt;</v>
      </c>
    </row>
    <row r="624" spans="1:15" x14ac:dyDescent="0.25">
      <c r="A624" s="1">
        <v>3564</v>
      </c>
      <c r="B624">
        <v>45</v>
      </c>
      <c r="C624">
        <v>27.509</v>
      </c>
      <c r="L624">
        <f t="shared" si="27"/>
        <v>3564</v>
      </c>
      <c r="M624">
        <f t="shared" si="27"/>
        <v>45</v>
      </c>
      <c r="N624">
        <f t="shared" si="28"/>
        <v>27509</v>
      </c>
      <c r="O624" t="str">
        <f t="shared" si="29"/>
        <v>&lt;Entry outShaftSpeed="3564.00" torque="45.00" electricPower="27509.00"/&gt;</v>
      </c>
    </row>
    <row r="625" spans="1:15" x14ac:dyDescent="0.25">
      <c r="A625" s="1">
        <v>3564</v>
      </c>
      <c r="B625">
        <v>90</v>
      </c>
      <c r="C625">
        <v>45.264000000000003</v>
      </c>
      <c r="L625">
        <f t="shared" si="27"/>
        <v>3564</v>
      </c>
      <c r="M625">
        <f t="shared" si="27"/>
        <v>90</v>
      </c>
      <c r="N625">
        <f t="shared" si="28"/>
        <v>45264</v>
      </c>
      <c r="O625" t="str">
        <f t="shared" si="29"/>
        <v>&lt;Entry outShaftSpeed="3564.00" torque="90.00" electricPower="45264.00"/&gt;</v>
      </c>
    </row>
    <row r="626" spans="1:15" x14ac:dyDescent="0.25">
      <c r="A626" s="1">
        <v>3564</v>
      </c>
      <c r="B626">
        <v>135</v>
      </c>
      <c r="C626">
        <v>63.16</v>
      </c>
      <c r="L626">
        <f t="shared" si="27"/>
        <v>3564</v>
      </c>
      <c r="M626">
        <f t="shared" si="27"/>
        <v>135</v>
      </c>
      <c r="N626">
        <f t="shared" si="28"/>
        <v>63160</v>
      </c>
      <c r="O626" t="str">
        <f t="shared" si="29"/>
        <v>&lt;Entry outShaftSpeed="3564.00" torque="135.00" electricPower="63160.00"/&gt;</v>
      </c>
    </row>
    <row r="627" spans="1:15" x14ac:dyDescent="0.25">
      <c r="A627" s="1">
        <v>3564</v>
      </c>
      <c r="B627">
        <v>180</v>
      </c>
      <c r="C627">
        <v>81.195999999999998</v>
      </c>
      <c r="L627">
        <f t="shared" si="27"/>
        <v>3564</v>
      </c>
      <c r="M627">
        <f t="shared" si="27"/>
        <v>180</v>
      </c>
      <c r="N627">
        <f t="shared" si="28"/>
        <v>81196</v>
      </c>
      <c r="O627" t="str">
        <f t="shared" si="29"/>
        <v>&lt;Entry outShaftSpeed="3564.00" torque="180.00" electricPower="81196.00"/&gt;</v>
      </c>
    </row>
    <row r="628" spans="1:15" x14ac:dyDescent="0.25">
      <c r="A628" s="1">
        <v>3564</v>
      </c>
      <c r="B628">
        <v>225</v>
      </c>
      <c r="C628">
        <v>99.373000000000005</v>
      </c>
      <c r="L628">
        <f t="shared" si="27"/>
        <v>3564</v>
      </c>
      <c r="M628">
        <f t="shared" si="27"/>
        <v>225</v>
      </c>
      <c r="N628">
        <f t="shared" si="28"/>
        <v>99373</v>
      </c>
      <c r="O628" t="str">
        <f t="shared" si="29"/>
        <v>&lt;Entry outShaftSpeed="3564.00" torque="225.00" electricPower="99373.00"/&gt;</v>
      </c>
    </row>
    <row r="629" spans="1:15" x14ac:dyDescent="0.25">
      <c r="A629" s="1">
        <v>3564</v>
      </c>
      <c r="B629">
        <v>270</v>
      </c>
      <c r="C629">
        <v>117.69199999999999</v>
      </c>
      <c r="L629">
        <f t="shared" si="27"/>
        <v>3564</v>
      </c>
      <c r="M629">
        <f t="shared" si="27"/>
        <v>270</v>
      </c>
      <c r="N629">
        <f t="shared" si="28"/>
        <v>117692</v>
      </c>
      <c r="O629" t="str">
        <f t="shared" si="29"/>
        <v>&lt;Entry outShaftSpeed="3564.00" torque="270.00" electricPower="117692.00"/&gt;</v>
      </c>
    </row>
    <row r="630" spans="1:15" x14ac:dyDescent="0.25">
      <c r="A630" s="1">
        <v>3564</v>
      </c>
      <c r="B630">
        <v>315</v>
      </c>
      <c r="C630">
        <v>136.15100000000001</v>
      </c>
      <c r="L630">
        <f t="shared" si="27"/>
        <v>3564</v>
      </c>
      <c r="M630">
        <f t="shared" si="27"/>
        <v>315</v>
      </c>
      <c r="N630">
        <f t="shared" si="28"/>
        <v>136151</v>
      </c>
      <c r="O630" t="str">
        <f t="shared" si="29"/>
        <v>&lt;Entry outShaftSpeed="3564.00" torque="315.00" electricPower="136151.00"/&gt;</v>
      </c>
    </row>
    <row r="631" spans="1:15" x14ac:dyDescent="0.25">
      <c r="A631" s="1">
        <v>3564</v>
      </c>
      <c r="B631">
        <v>360</v>
      </c>
      <c r="C631">
        <v>154.75</v>
      </c>
      <c r="L631">
        <f t="shared" si="27"/>
        <v>3564</v>
      </c>
      <c r="M631">
        <f t="shared" si="27"/>
        <v>360</v>
      </c>
      <c r="N631">
        <f t="shared" si="28"/>
        <v>154750</v>
      </c>
      <c r="O631" t="str">
        <f t="shared" si="29"/>
        <v>&lt;Entry outShaftSpeed="3564.00" torque="360.00" electricPower="154750.00"/&gt;</v>
      </c>
    </row>
    <row r="632" spans="1:15" x14ac:dyDescent="0.25">
      <c r="A632" s="1">
        <v>3564</v>
      </c>
      <c r="B632">
        <v>405</v>
      </c>
      <c r="C632">
        <v>173.49100000000001</v>
      </c>
      <c r="L632">
        <f t="shared" si="27"/>
        <v>3564</v>
      </c>
      <c r="M632">
        <f t="shared" si="27"/>
        <v>405</v>
      </c>
      <c r="N632">
        <f t="shared" si="28"/>
        <v>173491</v>
      </c>
      <c r="O632" t="str">
        <f t="shared" si="29"/>
        <v>&lt;Entry outShaftSpeed="3564.00" torque="405.00" electricPower="173491.00"/&gt;</v>
      </c>
    </row>
    <row r="633" spans="1:15" x14ac:dyDescent="0.25">
      <c r="A633" s="1">
        <v>3564</v>
      </c>
      <c r="B633">
        <v>450</v>
      </c>
      <c r="C633">
        <v>192.37200000000001</v>
      </c>
      <c r="L633">
        <f t="shared" si="27"/>
        <v>3564</v>
      </c>
      <c r="M633">
        <f t="shared" si="27"/>
        <v>450</v>
      </c>
      <c r="N633">
        <f t="shared" si="28"/>
        <v>192372</v>
      </c>
      <c r="O633" t="str">
        <f t="shared" si="29"/>
        <v>&lt;Entry outShaftSpeed="3564.00" torque="450.00" electricPower="192372.00"/&gt;</v>
      </c>
    </row>
    <row r="634" spans="1:15" x14ac:dyDescent="0.25">
      <c r="A634" s="1">
        <v>3564</v>
      </c>
      <c r="B634">
        <v>495</v>
      </c>
      <c r="C634">
        <v>211.39500000000001</v>
      </c>
      <c r="L634">
        <f t="shared" si="27"/>
        <v>3564</v>
      </c>
      <c r="M634">
        <f t="shared" si="27"/>
        <v>495</v>
      </c>
      <c r="N634">
        <f t="shared" si="28"/>
        <v>211395</v>
      </c>
      <c r="O634" t="str">
        <f t="shared" si="29"/>
        <v>&lt;Entry outShaftSpeed="3564.00" torque="495.00" electricPower="211395.00"/&gt;</v>
      </c>
    </row>
    <row r="635" spans="1:15" x14ac:dyDescent="0.25">
      <c r="A635" s="1">
        <v>3564</v>
      </c>
      <c r="B635">
        <v>540</v>
      </c>
      <c r="C635">
        <v>230.55799999999999</v>
      </c>
      <c r="L635">
        <f t="shared" si="27"/>
        <v>3564</v>
      </c>
      <c r="M635">
        <f t="shared" si="27"/>
        <v>540</v>
      </c>
      <c r="N635">
        <f t="shared" si="28"/>
        <v>230558</v>
      </c>
      <c r="O635" t="str">
        <f t="shared" si="29"/>
        <v>&lt;Entry outShaftSpeed="3564.00" torque="540.00" electricPower="230558.00"/&gt;</v>
      </c>
    </row>
    <row r="636" spans="1:15" x14ac:dyDescent="0.25">
      <c r="A636" s="1">
        <v>3564</v>
      </c>
      <c r="B636">
        <v>585</v>
      </c>
      <c r="C636">
        <v>249.86199999999999</v>
      </c>
      <c r="L636">
        <f t="shared" si="27"/>
        <v>3564</v>
      </c>
      <c r="M636">
        <f t="shared" si="27"/>
        <v>585</v>
      </c>
      <c r="N636">
        <f t="shared" si="28"/>
        <v>249862</v>
      </c>
      <c r="O636" t="str">
        <f t="shared" si="29"/>
        <v>&lt;Entry outShaftSpeed="3564.00" torque="585.00" electricPower="249862.00"/&gt;</v>
      </c>
    </row>
    <row r="637" spans="1:15" x14ac:dyDescent="0.25">
      <c r="A637" s="1">
        <v>3564</v>
      </c>
      <c r="B637">
        <v>630</v>
      </c>
      <c r="C637">
        <v>269.30700000000002</v>
      </c>
      <c r="L637">
        <f t="shared" si="27"/>
        <v>3564</v>
      </c>
      <c r="M637">
        <f t="shared" si="27"/>
        <v>630</v>
      </c>
      <c r="N637">
        <f t="shared" si="28"/>
        <v>269307</v>
      </c>
      <c r="O637" t="str">
        <f t="shared" si="29"/>
        <v>&lt;Entry outShaftSpeed="3564.00" torque="630.00" electricPower="269307.00"/&gt;</v>
      </c>
    </row>
    <row r="638" spans="1:15" x14ac:dyDescent="0.25">
      <c r="A638" s="1">
        <v>3564</v>
      </c>
      <c r="B638">
        <v>675</v>
      </c>
      <c r="C638">
        <v>288.892</v>
      </c>
      <c r="L638">
        <f t="shared" si="27"/>
        <v>3564</v>
      </c>
      <c r="M638">
        <f t="shared" si="27"/>
        <v>675</v>
      </c>
      <c r="N638">
        <f t="shared" si="28"/>
        <v>288892</v>
      </c>
      <c r="O638" t="str">
        <f t="shared" si="29"/>
        <v>&lt;Entry outShaftSpeed="3564.00" torque="675.00" electricPower="288892.00"/&gt;</v>
      </c>
    </row>
    <row r="639" spans="1:15" x14ac:dyDescent="0.25">
      <c r="A639" s="1">
        <v>3564</v>
      </c>
      <c r="B639">
        <v>720</v>
      </c>
      <c r="C639">
        <v>308.61900000000003</v>
      </c>
      <c r="L639">
        <f t="shared" si="27"/>
        <v>3564</v>
      </c>
      <c r="M639">
        <f t="shared" si="27"/>
        <v>720</v>
      </c>
      <c r="N639">
        <f t="shared" si="28"/>
        <v>308619</v>
      </c>
      <c r="O639" t="str">
        <f t="shared" si="29"/>
        <v>&lt;Entry outShaftSpeed="3564.00" torque="720.00" electricPower="308619.00"/&gt;</v>
      </c>
    </row>
    <row r="640" spans="1:15" x14ac:dyDescent="0.25">
      <c r="A640" s="1">
        <v>3564</v>
      </c>
      <c r="B640">
        <v>765</v>
      </c>
      <c r="C640">
        <v>328.48599999999999</v>
      </c>
      <c r="L640">
        <f t="shared" si="27"/>
        <v>3564</v>
      </c>
      <c r="M640">
        <f t="shared" si="27"/>
        <v>765</v>
      </c>
      <c r="N640">
        <f t="shared" si="28"/>
        <v>328486</v>
      </c>
      <c r="O640" t="str">
        <f t="shared" si="29"/>
        <v>&lt;Entry outShaftSpeed="3564.00" torque="765.00" electricPower="328486.00"/&gt;</v>
      </c>
    </row>
    <row r="641" spans="1:15" x14ac:dyDescent="0.25">
      <c r="A641" s="1">
        <v>3564</v>
      </c>
      <c r="B641">
        <v>810</v>
      </c>
      <c r="C641">
        <v>348.49400000000003</v>
      </c>
      <c r="L641">
        <f t="shared" si="27"/>
        <v>3564</v>
      </c>
      <c r="M641">
        <f t="shared" si="27"/>
        <v>810</v>
      </c>
      <c r="N641">
        <f t="shared" si="28"/>
        <v>348494</v>
      </c>
      <c r="O641" t="str">
        <f t="shared" si="29"/>
        <v>&lt;Entry outShaftSpeed="3564.00" torque="810.00" electricPower="348494.00"/&gt;</v>
      </c>
    </row>
    <row r="642" spans="1:15" x14ac:dyDescent="0.25">
      <c r="A642" s="1">
        <v>3564</v>
      </c>
      <c r="B642">
        <v>855</v>
      </c>
      <c r="C642">
        <v>368.64299999999997</v>
      </c>
      <c r="L642">
        <f t="shared" si="27"/>
        <v>3564</v>
      </c>
      <c r="M642">
        <f t="shared" si="27"/>
        <v>855</v>
      </c>
      <c r="N642">
        <f t="shared" si="28"/>
        <v>368643</v>
      </c>
      <c r="O642" t="str">
        <f t="shared" si="29"/>
        <v>&lt;Entry outShaftSpeed="3564.00" torque="855.00" electricPower="368643.00"/&gt;</v>
      </c>
    </row>
    <row r="643" spans="1:15" x14ac:dyDescent="0.25">
      <c r="A643" s="1">
        <v>3564</v>
      </c>
      <c r="B643">
        <v>900</v>
      </c>
      <c r="C643">
        <v>388.93299999999999</v>
      </c>
      <c r="L643">
        <f t="shared" ref="L643:M706" si="30">A643</f>
        <v>3564</v>
      </c>
      <c r="M643">
        <f t="shared" si="30"/>
        <v>900</v>
      </c>
      <c r="N643">
        <f t="shared" ref="N643:N706" si="31">C643*1000</f>
        <v>388933</v>
      </c>
      <c r="O643" t="str">
        <f t="shared" ref="O643:O706" si="32">"&lt;Entry outShaftSpeed="""&amp;TEXT(ROUND(L643,2),"#0.00")&amp;""" torque=""" &amp; TEXT(ROUND(M643,2),"#0.00") &amp; """ electricPower="""&amp;TEXT(ROUND(N643,2),"#0.00") &amp;  """/&gt;"</f>
        <v>&lt;Entry outShaftSpeed="3564.00" torque="900.00" electricPower="388933.00"/&gt;</v>
      </c>
    </row>
    <row r="644" spans="1:15" x14ac:dyDescent="0.25">
      <c r="A644" s="1">
        <v>3564</v>
      </c>
      <c r="B644">
        <v>945</v>
      </c>
      <c r="C644">
        <v>409.36399999999998</v>
      </c>
      <c r="L644">
        <f t="shared" si="30"/>
        <v>3564</v>
      </c>
      <c r="M644">
        <f t="shared" si="30"/>
        <v>945</v>
      </c>
      <c r="N644">
        <f t="shared" si="31"/>
        <v>409364</v>
      </c>
      <c r="O644" t="str">
        <f t="shared" si="32"/>
        <v>&lt;Entry outShaftSpeed="3564.00" torque="945.00" electricPower="409364.00"/&gt;</v>
      </c>
    </row>
    <row r="645" spans="1:15" x14ac:dyDescent="0.25">
      <c r="A645" s="1">
        <v>3564</v>
      </c>
      <c r="B645">
        <v>990</v>
      </c>
      <c r="C645">
        <v>429.935</v>
      </c>
      <c r="L645">
        <f t="shared" si="30"/>
        <v>3564</v>
      </c>
      <c r="M645">
        <f t="shared" si="30"/>
        <v>990</v>
      </c>
      <c r="N645">
        <f t="shared" si="31"/>
        <v>429935</v>
      </c>
      <c r="O645" t="str">
        <f t="shared" si="32"/>
        <v>&lt;Entry outShaftSpeed="3564.00" torque="990.00" electricPower="429935.00"/&gt;</v>
      </c>
    </row>
    <row r="646" spans="1:15" x14ac:dyDescent="0.25">
      <c r="A646" s="1">
        <v>3861</v>
      </c>
      <c r="B646">
        <v>-990</v>
      </c>
      <c r="C646">
        <v>-335.85700000000003</v>
      </c>
      <c r="L646">
        <f t="shared" si="30"/>
        <v>3861</v>
      </c>
      <c r="M646">
        <f t="shared" si="30"/>
        <v>-990</v>
      </c>
      <c r="N646">
        <f t="shared" si="31"/>
        <v>-335857</v>
      </c>
      <c r="O646" t="str">
        <f t="shared" si="32"/>
        <v>&lt;Entry outShaftSpeed="3861.00" torque="-990.00" electricPower="-335857.00"/&gt;</v>
      </c>
    </row>
    <row r="647" spans="1:15" x14ac:dyDescent="0.25">
      <c r="A647" s="1">
        <v>3861</v>
      </c>
      <c r="B647">
        <v>-945</v>
      </c>
      <c r="C647">
        <v>-321.66199999999998</v>
      </c>
      <c r="L647">
        <f t="shared" si="30"/>
        <v>3861</v>
      </c>
      <c r="M647">
        <f t="shared" si="30"/>
        <v>-945</v>
      </c>
      <c r="N647">
        <f t="shared" si="31"/>
        <v>-321662</v>
      </c>
      <c r="O647" t="str">
        <f t="shared" si="32"/>
        <v>&lt;Entry outShaftSpeed="3861.00" torque="-945.00" electricPower="-321662.00"/&gt;</v>
      </c>
    </row>
    <row r="648" spans="1:15" x14ac:dyDescent="0.25">
      <c r="A648" s="1">
        <v>3861</v>
      </c>
      <c r="B648">
        <v>-900</v>
      </c>
      <c r="C648">
        <v>-307.31700000000001</v>
      </c>
      <c r="L648">
        <f t="shared" si="30"/>
        <v>3861</v>
      </c>
      <c r="M648">
        <f t="shared" si="30"/>
        <v>-900</v>
      </c>
      <c r="N648">
        <f t="shared" si="31"/>
        <v>-307317</v>
      </c>
      <c r="O648" t="str">
        <f t="shared" si="32"/>
        <v>&lt;Entry outShaftSpeed="3861.00" torque="-900.00" electricPower="-307317.00"/&gt;</v>
      </c>
    </row>
    <row r="649" spans="1:15" x14ac:dyDescent="0.25">
      <c r="A649" s="1">
        <v>3861</v>
      </c>
      <c r="B649">
        <v>-855</v>
      </c>
      <c r="C649">
        <v>-292.822</v>
      </c>
      <c r="L649">
        <f t="shared" si="30"/>
        <v>3861</v>
      </c>
      <c r="M649">
        <f t="shared" si="30"/>
        <v>-855</v>
      </c>
      <c r="N649">
        <f t="shared" si="31"/>
        <v>-292822</v>
      </c>
      <c r="O649" t="str">
        <f t="shared" si="32"/>
        <v>&lt;Entry outShaftSpeed="3861.00" torque="-855.00" electricPower="-292822.00"/&gt;</v>
      </c>
    </row>
    <row r="650" spans="1:15" x14ac:dyDescent="0.25">
      <c r="A650" s="1">
        <v>3861</v>
      </c>
      <c r="B650">
        <v>-810</v>
      </c>
      <c r="C650">
        <v>-278.17700000000002</v>
      </c>
      <c r="L650">
        <f t="shared" si="30"/>
        <v>3861</v>
      </c>
      <c r="M650">
        <f t="shared" si="30"/>
        <v>-810</v>
      </c>
      <c r="N650">
        <f t="shared" si="31"/>
        <v>-278177</v>
      </c>
      <c r="O650" t="str">
        <f t="shared" si="32"/>
        <v>&lt;Entry outShaftSpeed="3861.00" torque="-810.00" electricPower="-278177.00"/&gt;</v>
      </c>
    </row>
    <row r="651" spans="1:15" x14ac:dyDescent="0.25">
      <c r="A651" s="1">
        <v>3861</v>
      </c>
      <c r="B651">
        <v>-765</v>
      </c>
      <c r="C651">
        <v>-263.38099999999997</v>
      </c>
      <c r="L651">
        <f t="shared" si="30"/>
        <v>3861</v>
      </c>
      <c r="M651">
        <f t="shared" si="30"/>
        <v>-765</v>
      </c>
      <c r="N651">
        <f t="shared" si="31"/>
        <v>-263381</v>
      </c>
      <c r="O651" t="str">
        <f t="shared" si="32"/>
        <v>&lt;Entry outShaftSpeed="3861.00" torque="-765.00" electricPower="-263381.00"/&gt;</v>
      </c>
    </row>
    <row r="652" spans="1:15" x14ac:dyDescent="0.25">
      <c r="A652" s="1">
        <v>3861</v>
      </c>
      <c r="B652">
        <v>-720</v>
      </c>
      <c r="C652">
        <v>-248.43600000000001</v>
      </c>
      <c r="L652">
        <f t="shared" si="30"/>
        <v>3861</v>
      </c>
      <c r="M652">
        <f t="shared" si="30"/>
        <v>-720</v>
      </c>
      <c r="N652">
        <f t="shared" si="31"/>
        <v>-248436</v>
      </c>
      <c r="O652" t="str">
        <f t="shared" si="32"/>
        <v>&lt;Entry outShaftSpeed="3861.00" torque="-720.00" electricPower="-248436.00"/&gt;</v>
      </c>
    </row>
    <row r="653" spans="1:15" x14ac:dyDescent="0.25">
      <c r="A653" s="1">
        <v>3861</v>
      </c>
      <c r="B653">
        <v>-675</v>
      </c>
      <c r="C653">
        <v>-233.34</v>
      </c>
      <c r="L653">
        <f t="shared" si="30"/>
        <v>3861</v>
      </c>
      <c r="M653">
        <f t="shared" si="30"/>
        <v>-675</v>
      </c>
      <c r="N653">
        <f t="shared" si="31"/>
        <v>-233340</v>
      </c>
      <c r="O653" t="str">
        <f t="shared" si="32"/>
        <v>&lt;Entry outShaftSpeed="3861.00" torque="-675.00" electricPower="-233340.00"/&gt;</v>
      </c>
    </row>
    <row r="654" spans="1:15" x14ac:dyDescent="0.25">
      <c r="A654" s="1">
        <v>3861</v>
      </c>
      <c r="B654">
        <v>-630</v>
      </c>
      <c r="C654">
        <v>-218.095</v>
      </c>
      <c r="L654">
        <f t="shared" si="30"/>
        <v>3861</v>
      </c>
      <c r="M654">
        <f t="shared" si="30"/>
        <v>-630</v>
      </c>
      <c r="N654">
        <f t="shared" si="31"/>
        <v>-218095</v>
      </c>
      <c r="O654" t="str">
        <f t="shared" si="32"/>
        <v>&lt;Entry outShaftSpeed="3861.00" torque="-630.00" electricPower="-218095.00"/&gt;</v>
      </c>
    </row>
    <row r="655" spans="1:15" x14ac:dyDescent="0.25">
      <c r="A655" s="1">
        <v>3861</v>
      </c>
      <c r="B655">
        <v>-585</v>
      </c>
      <c r="C655">
        <v>-202.69900000000001</v>
      </c>
      <c r="L655">
        <f t="shared" si="30"/>
        <v>3861</v>
      </c>
      <c r="M655">
        <f t="shared" si="30"/>
        <v>-585</v>
      </c>
      <c r="N655">
        <f t="shared" si="31"/>
        <v>-202699</v>
      </c>
      <c r="O655" t="str">
        <f t="shared" si="32"/>
        <v>&lt;Entry outShaftSpeed="3861.00" torque="-585.00" electricPower="-202699.00"/&gt;</v>
      </c>
    </row>
    <row r="656" spans="1:15" x14ac:dyDescent="0.25">
      <c r="A656" s="1">
        <v>3861</v>
      </c>
      <c r="B656">
        <v>-540</v>
      </c>
      <c r="C656">
        <v>-187.15299999999999</v>
      </c>
      <c r="L656">
        <f t="shared" si="30"/>
        <v>3861</v>
      </c>
      <c r="M656">
        <f t="shared" si="30"/>
        <v>-540</v>
      </c>
      <c r="N656">
        <f t="shared" si="31"/>
        <v>-187153</v>
      </c>
      <c r="O656" t="str">
        <f t="shared" si="32"/>
        <v>&lt;Entry outShaftSpeed="3861.00" torque="-540.00" electricPower="-187153.00"/&gt;</v>
      </c>
    </row>
    <row r="657" spans="1:15" x14ac:dyDescent="0.25">
      <c r="A657" s="1">
        <v>3861</v>
      </c>
      <c r="B657">
        <v>-495</v>
      </c>
      <c r="C657">
        <v>-171.45699999999999</v>
      </c>
      <c r="L657">
        <f t="shared" si="30"/>
        <v>3861</v>
      </c>
      <c r="M657">
        <f t="shared" si="30"/>
        <v>-495</v>
      </c>
      <c r="N657">
        <f t="shared" si="31"/>
        <v>-171457</v>
      </c>
      <c r="O657" t="str">
        <f t="shared" si="32"/>
        <v>&lt;Entry outShaftSpeed="3861.00" torque="-495.00" electricPower="-171457.00"/&gt;</v>
      </c>
    </row>
    <row r="658" spans="1:15" x14ac:dyDescent="0.25">
      <c r="A658" s="1">
        <v>3861</v>
      </c>
      <c r="B658">
        <v>-450</v>
      </c>
      <c r="C658">
        <v>-155.61199999999999</v>
      </c>
      <c r="L658">
        <f t="shared" si="30"/>
        <v>3861</v>
      </c>
      <c r="M658">
        <f t="shared" si="30"/>
        <v>-450</v>
      </c>
      <c r="N658">
        <f t="shared" si="31"/>
        <v>-155612</v>
      </c>
      <c r="O658" t="str">
        <f t="shared" si="32"/>
        <v>&lt;Entry outShaftSpeed="3861.00" torque="-450.00" electricPower="-155612.00"/&gt;</v>
      </c>
    </row>
    <row r="659" spans="1:15" x14ac:dyDescent="0.25">
      <c r="A659" s="1">
        <v>3861</v>
      </c>
      <c r="B659">
        <v>-405</v>
      </c>
      <c r="C659">
        <v>-139.61600000000001</v>
      </c>
      <c r="L659">
        <f t="shared" si="30"/>
        <v>3861</v>
      </c>
      <c r="M659">
        <f t="shared" si="30"/>
        <v>-405</v>
      </c>
      <c r="N659">
        <f t="shared" si="31"/>
        <v>-139616</v>
      </c>
      <c r="O659" t="str">
        <f t="shared" si="32"/>
        <v>&lt;Entry outShaftSpeed="3861.00" torque="-405.00" electricPower="-139616.00"/&gt;</v>
      </c>
    </row>
    <row r="660" spans="1:15" x14ac:dyDescent="0.25">
      <c r="A660" s="1">
        <v>3861</v>
      </c>
      <c r="B660">
        <v>-360</v>
      </c>
      <c r="C660">
        <v>-123.47</v>
      </c>
      <c r="L660">
        <f t="shared" si="30"/>
        <v>3861</v>
      </c>
      <c r="M660">
        <f t="shared" si="30"/>
        <v>-360</v>
      </c>
      <c r="N660">
        <f t="shared" si="31"/>
        <v>-123470</v>
      </c>
      <c r="O660" t="str">
        <f t="shared" si="32"/>
        <v>&lt;Entry outShaftSpeed="3861.00" torque="-360.00" electricPower="-123470.00"/&gt;</v>
      </c>
    </row>
    <row r="661" spans="1:15" x14ac:dyDescent="0.25">
      <c r="A661" s="1">
        <v>3861</v>
      </c>
      <c r="B661">
        <v>-315</v>
      </c>
      <c r="C661">
        <v>-107.173</v>
      </c>
      <c r="L661">
        <f t="shared" si="30"/>
        <v>3861</v>
      </c>
      <c r="M661">
        <f t="shared" si="30"/>
        <v>-315</v>
      </c>
      <c r="N661">
        <f t="shared" si="31"/>
        <v>-107173</v>
      </c>
      <c r="O661" t="str">
        <f t="shared" si="32"/>
        <v>&lt;Entry outShaftSpeed="3861.00" torque="-315.00" electricPower="-107173.00"/&gt;</v>
      </c>
    </row>
    <row r="662" spans="1:15" x14ac:dyDescent="0.25">
      <c r="A662" s="1">
        <v>3861</v>
      </c>
      <c r="B662">
        <v>-270</v>
      </c>
      <c r="C662">
        <v>-90.727000000000004</v>
      </c>
      <c r="L662">
        <f t="shared" si="30"/>
        <v>3861</v>
      </c>
      <c r="M662">
        <f t="shared" si="30"/>
        <v>-270</v>
      </c>
      <c r="N662">
        <f t="shared" si="31"/>
        <v>-90727</v>
      </c>
      <c r="O662" t="str">
        <f t="shared" si="32"/>
        <v>&lt;Entry outShaftSpeed="3861.00" torque="-270.00" electricPower="-90727.00"/&gt;</v>
      </c>
    </row>
    <row r="663" spans="1:15" x14ac:dyDescent="0.25">
      <c r="A663" s="1">
        <v>3861</v>
      </c>
      <c r="B663">
        <v>-225</v>
      </c>
      <c r="C663">
        <v>-74.131</v>
      </c>
      <c r="L663">
        <f t="shared" si="30"/>
        <v>3861</v>
      </c>
      <c r="M663">
        <f t="shared" si="30"/>
        <v>-225</v>
      </c>
      <c r="N663">
        <f t="shared" si="31"/>
        <v>-74131</v>
      </c>
      <c r="O663" t="str">
        <f t="shared" si="32"/>
        <v>&lt;Entry outShaftSpeed="3861.00" torque="-225.00" electricPower="-74131.00"/&gt;</v>
      </c>
    </row>
    <row r="664" spans="1:15" x14ac:dyDescent="0.25">
      <c r="A664" s="1">
        <v>3861</v>
      </c>
      <c r="B664">
        <v>-180</v>
      </c>
      <c r="C664">
        <v>-57.384</v>
      </c>
      <c r="L664">
        <f t="shared" si="30"/>
        <v>3861</v>
      </c>
      <c r="M664">
        <f t="shared" si="30"/>
        <v>-180</v>
      </c>
      <c r="N664">
        <f t="shared" si="31"/>
        <v>-57384</v>
      </c>
      <c r="O664" t="str">
        <f t="shared" si="32"/>
        <v>&lt;Entry outShaftSpeed="3861.00" torque="-180.00" electricPower="-57384.00"/&gt;</v>
      </c>
    </row>
    <row r="665" spans="1:15" x14ac:dyDescent="0.25">
      <c r="A665" s="1">
        <v>3861</v>
      </c>
      <c r="B665">
        <v>-135</v>
      </c>
      <c r="C665">
        <v>-40.488</v>
      </c>
      <c r="L665">
        <f t="shared" si="30"/>
        <v>3861</v>
      </c>
      <c r="M665">
        <f t="shared" si="30"/>
        <v>-135</v>
      </c>
      <c r="N665">
        <f t="shared" si="31"/>
        <v>-40488</v>
      </c>
      <c r="O665" t="str">
        <f t="shared" si="32"/>
        <v>&lt;Entry outShaftSpeed="3861.00" torque="-135.00" electricPower="-40488.00"/&gt;</v>
      </c>
    </row>
    <row r="666" spans="1:15" x14ac:dyDescent="0.25">
      <c r="A666" s="1">
        <v>3861</v>
      </c>
      <c r="B666">
        <v>-90</v>
      </c>
      <c r="C666">
        <v>-23.440999999999999</v>
      </c>
      <c r="L666">
        <f t="shared" si="30"/>
        <v>3861</v>
      </c>
      <c r="M666">
        <f t="shared" si="30"/>
        <v>-90</v>
      </c>
      <c r="N666">
        <f t="shared" si="31"/>
        <v>-23441</v>
      </c>
      <c r="O666" t="str">
        <f t="shared" si="32"/>
        <v>&lt;Entry outShaftSpeed="3861.00" torque="-90.00" electricPower="-23441.00"/&gt;</v>
      </c>
    </row>
    <row r="667" spans="1:15" x14ac:dyDescent="0.25">
      <c r="A667" s="1">
        <v>3861</v>
      </c>
      <c r="B667">
        <v>-45</v>
      </c>
      <c r="C667">
        <v>-6.2450000000000001</v>
      </c>
      <c r="L667">
        <f t="shared" si="30"/>
        <v>3861</v>
      </c>
      <c r="M667">
        <f t="shared" si="30"/>
        <v>-45</v>
      </c>
      <c r="N667">
        <f t="shared" si="31"/>
        <v>-6245</v>
      </c>
      <c r="O667" t="str">
        <f t="shared" si="32"/>
        <v>&lt;Entry outShaftSpeed="3861.00" torque="-45.00" electricPower="-6245.00"/&gt;</v>
      </c>
    </row>
    <row r="668" spans="1:15" x14ac:dyDescent="0.25">
      <c r="A668" s="1">
        <v>3861</v>
      </c>
      <c r="B668">
        <v>-9</v>
      </c>
      <c r="C668">
        <v>0</v>
      </c>
      <c r="L668">
        <f t="shared" si="30"/>
        <v>3861</v>
      </c>
      <c r="M668">
        <f t="shared" si="30"/>
        <v>-9</v>
      </c>
      <c r="N668">
        <f t="shared" si="31"/>
        <v>0</v>
      </c>
      <c r="O668" t="str">
        <f t="shared" si="32"/>
        <v>&lt;Entry outShaftSpeed="3861.00" torque="-9.00" electricPower="0.00"/&gt;</v>
      </c>
    </row>
    <row r="669" spans="1:15" x14ac:dyDescent="0.25">
      <c r="A669" s="1">
        <v>3861</v>
      </c>
      <c r="B669">
        <v>9</v>
      </c>
      <c r="C669">
        <v>15.85</v>
      </c>
      <c r="L669">
        <f t="shared" si="30"/>
        <v>3861</v>
      </c>
      <c r="M669">
        <f t="shared" si="30"/>
        <v>9</v>
      </c>
      <c r="N669">
        <f t="shared" si="31"/>
        <v>15850</v>
      </c>
      <c r="O669" t="str">
        <f t="shared" si="32"/>
        <v>&lt;Entry outShaftSpeed="3861.00" torque="9.00" electricPower="15850.00"/&gt;</v>
      </c>
    </row>
    <row r="670" spans="1:15" x14ac:dyDescent="0.25">
      <c r="A670" s="1">
        <v>3861</v>
      </c>
      <c r="B670">
        <v>45</v>
      </c>
      <c r="C670">
        <v>31.129000000000001</v>
      </c>
      <c r="L670">
        <f t="shared" si="30"/>
        <v>3861</v>
      </c>
      <c r="M670">
        <f t="shared" si="30"/>
        <v>45</v>
      </c>
      <c r="N670">
        <f t="shared" si="31"/>
        <v>31129</v>
      </c>
      <c r="O670" t="str">
        <f t="shared" si="32"/>
        <v>&lt;Entry outShaftSpeed="3861.00" torque="45.00" electricPower="31129.00"/&gt;</v>
      </c>
    </row>
    <row r="671" spans="1:15" x14ac:dyDescent="0.25">
      <c r="A671" s="1">
        <v>3861</v>
      </c>
      <c r="B671">
        <v>90</v>
      </c>
      <c r="C671">
        <v>50.375</v>
      </c>
      <c r="L671">
        <f t="shared" si="30"/>
        <v>3861</v>
      </c>
      <c r="M671">
        <f t="shared" si="30"/>
        <v>90</v>
      </c>
      <c r="N671">
        <f t="shared" si="31"/>
        <v>50375</v>
      </c>
      <c r="O671" t="str">
        <f t="shared" si="32"/>
        <v>&lt;Entry outShaftSpeed="3861.00" torque="90.00" electricPower="50375.00"/&gt;</v>
      </c>
    </row>
    <row r="672" spans="1:15" x14ac:dyDescent="0.25">
      <c r="A672" s="1">
        <v>3861</v>
      </c>
      <c r="B672">
        <v>135</v>
      </c>
      <c r="C672">
        <v>69.784000000000006</v>
      </c>
      <c r="L672">
        <f t="shared" si="30"/>
        <v>3861</v>
      </c>
      <c r="M672">
        <f t="shared" si="30"/>
        <v>135</v>
      </c>
      <c r="N672">
        <f t="shared" si="31"/>
        <v>69784</v>
      </c>
      <c r="O672" t="str">
        <f t="shared" si="32"/>
        <v>&lt;Entry outShaftSpeed="3861.00" torque="135.00" electricPower="69784.00"/&gt;</v>
      </c>
    </row>
    <row r="673" spans="1:15" x14ac:dyDescent="0.25">
      <c r="A673" s="1">
        <v>3861</v>
      </c>
      <c r="B673">
        <v>180</v>
      </c>
      <c r="C673">
        <v>89.355000000000004</v>
      </c>
      <c r="L673">
        <f t="shared" si="30"/>
        <v>3861</v>
      </c>
      <c r="M673">
        <f t="shared" si="30"/>
        <v>180</v>
      </c>
      <c r="N673">
        <f t="shared" si="31"/>
        <v>89355</v>
      </c>
      <c r="O673" t="str">
        <f t="shared" si="32"/>
        <v>&lt;Entry outShaftSpeed="3861.00" torque="180.00" electricPower="89355.00"/&gt;</v>
      </c>
    </row>
    <row r="674" spans="1:15" x14ac:dyDescent="0.25">
      <c r="A674" s="1">
        <v>3861</v>
      </c>
      <c r="B674">
        <v>225</v>
      </c>
      <c r="C674">
        <v>109.089</v>
      </c>
      <c r="L674">
        <f t="shared" si="30"/>
        <v>3861</v>
      </c>
      <c r="M674">
        <f t="shared" si="30"/>
        <v>225</v>
      </c>
      <c r="N674">
        <f t="shared" si="31"/>
        <v>109089</v>
      </c>
      <c r="O674" t="str">
        <f t="shared" si="32"/>
        <v>&lt;Entry outShaftSpeed="3861.00" torque="225.00" electricPower="109089.00"/&gt;</v>
      </c>
    </row>
    <row r="675" spans="1:15" x14ac:dyDescent="0.25">
      <c r="A675" s="1">
        <v>3861</v>
      </c>
      <c r="B675">
        <v>270</v>
      </c>
      <c r="C675">
        <v>128.98599999999999</v>
      </c>
      <c r="L675">
        <f t="shared" si="30"/>
        <v>3861</v>
      </c>
      <c r="M675">
        <f t="shared" si="30"/>
        <v>270</v>
      </c>
      <c r="N675">
        <f t="shared" si="31"/>
        <v>128985.99999999999</v>
      </c>
      <c r="O675" t="str">
        <f t="shared" si="32"/>
        <v>&lt;Entry outShaftSpeed="3861.00" torque="270.00" electricPower="128986.00"/&gt;</v>
      </c>
    </row>
    <row r="676" spans="1:15" x14ac:dyDescent="0.25">
      <c r="A676" s="1">
        <v>3861</v>
      </c>
      <c r="B676">
        <v>315</v>
      </c>
      <c r="C676">
        <v>149.04599999999999</v>
      </c>
      <c r="L676">
        <f t="shared" si="30"/>
        <v>3861</v>
      </c>
      <c r="M676">
        <f t="shared" si="30"/>
        <v>315</v>
      </c>
      <c r="N676">
        <f t="shared" si="31"/>
        <v>149046</v>
      </c>
      <c r="O676" t="str">
        <f t="shared" si="32"/>
        <v>&lt;Entry outShaftSpeed="3861.00" torque="315.00" electricPower="149046.00"/&gt;</v>
      </c>
    </row>
    <row r="677" spans="1:15" x14ac:dyDescent="0.25">
      <c r="A677" s="1">
        <v>3861</v>
      </c>
      <c r="B677">
        <v>360</v>
      </c>
      <c r="C677">
        <v>169.26900000000001</v>
      </c>
      <c r="L677">
        <f t="shared" si="30"/>
        <v>3861</v>
      </c>
      <c r="M677">
        <f t="shared" si="30"/>
        <v>360</v>
      </c>
      <c r="N677">
        <f t="shared" si="31"/>
        <v>169269</v>
      </c>
      <c r="O677" t="str">
        <f t="shared" si="32"/>
        <v>&lt;Entry outShaftSpeed="3861.00" torque="360.00" electricPower="169269.00"/&gt;</v>
      </c>
    </row>
    <row r="678" spans="1:15" x14ac:dyDescent="0.25">
      <c r="A678" s="1">
        <v>3861</v>
      </c>
      <c r="B678">
        <v>405</v>
      </c>
      <c r="C678">
        <v>189.655</v>
      </c>
      <c r="L678">
        <f t="shared" si="30"/>
        <v>3861</v>
      </c>
      <c r="M678">
        <f t="shared" si="30"/>
        <v>405</v>
      </c>
      <c r="N678">
        <f t="shared" si="31"/>
        <v>189655</v>
      </c>
      <c r="O678" t="str">
        <f t="shared" si="32"/>
        <v>&lt;Entry outShaftSpeed="3861.00" torque="405.00" electricPower="189655.00"/&gt;</v>
      </c>
    </row>
    <row r="679" spans="1:15" x14ac:dyDescent="0.25">
      <c r="A679" s="1">
        <v>3861</v>
      </c>
      <c r="B679">
        <v>450</v>
      </c>
      <c r="C679">
        <v>210.203</v>
      </c>
      <c r="L679">
        <f t="shared" si="30"/>
        <v>3861</v>
      </c>
      <c r="M679">
        <f t="shared" si="30"/>
        <v>450</v>
      </c>
      <c r="N679">
        <f t="shared" si="31"/>
        <v>210203</v>
      </c>
      <c r="O679" t="str">
        <f t="shared" si="32"/>
        <v>&lt;Entry outShaftSpeed="3861.00" torque="450.00" electricPower="210203.00"/&gt;</v>
      </c>
    </row>
    <row r="680" spans="1:15" x14ac:dyDescent="0.25">
      <c r="A680" s="1">
        <v>3861</v>
      </c>
      <c r="B680">
        <v>495</v>
      </c>
      <c r="C680">
        <v>230.91499999999999</v>
      </c>
      <c r="L680">
        <f t="shared" si="30"/>
        <v>3861</v>
      </c>
      <c r="M680">
        <f t="shared" si="30"/>
        <v>495</v>
      </c>
      <c r="N680">
        <f t="shared" si="31"/>
        <v>230915</v>
      </c>
      <c r="O680" t="str">
        <f t="shared" si="32"/>
        <v>&lt;Entry outShaftSpeed="3861.00" torque="495.00" electricPower="230915.00"/&gt;</v>
      </c>
    </row>
    <row r="681" spans="1:15" x14ac:dyDescent="0.25">
      <c r="A681" s="1">
        <v>3861</v>
      </c>
      <c r="B681">
        <v>540</v>
      </c>
      <c r="C681">
        <v>251.78899999999999</v>
      </c>
      <c r="L681">
        <f t="shared" si="30"/>
        <v>3861</v>
      </c>
      <c r="M681">
        <f t="shared" si="30"/>
        <v>540</v>
      </c>
      <c r="N681">
        <f t="shared" si="31"/>
        <v>251789</v>
      </c>
      <c r="O681" t="str">
        <f t="shared" si="32"/>
        <v>&lt;Entry outShaftSpeed="3861.00" torque="540.00" electricPower="251789.00"/&gt;</v>
      </c>
    </row>
    <row r="682" spans="1:15" x14ac:dyDescent="0.25">
      <c r="A682" s="1">
        <v>3861</v>
      </c>
      <c r="B682">
        <v>585</v>
      </c>
      <c r="C682">
        <v>272.82600000000002</v>
      </c>
      <c r="L682">
        <f t="shared" si="30"/>
        <v>3861</v>
      </c>
      <c r="M682">
        <f t="shared" si="30"/>
        <v>585</v>
      </c>
      <c r="N682">
        <f t="shared" si="31"/>
        <v>272826</v>
      </c>
      <c r="O682" t="str">
        <f t="shared" si="32"/>
        <v>&lt;Entry outShaftSpeed="3861.00" torque="585.00" electricPower="272826.00"/&gt;</v>
      </c>
    </row>
    <row r="683" spans="1:15" x14ac:dyDescent="0.25">
      <c r="A683" s="1">
        <v>3861</v>
      </c>
      <c r="B683">
        <v>630</v>
      </c>
      <c r="C683">
        <v>294.02600000000001</v>
      </c>
      <c r="L683">
        <f t="shared" si="30"/>
        <v>3861</v>
      </c>
      <c r="M683">
        <f t="shared" si="30"/>
        <v>630</v>
      </c>
      <c r="N683">
        <f t="shared" si="31"/>
        <v>294026</v>
      </c>
      <c r="O683" t="str">
        <f t="shared" si="32"/>
        <v>&lt;Entry outShaftSpeed="3861.00" torque="630.00" electricPower="294026.00"/&gt;</v>
      </c>
    </row>
    <row r="684" spans="1:15" x14ac:dyDescent="0.25">
      <c r="A684" s="1">
        <v>3861</v>
      </c>
      <c r="B684">
        <v>675</v>
      </c>
      <c r="C684">
        <v>315.38900000000001</v>
      </c>
      <c r="L684">
        <f t="shared" si="30"/>
        <v>3861</v>
      </c>
      <c r="M684">
        <f t="shared" si="30"/>
        <v>675</v>
      </c>
      <c r="N684">
        <f t="shared" si="31"/>
        <v>315389</v>
      </c>
      <c r="O684" t="str">
        <f t="shared" si="32"/>
        <v>&lt;Entry outShaftSpeed="3861.00" torque="675.00" electricPower="315389.00"/&gt;</v>
      </c>
    </row>
    <row r="685" spans="1:15" x14ac:dyDescent="0.25">
      <c r="A685" s="1">
        <v>3861</v>
      </c>
      <c r="B685">
        <v>720</v>
      </c>
      <c r="C685">
        <v>336.91399999999999</v>
      </c>
      <c r="L685">
        <f t="shared" si="30"/>
        <v>3861</v>
      </c>
      <c r="M685">
        <f t="shared" si="30"/>
        <v>720</v>
      </c>
      <c r="N685">
        <f t="shared" si="31"/>
        <v>336914</v>
      </c>
      <c r="O685" t="str">
        <f t="shared" si="32"/>
        <v>&lt;Entry outShaftSpeed="3861.00" torque="720.00" electricPower="336914.00"/&gt;</v>
      </c>
    </row>
    <row r="686" spans="1:15" x14ac:dyDescent="0.25">
      <c r="A686" s="1">
        <v>3861</v>
      </c>
      <c r="B686">
        <v>765</v>
      </c>
      <c r="C686">
        <v>358.60300000000001</v>
      </c>
      <c r="L686">
        <f t="shared" si="30"/>
        <v>3861</v>
      </c>
      <c r="M686">
        <f t="shared" si="30"/>
        <v>765</v>
      </c>
      <c r="N686">
        <f t="shared" si="31"/>
        <v>358603</v>
      </c>
      <c r="O686" t="str">
        <f t="shared" si="32"/>
        <v>&lt;Entry outShaftSpeed="3861.00" torque="765.00" electricPower="358603.00"/&gt;</v>
      </c>
    </row>
    <row r="687" spans="1:15" x14ac:dyDescent="0.25">
      <c r="A687" s="1">
        <v>3861</v>
      </c>
      <c r="B687">
        <v>810</v>
      </c>
      <c r="C687">
        <v>380.45400000000001</v>
      </c>
      <c r="L687">
        <f t="shared" si="30"/>
        <v>3861</v>
      </c>
      <c r="M687">
        <f t="shared" si="30"/>
        <v>810</v>
      </c>
      <c r="N687">
        <f t="shared" si="31"/>
        <v>380454</v>
      </c>
      <c r="O687" t="str">
        <f t="shared" si="32"/>
        <v>&lt;Entry outShaftSpeed="3861.00" torque="810.00" electricPower="380454.00"/&gt;</v>
      </c>
    </row>
    <row r="688" spans="1:15" x14ac:dyDescent="0.25">
      <c r="A688" s="1">
        <v>3861</v>
      </c>
      <c r="B688">
        <v>855</v>
      </c>
      <c r="C688">
        <v>402.46800000000002</v>
      </c>
      <c r="L688">
        <f t="shared" si="30"/>
        <v>3861</v>
      </c>
      <c r="M688">
        <f t="shared" si="30"/>
        <v>855</v>
      </c>
      <c r="N688">
        <f t="shared" si="31"/>
        <v>402468</v>
      </c>
      <c r="O688" t="str">
        <f t="shared" si="32"/>
        <v>&lt;Entry outShaftSpeed="3861.00" torque="855.00" electricPower="402468.00"/&gt;</v>
      </c>
    </row>
    <row r="689" spans="1:15" x14ac:dyDescent="0.25">
      <c r="A689" s="1">
        <v>3861</v>
      </c>
      <c r="B689">
        <v>900</v>
      </c>
      <c r="C689">
        <v>424.64499999999998</v>
      </c>
      <c r="L689">
        <f t="shared" si="30"/>
        <v>3861</v>
      </c>
      <c r="M689">
        <f t="shared" si="30"/>
        <v>900</v>
      </c>
      <c r="N689">
        <f t="shared" si="31"/>
        <v>424645</v>
      </c>
      <c r="O689" t="str">
        <f t="shared" si="32"/>
        <v>&lt;Entry outShaftSpeed="3861.00" torque="900.00" electricPower="424645.00"/&gt;</v>
      </c>
    </row>
    <row r="690" spans="1:15" x14ac:dyDescent="0.25">
      <c r="A690" s="1">
        <v>3861</v>
      </c>
      <c r="B690">
        <v>945</v>
      </c>
      <c r="C690">
        <v>446.98500000000001</v>
      </c>
      <c r="L690">
        <f t="shared" si="30"/>
        <v>3861</v>
      </c>
      <c r="M690">
        <f t="shared" si="30"/>
        <v>945</v>
      </c>
      <c r="N690">
        <f t="shared" si="31"/>
        <v>446985</v>
      </c>
      <c r="O690" t="str">
        <f t="shared" si="32"/>
        <v>&lt;Entry outShaftSpeed="3861.00" torque="945.00" electricPower="446985.00"/&gt;</v>
      </c>
    </row>
    <row r="691" spans="1:15" x14ac:dyDescent="0.25">
      <c r="A691" s="1">
        <v>3861</v>
      </c>
      <c r="B691">
        <v>990</v>
      </c>
      <c r="C691">
        <v>469.488</v>
      </c>
      <c r="L691">
        <f t="shared" si="30"/>
        <v>3861</v>
      </c>
      <c r="M691">
        <f t="shared" si="30"/>
        <v>990</v>
      </c>
      <c r="N691">
        <f t="shared" si="31"/>
        <v>469488</v>
      </c>
      <c r="O691" t="str">
        <f t="shared" si="32"/>
        <v>&lt;Entry outShaftSpeed="3861.00" torque="990.00" electricPower="469488.00"/&gt;</v>
      </c>
    </row>
    <row r="692" spans="1:15" x14ac:dyDescent="0.25">
      <c r="A692" s="1">
        <v>4158</v>
      </c>
      <c r="B692">
        <v>-990</v>
      </c>
      <c r="C692">
        <v>-357.85500000000002</v>
      </c>
      <c r="L692">
        <f t="shared" si="30"/>
        <v>4158</v>
      </c>
      <c r="M692">
        <f t="shared" si="30"/>
        <v>-990</v>
      </c>
      <c r="N692">
        <f t="shared" si="31"/>
        <v>-357855</v>
      </c>
      <c r="O692" t="str">
        <f t="shared" si="32"/>
        <v>&lt;Entry outShaftSpeed="4158.00" torque="-990.00" electricPower="-357855.00"/&gt;</v>
      </c>
    </row>
    <row r="693" spans="1:15" x14ac:dyDescent="0.25">
      <c r="A693" s="1">
        <v>4158</v>
      </c>
      <c r="B693">
        <v>-945</v>
      </c>
      <c r="C693">
        <v>-342.78800000000001</v>
      </c>
      <c r="L693">
        <f t="shared" si="30"/>
        <v>4158</v>
      </c>
      <c r="M693">
        <f t="shared" si="30"/>
        <v>-945</v>
      </c>
      <c r="N693">
        <f t="shared" si="31"/>
        <v>-342788</v>
      </c>
      <c r="O693" t="str">
        <f t="shared" si="32"/>
        <v>&lt;Entry outShaftSpeed="4158.00" torque="-945.00" electricPower="-342788.00"/&gt;</v>
      </c>
    </row>
    <row r="694" spans="1:15" x14ac:dyDescent="0.25">
      <c r="A694" s="1">
        <v>4158</v>
      </c>
      <c r="B694">
        <v>-900</v>
      </c>
      <c r="C694">
        <v>-327.548</v>
      </c>
      <c r="L694">
        <f t="shared" si="30"/>
        <v>4158</v>
      </c>
      <c r="M694">
        <f t="shared" si="30"/>
        <v>-900</v>
      </c>
      <c r="N694">
        <f t="shared" si="31"/>
        <v>-327548</v>
      </c>
      <c r="O694" t="str">
        <f t="shared" si="32"/>
        <v>&lt;Entry outShaftSpeed="4158.00" torque="-900.00" electricPower="-327548.00"/&gt;</v>
      </c>
    </row>
    <row r="695" spans="1:15" x14ac:dyDescent="0.25">
      <c r="A695" s="1">
        <v>4158</v>
      </c>
      <c r="B695">
        <v>-855</v>
      </c>
      <c r="C695">
        <v>-312.13600000000002</v>
      </c>
      <c r="L695">
        <f t="shared" si="30"/>
        <v>4158</v>
      </c>
      <c r="M695">
        <f t="shared" si="30"/>
        <v>-855</v>
      </c>
      <c r="N695">
        <f t="shared" si="31"/>
        <v>-312136</v>
      </c>
      <c r="O695" t="str">
        <f t="shared" si="32"/>
        <v>&lt;Entry outShaftSpeed="4158.00" torque="-855.00" electricPower="-312136.00"/&gt;</v>
      </c>
    </row>
    <row r="696" spans="1:15" x14ac:dyDescent="0.25">
      <c r="A696" s="1">
        <v>4158</v>
      </c>
      <c r="B696">
        <v>-810</v>
      </c>
      <c r="C696">
        <v>-296.55200000000002</v>
      </c>
      <c r="L696">
        <f t="shared" si="30"/>
        <v>4158</v>
      </c>
      <c r="M696">
        <f t="shared" si="30"/>
        <v>-810</v>
      </c>
      <c r="N696">
        <f t="shared" si="31"/>
        <v>-296552</v>
      </c>
      <c r="O696" t="str">
        <f t="shared" si="32"/>
        <v>&lt;Entry outShaftSpeed="4158.00" torque="-810.00" electricPower="-296552.00"/&gt;</v>
      </c>
    </row>
    <row r="697" spans="1:15" x14ac:dyDescent="0.25">
      <c r="A697" s="1">
        <v>4158</v>
      </c>
      <c r="B697">
        <v>-765</v>
      </c>
      <c r="C697">
        <v>-280.79700000000003</v>
      </c>
      <c r="L697">
        <f t="shared" si="30"/>
        <v>4158</v>
      </c>
      <c r="M697">
        <f t="shared" si="30"/>
        <v>-765</v>
      </c>
      <c r="N697">
        <f t="shared" si="31"/>
        <v>-280797</v>
      </c>
      <c r="O697" t="str">
        <f t="shared" si="32"/>
        <v>&lt;Entry outShaftSpeed="4158.00" torque="-765.00" electricPower="-280797.00"/&gt;</v>
      </c>
    </row>
    <row r="698" spans="1:15" x14ac:dyDescent="0.25">
      <c r="A698" s="1">
        <v>4158</v>
      </c>
      <c r="B698">
        <v>-720</v>
      </c>
      <c r="C698">
        <v>-264.86900000000003</v>
      </c>
      <c r="L698">
        <f t="shared" si="30"/>
        <v>4158</v>
      </c>
      <c r="M698">
        <f t="shared" si="30"/>
        <v>-720</v>
      </c>
      <c r="N698">
        <f t="shared" si="31"/>
        <v>-264869</v>
      </c>
      <c r="O698" t="str">
        <f t="shared" si="32"/>
        <v>&lt;Entry outShaftSpeed="4158.00" torque="-720.00" electricPower="-264869.00"/&gt;</v>
      </c>
    </row>
    <row r="699" spans="1:15" x14ac:dyDescent="0.25">
      <c r="A699" s="1">
        <v>4158</v>
      </c>
      <c r="B699">
        <v>-675</v>
      </c>
      <c r="C699">
        <v>-248.76900000000001</v>
      </c>
      <c r="L699">
        <f t="shared" si="30"/>
        <v>4158</v>
      </c>
      <c r="M699">
        <f t="shared" si="30"/>
        <v>-675</v>
      </c>
      <c r="N699">
        <f t="shared" si="31"/>
        <v>-248769</v>
      </c>
      <c r="O699" t="str">
        <f t="shared" si="32"/>
        <v>&lt;Entry outShaftSpeed="4158.00" torque="-675.00" electricPower="-248769.00"/&gt;</v>
      </c>
    </row>
    <row r="700" spans="1:15" x14ac:dyDescent="0.25">
      <c r="A700" s="1">
        <v>4158</v>
      </c>
      <c r="B700">
        <v>-630</v>
      </c>
      <c r="C700">
        <v>-232.49799999999999</v>
      </c>
      <c r="L700">
        <f t="shared" si="30"/>
        <v>4158</v>
      </c>
      <c r="M700">
        <f t="shared" si="30"/>
        <v>-630</v>
      </c>
      <c r="N700">
        <f t="shared" si="31"/>
        <v>-232498</v>
      </c>
      <c r="O700" t="str">
        <f t="shared" si="32"/>
        <v>&lt;Entry outShaftSpeed="4158.00" torque="-630.00" electricPower="-232498.00"/&gt;</v>
      </c>
    </row>
    <row r="701" spans="1:15" x14ac:dyDescent="0.25">
      <c r="A701" s="1">
        <v>4158</v>
      </c>
      <c r="B701">
        <v>-585</v>
      </c>
      <c r="C701">
        <v>-216.054</v>
      </c>
      <c r="L701">
        <f t="shared" si="30"/>
        <v>4158</v>
      </c>
      <c r="M701">
        <f t="shared" si="30"/>
        <v>-585</v>
      </c>
      <c r="N701">
        <f t="shared" si="31"/>
        <v>-216054</v>
      </c>
      <c r="O701" t="str">
        <f t="shared" si="32"/>
        <v>&lt;Entry outShaftSpeed="4158.00" torque="-585.00" electricPower="-216054.00"/&gt;</v>
      </c>
    </row>
    <row r="702" spans="1:15" x14ac:dyDescent="0.25">
      <c r="A702" s="1">
        <v>4158</v>
      </c>
      <c r="B702">
        <v>-540</v>
      </c>
      <c r="C702">
        <v>-199.43899999999999</v>
      </c>
      <c r="L702">
        <f t="shared" si="30"/>
        <v>4158</v>
      </c>
      <c r="M702">
        <f t="shared" si="30"/>
        <v>-540</v>
      </c>
      <c r="N702">
        <f t="shared" si="31"/>
        <v>-199439</v>
      </c>
      <c r="O702" t="str">
        <f t="shared" si="32"/>
        <v>&lt;Entry outShaftSpeed="4158.00" torque="-540.00" electricPower="-199439.00"/&gt;</v>
      </c>
    </row>
    <row r="703" spans="1:15" x14ac:dyDescent="0.25">
      <c r="A703" s="1">
        <v>4158</v>
      </c>
      <c r="B703">
        <v>-495</v>
      </c>
      <c r="C703">
        <v>-182.65100000000001</v>
      </c>
      <c r="L703">
        <f t="shared" si="30"/>
        <v>4158</v>
      </c>
      <c r="M703">
        <f t="shared" si="30"/>
        <v>-495</v>
      </c>
      <c r="N703">
        <f t="shared" si="31"/>
        <v>-182651</v>
      </c>
      <c r="O703" t="str">
        <f t="shared" si="32"/>
        <v>&lt;Entry outShaftSpeed="4158.00" torque="-495.00" electricPower="-182651.00"/&gt;</v>
      </c>
    </row>
    <row r="704" spans="1:15" x14ac:dyDescent="0.25">
      <c r="A704" s="1">
        <v>4158</v>
      </c>
      <c r="B704">
        <v>-450</v>
      </c>
      <c r="C704">
        <v>-165.691</v>
      </c>
      <c r="L704">
        <f t="shared" si="30"/>
        <v>4158</v>
      </c>
      <c r="M704">
        <f t="shared" si="30"/>
        <v>-450</v>
      </c>
      <c r="N704">
        <f t="shared" si="31"/>
        <v>-165691</v>
      </c>
      <c r="O704" t="str">
        <f t="shared" si="32"/>
        <v>&lt;Entry outShaftSpeed="4158.00" torque="-450.00" electricPower="-165691.00"/&gt;</v>
      </c>
    </row>
    <row r="705" spans="1:15" x14ac:dyDescent="0.25">
      <c r="A705" s="1">
        <v>4158</v>
      </c>
      <c r="B705">
        <v>-405</v>
      </c>
      <c r="C705">
        <v>-148.56</v>
      </c>
      <c r="L705">
        <f t="shared" si="30"/>
        <v>4158</v>
      </c>
      <c r="M705">
        <f t="shared" si="30"/>
        <v>-405</v>
      </c>
      <c r="N705">
        <f t="shared" si="31"/>
        <v>-148560</v>
      </c>
      <c r="O705" t="str">
        <f t="shared" si="32"/>
        <v>&lt;Entry outShaftSpeed="4158.00" torque="-405.00" electricPower="-148560.00"/&gt;</v>
      </c>
    </row>
    <row r="706" spans="1:15" x14ac:dyDescent="0.25">
      <c r="A706" s="1">
        <v>4158</v>
      </c>
      <c r="B706">
        <v>-360</v>
      </c>
      <c r="C706">
        <v>-131.256</v>
      </c>
      <c r="L706">
        <f t="shared" si="30"/>
        <v>4158</v>
      </c>
      <c r="M706">
        <f t="shared" si="30"/>
        <v>-360</v>
      </c>
      <c r="N706">
        <f t="shared" si="31"/>
        <v>-131256</v>
      </c>
      <c r="O706" t="str">
        <f t="shared" si="32"/>
        <v>&lt;Entry outShaftSpeed="4158.00" torque="-360.00" electricPower="-131256.00"/&gt;</v>
      </c>
    </row>
    <row r="707" spans="1:15" x14ac:dyDescent="0.25">
      <c r="A707" s="1">
        <v>4158</v>
      </c>
      <c r="B707">
        <v>-315</v>
      </c>
      <c r="C707">
        <v>-113.78100000000001</v>
      </c>
      <c r="L707">
        <f t="shared" ref="L707:M770" si="33">A707</f>
        <v>4158</v>
      </c>
      <c r="M707">
        <f t="shared" si="33"/>
        <v>-315</v>
      </c>
      <c r="N707">
        <f t="shared" ref="N707:N770" si="34">C707*1000</f>
        <v>-113781</v>
      </c>
      <c r="O707" t="str">
        <f t="shared" ref="O707:O770" si="35">"&lt;Entry outShaftSpeed="""&amp;TEXT(ROUND(L707,2),"#0.00")&amp;""" torque=""" &amp; TEXT(ROUND(M707,2),"#0.00") &amp; """ electricPower="""&amp;TEXT(ROUND(N707,2),"#0.00") &amp;  """/&gt;"</f>
        <v>&lt;Entry outShaftSpeed="4158.00" torque="-315.00" electricPower="-113781.00"/&gt;</v>
      </c>
    </row>
    <row r="708" spans="1:15" x14ac:dyDescent="0.25">
      <c r="A708" s="1">
        <v>4158</v>
      </c>
      <c r="B708">
        <v>-270</v>
      </c>
      <c r="C708">
        <v>-96.134</v>
      </c>
      <c r="L708">
        <f t="shared" si="33"/>
        <v>4158</v>
      </c>
      <c r="M708">
        <f t="shared" si="33"/>
        <v>-270</v>
      </c>
      <c r="N708">
        <f t="shared" si="34"/>
        <v>-96134</v>
      </c>
      <c r="O708" t="str">
        <f t="shared" si="35"/>
        <v>&lt;Entry outShaftSpeed="4158.00" torque="-270.00" electricPower="-96134.00"/&gt;</v>
      </c>
    </row>
    <row r="709" spans="1:15" x14ac:dyDescent="0.25">
      <c r="A709" s="1">
        <v>4158</v>
      </c>
      <c r="B709">
        <v>-225</v>
      </c>
      <c r="C709">
        <v>-78.313999999999993</v>
      </c>
      <c r="L709">
        <f t="shared" si="33"/>
        <v>4158</v>
      </c>
      <c r="M709">
        <f t="shared" si="33"/>
        <v>-225</v>
      </c>
      <c r="N709">
        <f t="shared" si="34"/>
        <v>-78314</v>
      </c>
      <c r="O709" t="str">
        <f t="shared" si="35"/>
        <v>&lt;Entry outShaftSpeed="4158.00" torque="-225.00" electricPower="-78314.00"/&gt;</v>
      </c>
    </row>
    <row r="710" spans="1:15" x14ac:dyDescent="0.25">
      <c r="A710" s="1">
        <v>4158</v>
      </c>
      <c r="B710">
        <v>-180</v>
      </c>
      <c r="C710">
        <v>-60.323</v>
      </c>
      <c r="L710">
        <f t="shared" si="33"/>
        <v>4158</v>
      </c>
      <c r="M710">
        <f t="shared" si="33"/>
        <v>-180</v>
      </c>
      <c r="N710">
        <f t="shared" si="34"/>
        <v>-60323</v>
      </c>
      <c r="O710" t="str">
        <f t="shared" si="35"/>
        <v>&lt;Entry outShaftSpeed="4158.00" torque="-180.00" electricPower="-60323.00"/&gt;</v>
      </c>
    </row>
    <row r="711" spans="1:15" x14ac:dyDescent="0.25">
      <c r="A711" s="1">
        <v>4158</v>
      </c>
      <c r="B711">
        <v>-135</v>
      </c>
      <c r="C711">
        <v>-42.158999999999999</v>
      </c>
      <c r="L711">
        <f t="shared" si="33"/>
        <v>4158</v>
      </c>
      <c r="M711">
        <f t="shared" si="33"/>
        <v>-135</v>
      </c>
      <c r="N711">
        <f t="shared" si="34"/>
        <v>-42159</v>
      </c>
      <c r="O711" t="str">
        <f t="shared" si="35"/>
        <v>&lt;Entry outShaftSpeed="4158.00" torque="-135.00" electricPower="-42159.00"/&gt;</v>
      </c>
    </row>
    <row r="712" spans="1:15" x14ac:dyDescent="0.25">
      <c r="A712" s="1">
        <v>4158</v>
      </c>
      <c r="B712">
        <v>-90</v>
      </c>
      <c r="C712">
        <v>-23.824000000000002</v>
      </c>
      <c r="L712">
        <f t="shared" si="33"/>
        <v>4158</v>
      </c>
      <c r="M712">
        <f t="shared" si="33"/>
        <v>-90</v>
      </c>
      <c r="N712">
        <f t="shared" si="34"/>
        <v>-23824</v>
      </c>
      <c r="O712" t="str">
        <f t="shared" si="35"/>
        <v>&lt;Entry outShaftSpeed="4158.00" torque="-90.00" electricPower="-23824.00"/&gt;</v>
      </c>
    </row>
    <row r="713" spans="1:15" x14ac:dyDescent="0.25">
      <c r="A713" s="1">
        <v>4158</v>
      </c>
      <c r="B713">
        <v>-45</v>
      </c>
      <c r="C713">
        <v>-5.3159999999999998</v>
      </c>
      <c r="L713">
        <f t="shared" si="33"/>
        <v>4158</v>
      </c>
      <c r="M713">
        <f t="shared" si="33"/>
        <v>-45</v>
      </c>
      <c r="N713">
        <f t="shared" si="34"/>
        <v>-5316</v>
      </c>
      <c r="O713" t="str">
        <f t="shared" si="35"/>
        <v>&lt;Entry outShaftSpeed="4158.00" torque="-45.00" electricPower="-5316.00"/&gt;</v>
      </c>
    </row>
    <row r="714" spans="1:15" x14ac:dyDescent="0.25">
      <c r="A714" s="1">
        <v>4158</v>
      </c>
      <c r="B714">
        <v>-9</v>
      </c>
      <c r="C714">
        <v>0</v>
      </c>
      <c r="L714">
        <f t="shared" si="33"/>
        <v>4158</v>
      </c>
      <c r="M714">
        <f t="shared" si="33"/>
        <v>-9</v>
      </c>
      <c r="N714">
        <f t="shared" si="34"/>
        <v>0</v>
      </c>
      <c r="O714" t="str">
        <f t="shared" si="35"/>
        <v>&lt;Entry outShaftSpeed="4158.00" torque="-9.00" electricPower="0.00"/&gt;</v>
      </c>
    </row>
    <row r="715" spans="1:15" x14ac:dyDescent="0.25">
      <c r="A715" s="1">
        <v>4158</v>
      </c>
      <c r="B715">
        <v>9</v>
      </c>
      <c r="C715">
        <v>18.594999999999999</v>
      </c>
      <c r="L715">
        <f t="shared" si="33"/>
        <v>4158</v>
      </c>
      <c r="M715">
        <f t="shared" si="33"/>
        <v>9</v>
      </c>
      <c r="N715">
        <f t="shared" si="34"/>
        <v>18595</v>
      </c>
      <c r="O715" t="str">
        <f t="shared" si="35"/>
        <v>&lt;Entry outShaftSpeed="4158.00" torque="9.00" electricPower="18595.00"/&gt;</v>
      </c>
    </row>
    <row r="716" spans="1:15" x14ac:dyDescent="0.25">
      <c r="A716" s="1">
        <v>4158</v>
      </c>
      <c r="B716">
        <v>45</v>
      </c>
      <c r="C716">
        <v>35.052</v>
      </c>
      <c r="L716">
        <f t="shared" si="33"/>
        <v>4158</v>
      </c>
      <c r="M716">
        <f t="shared" si="33"/>
        <v>45</v>
      </c>
      <c r="N716">
        <f t="shared" si="34"/>
        <v>35052</v>
      </c>
      <c r="O716" t="str">
        <f t="shared" si="35"/>
        <v>&lt;Entry outShaftSpeed="4158.00" torque="45.00" electricPower="35052.00"/&gt;</v>
      </c>
    </row>
    <row r="717" spans="1:15" x14ac:dyDescent="0.25">
      <c r="A717" s="1">
        <v>4158</v>
      </c>
      <c r="B717">
        <v>90</v>
      </c>
      <c r="C717">
        <v>55.792000000000002</v>
      </c>
      <c r="L717">
        <f t="shared" si="33"/>
        <v>4158</v>
      </c>
      <c r="M717">
        <f t="shared" si="33"/>
        <v>90</v>
      </c>
      <c r="N717">
        <f t="shared" si="34"/>
        <v>55792</v>
      </c>
      <c r="O717" t="str">
        <f t="shared" si="35"/>
        <v>&lt;Entry outShaftSpeed="4158.00" torque="90.00" electricPower="55792.00"/&gt;</v>
      </c>
    </row>
    <row r="718" spans="1:15" x14ac:dyDescent="0.25">
      <c r="A718" s="1">
        <v>4158</v>
      </c>
      <c r="B718">
        <v>135</v>
      </c>
      <c r="C718">
        <v>76.718000000000004</v>
      </c>
      <c r="L718">
        <f t="shared" si="33"/>
        <v>4158</v>
      </c>
      <c r="M718">
        <f t="shared" si="33"/>
        <v>135</v>
      </c>
      <c r="N718">
        <f t="shared" si="34"/>
        <v>76718</v>
      </c>
      <c r="O718" t="str">
        <f t="shared" si="35"/>
        <v>&lt;Entry outShaftSpeed="4158.00" torque="135.00" electricPower="76718.00"/&gt;</v>
      </c>
    </row>
    <row r="719" spans="1:15" x14ac:dyDescent="0.25">
      <c r="A719" s="1">
        <v>4158</v>
      </c>
      <c r="B719">
        <v>180</v>
      </c>
      <c r="C719">
        <v>97.83</v>
      </c>
      <c r="L719">
        <f t="shared" si="33"/>
        <v>4158</v>
      </c>
      <c r="M719">
        <f t="shared" si="33"/>
        <v>180</v>
      </c>
      <c r="N719">
        <f t="shared" si="34"/>
        <v>97830</v>
      </c>
      <c r="O719" t="str">
        <f t="shared" si="35"/>
        <v>&lt;Entry outShaftSpeed="4158.00" torque="180.00" electricPower="97830.00"/&gt;</v>
      </c>
    </row>
    <row r="720" spans="1:15" x14ac:dyDescent="0.25">
      <c r="A720" s="1">
        <v>4158</v>
      </c>
      <c r="B720">
        <v>225</v>
      </c>
      <c r="C720">
        <v>119.129</v>
      </c>
      <c r="L720">
        <f t="shared" si="33"/>
        <v>4158</v>
      </c>
      <c r="M720">
        <f t="shared" si="33"/>
        <v>225</v>
      </c>
      <c r="N720">
        <f t="shared" si="34"/>
        <v>119129</v>
      </c>
      <c r="O720" t="str">
        <f t="shared" si="35"/>
        <v>&lt;Entry outShaftSpeed="4158.00" torque="225.00" electricPower="119129.00"/&gt;</v>
      </c>
    </row>
    <row r="721" spans="1:15" x14ac:dyDescent="0.25">
      <c r="A721" s="1">
        <v>4158</v>
      </c>
      <c r="B721">
        <v>270</v>
      </c>
      <c r="C721">
        <v>140.61500000000001</v>
      </c>
      <c r="L721">
        <f t="shared" si="33"/>
        <v>4158</v>
      </c>
      <c r="M721">
        <f t="shared" si="33"/>
        <v>270</v>
      </c>
      <c r="N721">
        <f t="shared" si="34"/>
        <v>140615</v>
      </c>
      <c r="O721" t="str">
        <f t="shared" si="35"/>
        <v>&lt;Entry outShaftSpeed="4158.00" torque="270.00" electricPower="140615.00"/&gt;</v>
      </c>
    </row>
    <row r="722" spans="1:15" x14ac:dyDescent="0.25">
      <c r="A722" s="1">
        <v>4158</v>
      </c>
      <c r="B722">
        <v>315</v>
      </c>
      <c r="C722">
        <v>162.28700000000001</v>
      </c>
      <c r="L722">
        <f t="shared" si="33"/>
        <v>4158</v>
      </c>
      <c r="M722">
        <f t="shared" si="33"/>
        <v>315</v>
      </c>
      <c r="N722">
        <f t="shared" si="34"/>
        <v>162287</v>
      </c>
      <c r="O722" t="str">
        <f t="shared" si="35"/>
        <v>&lt;Entry outShaftSpeed="4158.00" torque="315.00" electricPower="162287.00"/&gt;</v>
      </c>
    </row>
    <row r="723" spans="1:15" x14ac:dyDescent="0.25">
      <c r="A723" s="1">
        <v>4158</v>
      </c>
      <c r="B723">
        <v>360</v>
      </c>
      <c r="C723">
        <v>184.14599999999999</v>
      </c>
      <c r="L723">
        <f t="shared" si="33"/>
        <v>4158</v>
      </c>
      <c r="M723">
        <f t="shared" si="33"/>
        <v>360</v>
      </c>
      <c r="N723">
        <f t="shared" si="34"/>
        <v>184146</v>
      </c>
      <c r="O723" t="str">
        <f t="shared" si="35"/>
        <v>&lt;Entry outShaftSpeed="4158.00" torque="360.00" electricPower="184146.00"/&gt;</v>
      </c>
    </row>
    <row r="724" spans="1:15" x14ac:dyDescent="0.25">
      <c r="A724" s="1">
        <v>4158</v>
      </c>
      <c r="B724">
        <v>405</v>
      </c>
      <c r="C724">
        <v>206.19200000000001</v>
      </c>
      <c r="L724">
        <f t="shared" si="33"/>
        <v>4158</v>
      </c>
      <c r="M724">
        <f t="shared" si="33"/>
        <v>405</v>
      </c>
      <c r="N724">
        <f t="shared" si="34"/>
        <v>206192</v>
      </c>
      <c r="O724" t="str">
        <f t="shared" si="35"/>
        <v>&lt;Entry outShaftSpeed="4158.00" torque="405.00" electricPower="206192.00"/&gt;</v>
      </c>
    </row>
    <row r="725" spans="1:15" x14ac:dyDescent="0.25">
      <c r="A725" s="1">
        <v>4158</v>
      </c>
      <c r="B725">
        <v>450</v>
      </c>
      <c r="C725">
        <v>228.42400000000001</v>
      </c>
      <c r="L725">
        <f t="shared" si="33"/>
        <v>4158</v>
      </c>
      <c r="M725">
        <f t="shared" si="33"/>
        <v>450</v>
      </c>
      <c r="N725">
        <f t="shared" si="34"/>
        <v>228424</v>
      </c>
      <c r="O725" t="str">
        <f t="shared" si="35"/>
        <v>&lt;Entry outShaftSpeed="4158.00" torque="450.00" electricPower="228424.00"/&gt;</v>
      </c>
    </row>
    <row r="726" spans="1:15" x14ac:dyDescent="0.25">
      <c r="A726" s="1">
        <v>4158</v>
      </c>
      <c r="B726">
        <v>495</v>
      </c>
      <c r="C726">
        <v>250.84299999999999</v>
      </c>
      <c r="L726">
        <f t="shared" si="33"/>
        <v>4158</v>
      </c>
      <c r="M726">
        <f t="shared" si="33"/>
        <v>495</v>
      </c>
      <c r="N726">
        <f t="shared" si="34"/>
        <v>250843</v>
      </c>
      <c r="O726" t="str">
        <f t="shared" si="35"/>
        <v>&lt;Entry outShaftSpeed="4158.00" torque="495.00" electricPower="250843.00"/&gt;</v>
      </c>
    </row>
    <row r="727" spans="1:15" x14ac:dyDescent="0.25">
      <c r="A727" s="1">
        <v>4158</v>
      </c>
      <c r="B727">
        <v>540</v>
      </c>
      <c r="C727">
        <v>273.44799999999998</v>
      </c>
      <c r="L727">
        <f t="shared" si="33"/>
        <v>4158</v>
      </c>
      <c r="M727">
        <f t="shared" si="33"/>
        <v>540</v>
      </c>
      <c r="N727">
        <f t="shared" si="34"/>
        <v>273448</v>
      </c>
      <c r="O727" t="str">
        <f t="shared" si="35"/>
        <v>&lt;Entry outShaftSpeed="4158.00" torque="540.00" electricPower="273448.00"/&gt;</v>
      </c>
    </row>
    <row r="728" spans="1:15" x14ac:dyDescent="0.25">
      <c r="A728" s="1">
        <v>4158</v>
      </c>
      <c r="B728">
        <v>585</v>
      </c>
      <c r="C728">
        <v>296.24</v>
      </c>
      <c r="L728">
        <f t="shared" si="33"/>
        <v>4158</v>
      </c>
      <c r="M728">
        <f t="shared" si="33"/>
        <v>585</v>
      </c>
      <c r="N728">
        <f t="shared" si="34"/>
        <v>296240</v>
      </c>
      <c r="O728" t="str">
        <f t="shared" si="35"/>
        <v>&lt;Entry outShaftSpeed="4158.00" torque="585.00" electricPower="296240.00"/&gt;</v>
      </c>
    </row>
    <row r="729" spans="1:15" x14ac:dyDescent="0.25">
      <c r="A729" s="1">
        <v>4158</v>
      </c>
      <c r="B729">
        <v>630</v>
      </c>
      <c r="C729">
        <v>319.21899999999999</v>
      </c>
      <c r="L729">
        <f t="shared" si="33"/>
        <v>4158</v>
      </c>
      <c r="M729">
        <f t="shared" si="33"/>
        <v>630</v>
      </c>
      <c r="N729">
        <f t="shared" si="34"/>
        <v>319219</v>
      </c>
      <c r="O729" t="str">
        <f t="shared" si="35"/>
        <v>&lt;Entry outShaftSpeed="4158.00" torque="630.00" electricPower="319219.00"/&gt;</v>
      </c>
    </row>
    <row r="730" spans="1:15" x14ac:dyDescent="0.25">
      <c r="A730" s="1">
        <v>4158</v>
      </c>
      <c r="B730">
        <v>675</v>
      </c>
      <c r="C730">
        <v>342.38400000000001</v>
      </c>
      <c r="L730">
        <f t="shared" si="33"/>
        <v>4158</v>
      </c>
      <c r="M730">
        <f t="shared" si="33"/>
        <v>675</v>
      </c>
      <c r="N730">
        <f t="shared" si="34"/>
        <v>342384</v>
      </c>
      <c r="O730" t="str">
        <f t="shared" si="35"/>
        <v>&lt;Entry outShaftSpeed="4158.00" torque="675.00" electricPower="342384.00"/&gt;</v>
      </c>
    </row>
    <row r="731" spans="1:15" x14ac:dyDescent="0.25">
      <c r="A731" s="1">
        <v>4158</v>
      </c>
      <c r="B731">
        <v>720</v>
      </c>
      <c r="C731">
        <v>365.73599999999999</v>
      </c>
      <c r="L731">
        <f t="shared" si="33"/>
        <v>4158</v>
      </c>
      <c r="M731">
        <f t="shared" si="33"/>
        <v>720</v>
      </c>
      <c r="N731">
        <f t="shared" si="34"/>
        <v>365736</v>
      </c>
      <c r="O731" t="str">
        <f t="shared" si="35"/>
        <v>&lt;Entry outShaftSpeed="4158.00" torque="720.00" electricPower="365736.00"/&gt;</v>
      </c>
    </row>
    <row r="732" spans="1:15" x14ac:dyDescent="0.25">
      <c r="A732" s="1">
        <v>4158</v>
      </c>
      <c r="B732">
        <v>765</v>
      </c>
      <c r="C732">
        <v>389.274</v>
      </c>
      <c r="L732">
        <f t="shared" si="33"/>
        <v>4158</v>
      </c>
      <c r="M732">
        <f t="shared" si="33"/>
        <v>765</v>
      </c>
      <c r="N732">
        <f t="shared" si="34"/>
        <v>389274</v>
      </c>
      <c r="O732" t="str">
        <f t="shared" si="35"/>
        <v>&lt;Entry outShaftSpeed="4158.00" torque="765.00" electricPower="389274.00"/&gt;</v>
      </c>
    </row>
    <row r="733" spans="1:15" x14ac:dyDescent="0.25">
      <c r="A733" s="1">
        <v>4158</v>
      </c>
      <c r="B733">
        <v>810</v>
      </c>
      <c r="C733">
        <v>412.99900000000002</v>
      </c>
      <c r="L733">
        <f t="shared" si="33"/>
        <v>4158</v>
      </c>
      <c r="M733">
        <f t="shared" si="33"/>
        <v>810</v>
      </c>
      <c r="N733">
        <f t="shared" si="34"/>
        <v>412999</v>
      </c>
      <c r="O733" t="str">
        <f t="shared" si="35"/>
        <v>&lt;Entry outShaftSpeed="4158.00" torque="810.00" electricPower="412999.00"/&gt;</v>
      </c>
    </row>
    <row r="734" spans="1:15" x14ac:dyDescent="0.25">
      <c r="A734" s="1">
        <v>4158</v>
      </c>
      <c r="B734">
        <v>855</v>
      </c>
      <c r="C734">
        <v>436.911</v>
      </c>
      <c r="L734">
        <f t="shared" si="33"/>
        <v>4158</v>
      </c>
      <c r="M734">
        <f t="shared" si="33"/>
        <v>855</v>
      </c>
      <c r="N734">
        <f t="shared" si="34"/>
        <v>436911</v>
      </c>
      <c r="O734" t="str">
        <f t="shared" si="35"/>
        <v>&lt;Entry outShaftSpeed="4158.00" torque="855.00" electricPower="436911.00"/&gt;</v>
      </c>
    </row>
    <row r="735" spans="1:15" x14ac:dyDescent="0.25">
      <c r="A735" s="1">
        <v>4158</v>
      </c>
      <c r="B735">
        <v>900</v>
      </c>
      <c r="C735">
        <v>461.00900000000001</v>
      </c>
      <c r="L735">
        <f t="shared" si="33"/>
        <v>4158</v>
      </c>
      <c r="M735">
        <f t="shared" si="33"/>
        <v>900</v>
      </c>
      <c r="N735">
        <f t="shared" si="34"/>
        <v>461009</v>
      </c>
      <c r="O735" t="str">
        <f t="shared" si="35"/>
        <v>&lt;Entry outShaftSpeed="4158.00" torque="900.00" electricPower="461009.00"/&gt;</v>
      </c>
    </row>
    <row r="736" spans="1:15" x14ac:dyDescent="0.25">
      <c r="A736" s="1">
        <v>4158</v>
      </c>
      <c r="B736">
        <v>945</v>
      </c>
      <c r="C736">
        <v>485.29399999999998</v>
      </c>
      <c r="L736">
        <f t="shared" si="33"/>
        <v>4158</v>
      </c>
      <c r="M736">
        <f t="shared" si="33"/>
        <v>945</v>
      </c>
      <c r="N736">
        <f t="shared" si="34"/>
        <v>485294</v>
      </c>
      <c r="O736" t="str">
        <f t="shared" si="35"/>
        <v>&lt;Entry outShaftSpeed="4158.00" torque="945.00" electricPower="485294.00"/&gt;</v>
      </c>
    </row>
    <row r="737" spans="1:15" x14ac:dyDescent="0.25">
      <c r="A737" s="1">
        <v>4158</v>
      </c>
      <c r="B737">
        <v>990</v>
      </c>
      <c r="C737">
        <v>509.76600000000002</v>
      </c>
      <c r="L737">
        <f t="shared" si="33"/>
        <v>4158</v>
      </c>
      <c r="M737">
        <f t="shared" si="33"/>
        <v>990</v>
      </c>
      <c r="N737">
        <f t="shared" si="34"/>
        <v>509766</v>
      </c>
      <c r="O737" t="str">
        <f t="shared" si="35"/>
        <v>&lt;Entry outShaftSpeed="4158.00" torque="990.00" electricPower="509766.00"/&gt;</v>
      </c>
    </row>
    <row r="738" spans="1:15" x14ac:dyDescent="0.25">
      <c r="A738" s="1">
        <v>4455</v>
      </c>
      <c r="B738">
        <v>-990</v>
      </c>
      <c r="C738">
        <v>-379.166</v>
      </c>
      <c r="L738">
        <f t="shared" si="33"/>
        <v>4455</v>
      </c>
      <c r="M738">
        <f t="shared" si="33"/>
        <v>-990</v>
      </c>
      <c r="N738">
        <f t="shared" si="34"/>
        <v>-379166</v>
      </c>
      <c r="O738" t="str">
        <f t="shared" si="35"/>
        <v>&lt;Entry outShaftSpeed="4455.00" torque="-990.00" electricPower="-379166.00"/&gt;</v>
      </c>
    </row>
    <row r="739" spans="1:15" x14ac:dyDescent="0.25">
      <c r="A739" s="1">
        <v>4455</v>
      </c>
      <c r="B739">
        <v>-945</v>
      </c>
      <c r="C739">
        <v>-363.26</v>
      </c>
      <c r="L739">
        <f t="shared" si="33"/>
        <v>4455</v>
      </c>
      <c r="M739">
        <f t="shared" si="33"/>
        <v>-945</v>
      </c>
      <c r="N739">
        <f t="shared" si="34"/>
        <v>-363260</v>
      </c>
      <c r="O739" t="str">
        <f t="shared" si="35"/>
        <v>&lt;Entry outShaftSpeed="4455.00" torque="-945.00" electricPower="-363260.00"/&gt;</v>
      </c>
    </row>
    <row r="740" spans="1:15" x14ac:dyDescent="0.25">
      <c r="A740" s="1">
        <v>4455</v>
      </c>
      <c r="B740">
        <v>-900</v>
      </c>
      <c r="C740">
        <v>-347.15800000000002</v>
      </c>
      <c r="L740">
        <f t="shared" si="33"/>
        <v>4455</v>
      </c>
      <c r="M740">
        <f t="shared" si="33"/>
        <v>-900</v>
      </c>
      <c r="N740">
        <f t="shared" si="34"/>
        <v>-347158</v>
      </c>
      <c r="O740" t="str">
        <f t="shared" si="35"/>
        <v>&lt;Entry outShaftSpeed="4455.00" torque="-900.00" electricPower="-347158.00"/&gt;</v>
      </c>
    </row>
    <row r="741" spans="1:15" x14ac:dyDescent="0.25">
      <c r="A741" s="1">
        <v>4455</v>
      </c>
      <c r="B741">
        <v>-855</v>
      </c>
      <c r="C741">
        <v>-330.86200000000002</v>
      </c>
      <c r="L741">
        <f t="shared" si="33"/>
        <v>4455</v>
      </c>
      <c r="M741">
        <f t="shared" si="33"/>
        <v>-855</v>
      </c>
      <c r="N741">
        <f t="shared" si="34"/>
        <v>-330862</v>
      </c>
      <c r="O741" t="str">
        <f t="shared" si="35"/>
        <v>&lt;Entry outShaftSpeed="4455.00" torque="-855.00" electricPower="-330862.00"/&gt;</v>
      </c>
    </row>
    <row r="742" spans="1:15" x14ac:dyDescent="0.25">
      <c r="A742" s="1">
        <v>4455</v>
      </c>
      <c r="B742">
        <v>-810</v>
      </c>
      <c r="C742">
        <v>-314.36900000000003</v>
      </c>
      <c r="L742">
        <f t="shared" si="33"/>
        <v>4455</v>
      </c>
      <c r="M742">
        <f t="shared" si="33"/>
        <v>-810</v>
      </c>
      <c r="N742">
        <f t="shared" si="34"/>
        <v>-314369</v>
      </c>
      <c r="O742" t="str">
        <f t="shared" si="35"/>
        <v>&lt;Entry outShaftSpeed="4455.00" torque="-810.00" electricPower="-314369.00"/&gt;</v>
      </c>
    </row>
    <row r="743" spans="1:15" x14ac:dyDescent="0.25">
      <c r="A743" s="1">
        <v>4455</v>
      </c>
      <c r="B743">
        <v>-765</v>
      </c>
      <c r="C743">
        <v>-297.68099999999998</v>
      </c>
      <c r="L743">
        <f t="shared" si="33"/>
        <v>4455</v>
      </c>
      <c r="M743">
        <f t="shared" si="33"/>
        <v>-765</v>
      </c>
      <c r="N743">
        <f t="shared" si="34"/>
        <v>-297681</v>
      </c>
      <c r="O743" t="str">
        <f t="shared" si="35"/>
        <v>&lt;Entry outShaftSpeed="4455.00" torque="-765.00" electricPower="-297681.00"/&gt;</v>
      </c>
    </row>
    <row r="744" spans="1:15" x14ac:dyDescent="0.25">
      <c r="A744" s="1">
        <v>4455</v>
      </c>
      <c r="B744">
        <v>-720</v>
      </c>
      <c r="C744">
        <v>-280.798</v>
      </c>
      <c r="L744">
        <f t="shared" si="33"/>
        <v>4455</v>
      </c>
      <c r="M744">
        <f t="shared" si="33"/>
        <v>-720</v>
      </c>
      <c r="N744">
        <f t="shared" si="34"/>
        <v>-280798</v>
      </c>
      <c r="O744" t="str">
        <f t="shared" si="35"/>
        <v>&lt;Entry outShaftSpeed="4455.00" torque="-720.00" electricPower="-280798.00"/&gt;</v>
      </c>
    </row>
    <row r="745" spans="1:15" x14ac:dyDescent="0.25">
      <c r="A745" s="1">
        <v>4455</v>
      </c>
      <c r="B745">
        <v>-675</v>
      </c>
      <c r="C745">
        <v>-263.71899999999999</v>
      </c>
      <c r="L745">
        <f t="shared" si="33"/>
        <v>4455</v>
      </c>
      <c r="M745">
        <f t="shared" si="33"/>
        <v>-675</v>
      </c>
      <c r="N745">
        <f t="shared" si="34"/>
        <v>-263719</v>
      </c>
      <c r="O745" t="str">
        <f t="shared" si="35"/>
        <v>&lt;Entry outShaftSpeed="4455.00" torque="-675.00" electricPower="-263719.00"/&gt;</v>
      </c>
    </row>
    <row r="746" spans="1:15" x14ac:dyDescent="0.25">
      <c r="A746" s="1">
        <v>4455</v>
      </c>
      <c r="B746">
        <v>-630</v>
      </c>
      <c r="C746">
        <v>-246.44499999999999</v>
      </c>
      <c r="L746">
        <f t="shared" si="33"/>
        <v>4455</v>
      </c>
      <c r="M746">
        <f t="shared" si="33"/>
        <v>-630</v>
      </c>
      <c r="N746">
        <f t="shared" si="34"/>
        <v>-246445</v>
      </c>
      <c r="O746" t="str">
        <f t="shared" si="35"/>
        <v>&lt;Entry outShaftSpeed="4455.00" torque="-630.00" electricPower="-246445.00"/&gt;</v>
      </c>
    </row>
    <row r="747" spans="1:15" x14ac:dyDescent="0.25">
      <c r="A747" s="1">
        <v>4455</v>
      </c>
      <c r="B747">
        <v>-585</v>
      </c>
      <c r="C747">
        <v>-228.97499999999999</v>
      </c>
      <c r="L747">
        <f t="shared" si="33"/>
        <v>4455</v>
      </c>
      <c r="M747">
        <f t="shared" si="33"/>
        <v>-585</v>
      </c>
      <c r="N747">
        <f t="shared" si="34"/>
        <v>-228975</v>
      </c>
      <c r="O747" t="str">
        <f t="shared" si="35"/>
        <v>&lt;Entry outShaftSpeed="4455.00" torque="-585.00" electricPower="-228975.00"/&gt;</v>
      </c>
    </row>
    <row r="748" spans="1:15" x14ac:dyDescent="0.25">
      <c r="A748" s="1">
        <v>4455</v>
      </c>
      <c r="B748">
        <v>-540</v>
      </c>
      <c r="C748">
        <v>-211.31</v>
      </c>
      <c r="L748">
        <f t="shared" si="33"/>
        <v>4455</v>
      </c>
      <c r="M748">
        <f t="shared" si="33"/>
        <v>-540</v>
      </c>
      <c r="N748">
        <f t="shared" si="34"/>
        <v>-211310</v>
      </c>
      <c r="O748" t="str">
        <f t="shared" si="35"/>
        <v>&lt;Entry outShaftSpeed="4455.00" torque="-540.00" electricPower="-211310.00"/&gt;</v>
      </c>
    </row>
    <row r="749" spans="1:15" x14ac:dyDescent="0.25">
      <c r="A749" s="1">
        <v>4455</v>
      </c>
      <c r="B749">
        <v>-495</v>
      </c>
      <c r="C749">
        <v>-193.44900000000001</v>
      </c>
      <c r="L749">
        <f t="shared" si="33"/>
        <v>4455</v>
      </c>
      <c r="M749">
        <f t="shared" si="33"/>
        <v>-495</v>
      </c>
      <c r="N749">
        <f t="shared" si="34"/>
        <v>-193449</v>
      </c>
      <c r="O749" t="str">
        <f t="shared" si="35"/>
        <v>&lt;Entry outShaftSpeed="4455.00" torque="-495.00" electricPower="-193449.00"/&gt;</v>
      </c>
    </row>
    <row r="750" spans="1:15" x14ac:dyDescent="0.25">
      <c r="A750" s="1">
        <v>4455</v>
      </c>
      <c r="B750">
        <v>-450</v>
      </c>
      <c r="C750">
        <v>-175.393</v>
      </c>
      <c r="L750">
        <f t="shared" si="33"/>
        <v>4455</v>
      </c>
      <c r="M750">
        <f t="shared" si="33"/>
        <v>-450</v>
      </c>
      <c r="N750">
        <f t="shared" si="34"/>
        <v>-175393</v>
      </c>
      <c r="O750" t="str">
        <f t="shared" si="35"/>
        <v>&lt;Entry outShaftSpeed="4455.00" torque="-450.00" electricPower="-175393.00"/&gt;</v>
      </c>
    </row>
    <row r="751" spans="1:15" x14ac:dyDescent="0.25">
      <c r="A751" s="1">
        <v>4455</v>
      </c>
      <c r="B751">
        <v>-405</v>
      </c>
      <c r="C751">
        <v>-157.14099999999999</v>
      </c>
      <c r="L751">
        <f t="shared" si="33"/>
        <v>4455</v>
      </c>
      <c r="M751">
        <f t="shared" si="33"/>
        <v>-405</v>
      </c>
      <c r="N751">
        <f t="shared" si="34"/>
        <v>-157141</v>
      </c>
      <c r="O751" t="str">
        <f t="shared" si="35"/>
        <v>&lt;Entry outShaftSpeed="4455.00" torque="-405.00" electricPower="-157141.00"/&gt;</v>
      </c>
    </row>
    <row r="752" spans="1:15" x14ac:dyDescent="0.25">
      <c r="A752" s="1">
        <v>4455</v>
      </c>
      <c r="B752">
        <v>-360</v>
      </c>
      <c r="C752">
        <v>-138.69399999999999</v>
      </c>
      <c r="L752">
        <f t="shared" si="33"/>
        <v>4455</v>
      </c>
      <c r="M752">
        <f t="shared" si="33"/>
        <v>-360</v>
      </c>
      <c r="N752">
        <f t="shared" si="34"/>
        <v>-138694</v>
      </c>
      <c r="O752" t="str">
        <f t="shared" si="35"/>
        <v>&lt;Entry outShaftSpeed="4455.00" torque="-360.00" electricPower="-138694.00"/&gt;</v>
      </c>
    </row>
    <row r="753" spans="1:15" x14ac:dyDescent="0.25">
      <c r="A753" s="1">
        <v>4455</v>
      </c>
      <c r="B753">
        <v>-315</v>
      </c>
      <c r="C753">
        <v>-120.051</v>
      </c>
      <c r="L753">
        <f t="shared" si="33"/>
        <v>4455</v>
      </c>
      <c r="M753">
        <f t="shared" si="33"/>
        <v>-315</v>
      </c>
      <c r="N753">
        <f t="shared" si="34"/>
        <v>-120051</v>
      </c>
      <c r="O753" t="str">
        <f t="shared" si="35"/>
        <v>&lt;Entry outShaftSpeed="4455.00" torque="-315.00" electricPower="-120051.00"/&gt;</v>
      </c>
    </row>
    <row r="754" spans="1:15" x14ac:dyDescent="0.25">
      <c r="A754" s="1">
        <v>4455</v>
      </c>
      <c r="B754">
        <v>-270</v>
      </c>
      <c r="C754">
        <v>-101.21299999999999</v>
      </c>
      <c r="L754">
        <f t="shared" si="33"/>
        <v>4455</v>
      </c>
      <c r="M754">
        <f t="shared" si="33"/>
        <v>-270</v>
      </c>
      <c r="N754">
        <f t="shared" si="34"/>
        <v>-101213</v>
      </c>
      <c r="O754" t="str">
        <f t="shared" si="35"/>
        <v>&lt;Entry outShaftSpeed="4455.00" torque="-270.00" electricPower="-101213.00"/&gt;</v>
      </c>
    </row>
    <row r="755" spans="1:15" x14ac:dyDescent="0.25">
      <c r="A755" s="1">
        <v>4455</v>
      </c>
      <c r="B755">
        <v>-225</v>
      </c>
      <c r="C755">
        <v>-82.179000000000002</v>
      </c>
      <c r="L755">
        <f t="shared" si="33"/>
        <v>4455</v>
      </c>
      <c r="M755">
        <f t="shared" si="33"/>
        <v>-225</v>
      </c>
      <c r="N755">
        <f t="shared" si="34"/>
        <v>-82179</v>
      </c>
      <c r="O755" t="str">
        <f t="shared" si="35"/>
        <v>&lt;Entry outShaftSpeed="4455.00" torque="-225.00" electricPower="-82179.00"/&gt;</v>
      </c>
    </row>
    <row r="756" spans="1:15" x14ac:dyDescent="0.25">
      <c r="A756" s="1">
        <v>4455</v>
      </c>
      <c r="B756">
        <v>-180</v>
      </c>
      <c r="C756">
        <v>-62.95</v>
      </c>
      <c r="L756">
        <f t="shared" si="33"/>
        <v>4455</v>
      </c>
      <c r="M756">
        <f t="shared" si="33"/>
        <v>-180</v>
      </c>
      <c r="N756">
        <f t="shared" si="34"/>
        <v>-62950</v>
      </c>
      <c r="O756" t="str">
        <f t="shared" si="35"/>
        <v>&lt;Entry outShaftSpeed="4455.00" torque="-180.00" electricPower="-62950.00"/&gt;</v>
      </c>
    </row>
    <row r="757" spans="1:15" x14ac:dyDescent="0.25">
      <c r="A757" s="1">
        <v>4455</v>
      </c>
      <c r="B757">
        <v>-135</v>
      </c>
      <c r="C757">
        <v>-43.524999999999999</v>
      </c>
      <c r="L757">
        <f t="shared" si="33"/>
        <v>4455</v>
      </c>
      <c r="M757">
        <f t="shared" si="33"/>
        <v>-135</v>
      </c>
      <c r="N757">
        <f t="shared" si="34"/>
        <v>-43525</v>
      </c>
      <c r="O757" t="str">
        <f t="shared" si="35"/>
        <v>&lt;Entry outShaftSpeed="4455.00" torque="-135.00" electricPower="-43525.00"/&gt;</v>
      </c>
    </row>
    <row r="758" spans="1:15" x14ac:dyDescent="0.25">
      <c r="A758" s="1">
        <v>4455</v>
      </c>
      <c r="B758">
        <v>-90</v>
      </c>
      <c r="C758">
        <v>-23.905000000000001</v>
      </c>
      <c r="L758">
        <f t="shared" si="33"/>
        <v>4455</v>
      </c>
      <c r="M758">
        <f t="shared" si="33"/>
        <v>-90</v>
      </c>
      <c r="N758">
        <f t="shared" si="34"/>
        <v>-23905</v>
      </c>
      <c r="O758" t="str">
        <f t="shared" si="35"/>
        <v>&lt;Entry outShaftSpeed="4455.00" torque="-90.00" electricPower="-23905.00"/&gt;</v>
      </c>
    </row>
    <row r="759" spans="1:15" x14ac:dyDescent="0.25">
      <c r="A759" s="1">
        <v>4455</v>
      </c>
      <c r="B759">
        <v>-45</v>
      </c>
      <c r="C759">
        <v>-4.09</v>
      </c>
      <c r="L759">
        <f t="shared" si="33"/>
        <v>4455</v>
      </c>
      <c r="M759">
        <f t="shared" si="33"/>
        <v>-45</v>
      </c>
      <c r="N759">
        <f t="shared" si="34"/>
        <v>-4090</v>
      </c>
      <c r="O759" t="str">
        <f t="shared" si="35"/>
        <v>&lt;Entry outShaftSpeed="4455.00" torque="-45.00" electricPower="-4090.00"/&gt;</v>
      </c>
    </row>
    <row r="760" spans="1:15" x14ac:dyDescent="0.25">
      <c r="A760" s="1">
        <v>4455</v>
      </c>
      <c r="B760">
        <v>-9</v>
      </c>
      <c r="C760">
        <v>0</v>
      </c>
      <c r="L760">
        <f t="shared" si="33"/>
        <v>4455</v>
      </c>
      <c r="M760">
        <f t="shared" si="33"/>
        <v>-9</v>
      </c>
      <c r="N760">
        <f t="shared" si="34"/>
        <v>0</v>
      </c>
      <c r="O760" t="str">
        <f t="shared" si="35"/>
        <v>&lt;Entry outShaftSpeed="4455.00" torque="-9.00" electricPower="0.00"/&gt;</v>
      </c>
    </row>
    <row r="761" spans="1:15" x14ac:dyDescent="0.25">
      <c r="A761" s="1">
        <v>4455</v>
      </c>
      <c r="B761">
        <v>9</v>
      </c>
      <c r="C761">
        <v>21.664000000000001</v>
      </c>
      <c r="L761">
        <f t="shared" si="33"/>
        <v>4455</v>
      </c>
      <c r="M761">
        <f t="shared" si="33"/>
        <v>9</v>
      </c>
      <c r="N761">
        <f t="shared" si="34"/>
        <v>21664</v>
      </c>
      <c r="O761" t="str">
        <f t="shared" si="35"/>
        <v>&lt;Entry outShaftSpeed="4455.00" torque="9.00" electricPower="21664.00"/&gt;</v>
      </c>
    </row>
    <row r="762" spans="1:15" x14ac:dyDescent="0.25">
      <c r="A762" s="1">
        <v>4455</v>
      </c>
      <c r="B762">
        <v>45</v>
      </c>
      <c r="C762">
        <v>39.298999999999999</v>
      </c>
      <c r="L762">
        <f t="shared" si="33"/>
        <v>4455</v>
      </c>
      <c r="M762">
        <f t="shared" si="33"/>
        <v>45</v>
      </c>
      <c r="N762">
        <f t="shared" si="34"/>
        <v>39299</v>
      </c>
      <c r="O762" t="str">
        <f t="shared" si="35"/>
        <v>&lt;Entry outShaftSpeed="4455.00" torque="45.00" electricPower="39299.00"/&gt;</v>
      </c>
    </row>
    <row r="763" spans="1:15" x14ac:dyDescent="0.25">
      <c r="A763" s="1">
        <v>4455</v>
      </c>
      <c r="B763">
        <v>90</v>
      </c>
      <c r="C763">
        <v>61.534999999999997</v>
      </c>
      <c r="L763">
        <f t="shared" si="33"/>
        <v>4455</v>
      </c>
      <c r="M763">
        <f t="shared" si="33"/>
        <v>90</v>
      </c>
      <c r="N763">
        <f t="shared" si="34"/>
        <v>61535</v>
      </c>
      <c r="O763" t="str">
        <f t="shared" si="35"/>
        <v>&lt;Entry outShaftSpeed="4455.00" torque="90.00" electricPower="61535.00"/&gt;</v>
      </c>
    </row>
    <row r="764" spans="1:15" x14ac:dyDescent="0.25">
      <c r="A764" s="1">
        <v>4455</v>
      </c>
      <c r="B764">
        <v>135</v>
      </c>
      <c r="C764">
        <v>83.981999999999999</v>
      </c>
      <c r="L764">
        <f t="shared" si="33"/>
        <v>4455</v>
      </c>
      <c r="M764">
        <f t="shared" si="33"/>
        <v>135</v>
      </c>
      <c r="N764">
        <f t="shared" si="34"/>
        <v>83982</v>
      </c>
      <c r="O764" t="str">
        <f t="shared" si="35"/>
        <v>&lt;Entry outShaftSpeed="4455.00" torque="135.00" electricPower="83982.00"/&gt;</v>
      </c>
    </row>
    <row r="765" spans="1:15" x14ac:dyDescent="0.25">
      <c r="A765" s="1">
        <v>4455</v>
      </c>
      <c r="B765">
        <v>180</v>
      </c>
      <c r="C765">
        <v>106.642</v>
      </c>
      <c r="L765">
        <f t="shared" si="33"/>
        <v>4455</v>
      </c>
      <c r="M765">
        <f t="shared" si="33"/>
        <v>180</v>
      </c>
      <c r="N765">
        <f t="shared" si="34"/>
        <v>106642</v>
      </c>
      <c r="O765" t="str">
        <f t="shared" si="35"/>
        <v>&lt;Entry outShaftSpeed="4455.00" torque="180.00" electricPower="106642.00"/&gt;</v>
      </c>
    </row>
    <row r="766" spans="1:15" x14ac:dyDescent="0.25">
      <c r="A766" s="1">
        <v>4455</v>
      </c>
      <c r="B766">
        <v>225</v>
      </c>
      <c r="C766">
        <v>129.51400000000001</v>
      </c>
      <c r="L766">
        <f t="shared" si="33"/>
        <v>4455</v>
      </c>
      <c r="M766">
        <f t="shared" si="33"/>
        <v>225</v>
      </c>
      <c r="N766">
        <f t="shared" si="34"/>
        <v>129514.00000000001</v>
      </c>
      <c r="O766" t="str">
        <f t="shared" si="35"/>
        <v>&lt;Entry outShaftSpeed="4455.00" torque="225.00" electricPower="129514.00"/&gt;</v>
      </c>
    </row>
    <row r="767" spans="1:15" x14ac:dyDescent="0.25">
      <c r="A767" s="1">
        <v>4455</v>
      </c>
      <c r="B767">
        <v>270</v>
      </c>
      <c r="C767">
        <v>152.59800000000001</v>
      </c>
      <c r="L767">
        <f t="shared" si="33"/>
        <v>4455</v>
      </c>
      <c r="M767">
        <f t="shared" si="33"/>
        <v>270</v>
      </c>
      <c r="N767">
        <f t="shared" si="34"/>
        <v>152598</v>
      </c>
      <c r="O767" t="str">
        <f t="shared" si="35"/>
        <v>&lt;Entry outShaftSpeed="4455.00" torque="270.00" electricPower="152598.00"/&gt;</v>
      </c>
    </row>
    <row r="768" spans="1:15" x14ac:dyDescent="0.25">
      <c r="A768" s="1">
        <v>4455</v>
      </c>
      <c r="B768">
        <v>315</v>
      </c>
      <c r="C768">
        <v>175.89400000000001</v>
      </c>
      <c r="L768">
        <f t="shared" si="33"/>
        <v>4455</v>
      </c>
      <c r="M768">
        <f t="shared" si="33"/>
        <v>315</v>
      </c>
      <c r="N768">
        <f t="shared" si="34"/>
        <v>175894</v>
      </c>
      <c r="O768" t="str">
        <f t="shared" si="35"/>
        <v>&lt;Entry outShaftSpeed="4455.00" torque="315.00" electricPower="175894.00"/&gt;</v>
      </c>
    </row>
    <row r="769" spans="1:15" x14ac:dyDescent="0.25">
      <c r="A769" s="1">
        <v>4455</v>
      </c>
      <c r="B769">
        <v>360</v>
      </c>
      <c r="C769">
        <v>199.40199999999999</v>
      </c>
      <c r="L769">
        <f t="shared" si="33"/>
        <v>4455</v>
      </c>
      <c r="M769">
        <f t="shared" si="33"/>
        <v>360</v>
      </c>
      <c r="N769">
        <f t="shared" si="34"/>
        <v>199402</v>
      </c>
      <c r="O769" t="str">
        <f t="shared" si="35"/>
        <v>&lt;Entry outShaftSpeed="4455.00" torque="360.00" electricPower="199402.00"/&gt;</v>
      </c>
    </row>
    <row r="770" spans="1:15" x14ac:dyDescent="0.25">
      <c r="A770" s="1">
        <v>4455</v>
      </c>
      <c r="B770">
        <v>405</v>
      </c>
      <c r="C770">
        <v>223.12200000000001</v>
      </c>
      <c r="L770">
        <f t="shared" si="33"/>
        <v>4455</v>
      </c>
      <c r="M770">
        <f t="shared" si="33"/>
        <v>405</v>
      </c>
      <c r="N770">
        <f t="shared" si="34"/>
        <v>223122</v>
      </c>
      <c r="O770" t="str">
        <f t="shared" si="35"/>
        <v>&lt;Entry outShaftSpeed="4455.00" torque="405.00" electricPower="223122.00"/&gt;</v>
      </c>
    </row>
    <row r="771" spans="1:15" x14ac:dyDescent="0.25">
      <c r="A771" s="1">
        <v>4455</v>
      </c>
      <c r="B771">
        <v>450</v>
      </c>
      <c r="C771">
        <v>247.05500000000001</v>
      </c>
      <c r="L771">
        <f t="shared" ref="L771:M834" si="36">A771</f>
        <v>4455</v>
      </c>
      <c r="M771">
        <f t="shared" si="36"/>
        <v>450</v>
      </c>
      <c r="N771">
        <f t="shared" ref="N771:N834" si="37">C771*1000</f>
        <v>247055</v>
      </c>
      <c r="O771" t="str">
        <f t="shared" ref="O771:O834" si="38">"&lt;Entry outShaftSpeed="""&amp;TEXT(ROUND(L771,2),"#0.00")&amp;""" torque=""" &amp; TEXT(ROUND(M771,2),"#0.00") &amp; """ electricPower="""&amp;TEXT(ROUND(N771,2),"#0.00") &amp;  """/&gt;"</f>
        <v>&lt;Entry outShaftSpeed="4455.00" torque="450.00" electricPower="247055.00"/&gt;</v>
      </c>
    </row>
    <row r="772" spans="1:15" x14ac:dyDescent="0.25">
      <c r="A772" s="1">
        <v>4455</v>
      </c>
      <c r="B772">
        <v>495</v>
      </c>
      <c r="C772">
        <v>271.2</v>
      </c>
      <c r="L772">
        <f t="shared" si="36"/>
        <v>4455</v>
      </c>
      <c r="M772">
        <f t="shared" si="36"/>
        <v>495</v>
      </c>
      <c r="N772">
        <f t="shared" si="37"/>
        <v>271200</v>
      </c>
      <c r="O772" t="str">
        <f t="shared" si="38"/>
        <v>&lt;Entry outShaftSpeed="4455.00" torque="495.00" electricPower="271200.00"/&gt;</v>
      </c>
    </row>
    <row r="773" spans="1:15" x14ac:dyDescent="0.25">
      <c r="A773" s="1">
        <v>4455</v>
      </c>
      <c r="B773">
        <v>540</v>
      </c>
      <c r="C773">
        <v>295.55599999999998</v>
      </c>
      <c r="L773">
        <f t="shared" si="36"/>
        <v>4455</v>
      </c>
      <c r="M773">
        <f t="shared" si="36"/>
        <v>540</v>
      </c>
      <c r="N773">
        <f t="shared" si="37"/>
        <v>295556</v>
      </c>
      <c r="O773" t="str">
        <f t="shared" si="38"/>
        <v>&lt;Entry outShaftSpeed="4455.00" torque="540.00" electricPower="295556.00"/&gt;</v>
      </c>
    </row>
    <row r="774" spans="1:15" x14ac:dyDescent="0.25">
      <c r="A774" s="1">
        <v>4455</v>
      </c>
      <c r="B774">
        <v>585</v>
      </c>
      <c r="C774">
        <v>320.125</v>
      </c>
      <c r="L774">
        <f t="shared" si="36"/>
        <v>4455</v>
      </c>
      <c r="M774">
        <f t="shared" si="36"/>
        <v>585</v>
      </c>
      <c r="N774">
        <f t="shared" si="37"/>
        <v>320125</v>
      </c>
      <c r="O774" t="str">
        <f t="shared" si="38"/>
        <v>&lt;Entry outShaftSpeed="4455.00" torque="585.00" electricPower="320125.00"/&gt;</v>
      </c>
    </row>
    <row r="775" spans="1:15" x14ac:dyDescent="0.25">
      <c r="A775" s="1">
        <v>4455</v>
      </c>
      <c r="B775">
        <v>630</v>
      </c>
      <c r="C775">
        <v>344.90600000000001</v>
      </c>
      <c r="L775">
        <f t="shared" si="36"/>
        <v>4455</v>
      </c>
      <c r="M775">
        <f t="shared" si="36"/>
        <v>630</v>
      </c>
      <c r="N775">
        <f t="shared" si="37"/>
        <v>344906</v>
      </c>
      <c r="O775" t="str">
        <f t="shared" si="38"/>
        <v>&lt;Entry outShaftSpeed="4455.00" torque="630.00" electricPower="344906.00"/&gt;</v>
      </c>
    </row>
    <row r="776" spans="1:15" x14ac:dyDescent="0.25">
      <c r="A776" s="1">
        <v>4455</v>
      </c>
      <c r="B776">
        <v>675</v>
      </c>
      <c r="C776">
        <v>369.899</v>
      </c>
      <c r="L776">
        <f t="shared" si="36"/>
        <v>4455</v>
      </c>
      <c r="M776">
        <f t="shared" si="36"/>
        <v>675</v>
      </c>
      <c r="N776">
        <f t="shared" si="37"/>
        <v>369899</v>
      </c>
      <c r="O776" t="str">
        <f t="shared" si="38"/>
        <v>&lt;Entry outShaftSpeed="4455.00" torque="675.00" electricPower="369899.00"/&gt;</v>
      </c>
    </row>
    <row r="777" spans="1:15" x14ac:dyDescent="0.25">
      <c r="A777" s="1">
        <v>4455</v>
      </c>
      <c r="B777">
        <v>720</v>
      </c>
      <c r="C777">
        <v>395.10399999999998</v>
      </c>
      <c r="L777">
        <f t="shared" si="36"/>
        <v>4455</v>
      </c>
      <c r="M777">
        <f t="shared" si="36"/>
        <v>720</v>
      </c>
      <c r="N777">
        <f t="shared" si="37"/>
        <v>395104</v>
      </c>
      <c r="O777" t="str">
        <f t="shared" si="38"/>
        <v>&lt;Entry outShaftSpeed="4455.00" torque="720.00" electricPower="395104.00"/&gt;</v>
      </c>
    </row>
    <row r="778" spans="1:15" x14ac:dyDescent="0.25">
      <c r="A778" s="1">
        <v>4455</v>
      </c>
      <c r="B778">
        <v>765</v>
      </c>
      <c r="C778">
        <v>420.52199999999999</v>
      </c>
      <c r="L778">
        <f t="shared" si="36"/>
        <v>4455</v>
      </c>
      <c r="M778">
        <f t="shared" si="36"/>
        <v>765</v>
      </c>
      <c r="N778">
        <f t="shared" si="37"/>
        <v>420522</v>
      </c>
      <c r="O778" t="str">
        <f t="shared" si="38"/>
        <v>&lt;Entry outShaftSpeed="4455.00" torque="765.00" electricPower="420522.00"/&gt;</v>
      </c>
    </row>
    <row r="779" spans="1:15" x14ac:dyDescent="0.25">
      <c r="A779" s="1">
        <v>4455</v>
      </c>
      <c r="B779">
        <v>810</v>
      </c>
      <c r="C779">
        <v>446.15100000000001</v>
      </c>
      <c r="L779">
        <f t="shared" si="36"/>
        <v>4455</v>
      </c>
      <c r="M779">
        <f t="shared" si="36"/>
        <v>810</v>
      </c>
      <c r="N779">
        <f t="shared" si="37"/>
        <v>446151</v>
      </c>
      <c r="O779" t="str">
        <f t="shared" si="38"/>
        <v>&lt;Entry outShaftSpeed="4455.00" torque="810.00" electricPower="446151.00"/&gt;</v>
      </c>
    </row>
    <row r="780" spans="1:15" x14ac:dyDescent="0.25">
      <c r="A780" s="1">
        <v>4455</v>
      </c>
      <c r="B780">
        <v>855</v>
      </c>
      <c r="C780">
        <v>471.99299999999999</v>
      </c>
      <c r="L780">
        <f t="shared" si="36"/>
        <v>4455</v>
      </c>
      <c r="M780">
        <f t="shared" si="36"/>
        <v>855</v>
      </c>
      <c r="N780">
        <f t="shared" si="37"/>
        <v>471993</v>
      </c>
      <c r="O780" t="str">
        <f t="shared" si="38"/>
        <v>&lt;Entry outShaftSpeed="4455.00" torque="855.00" electricPower="471993.00"/&gt;</v>
      </c>
    </row>
    <row r="781" spans="1:15" x14ac:dyDescent="0.25">
      <c r="A781" s="1">
        <v>4455</v>
      </c>
      <c r="B781">
        <v>900</v>
      </c>
      <c r="C781">
        <v>498.04599999999999</v>
      </c>
      <c r="L781">
        <f t="shared" si="36"/>
        <v>4455</v>
      </c>
      <c r="M781">
        <f t="shared" si="36"/>
        <v>900</v>
      </c>
      <c r="N781">
        <f t="shared" si="37"/>
        <v>498046</v>
      </c>
      <c r="O781" t="str">
        <f t="shared" si="38"/>
        <v>&lt;Entry outShaftSpeed="4455.00" torque="900.00" electricPower="498046.00"/&gt;</v>
      </c>
    </row>
    <row r="782" spans="1:15" x14ac:dyDescent="0.25">
      <c r="A782" s="1">
        <v>4455</v>
      </c>
      <c r="B782">
        <v>945</v>
      </c>
      <c r="C782">
        <v>524.31200000000001</v>
      </c>
      <c r="L782">
        <f t="shared" si="36"/>
        <v>4455</v>
      </c>
      <c r="M782">
        <f t="shared" si="36"/>
        <v>945</v>
      </c>
      <c r="N782">
        <f t="shared" si="37"/>
        <v>524312</v>
      </c>
      <c r="O782" t="str">
        <f t="shared" si="38"/>
        <v>&lt;Entry outShaftSpeed="4455.00" torque="945.00" electricPower="524312.00"/&gt;</v>
      </c>
    </row>
    <row r="783" spans="1:15" x14ac:dyDescent="0.25">
      <c r="A783" s="1">
        <v>4455</v>
      </c>
      <c r="B783">
        <v>990</v>
      </c>
      <c r="C783">
        <v>550.79</v>
      </c>
      <c r="L783">
        <f t="shared" si="36"/>
        <v>4455</v>
      </c>
      <c r="M783">
        <f t="shared" si="36"/>
        <v>990</v>
      </c>
      <c r="N783">
        <f t="shared" si="37"/>
        <v>550790</v>
      </c>
      <c r="O783" t="str">
        <f t="shared" si="38"/>
        <v>&lt;Entry outShaftSpeed="4455.00" torque="990.00" electricPower="550790.00"/&gt;</v>
      </c>
    </row>
    <row r="784" spans="1:15" x14ac:dyDescent="0.25">
      <c r="A784" s="1">
        <v>4752</v>
      </c>
      <c r="B784">
        <v>-990</v>
      </c>
      <c r="C784">
        <v>-399.76900000000001</v>
      </c>
      <c r="L784">
        <f t="shared" si="36"/>
        <v>4752</v>
      </c>
      <c r="M784">
        <f t="shared" si="36"/>
        <v>-990</v>
      </c>
      <c r="N784">
        <f t="shared" si="37"/>
        <v>-399769</v>
      </c>
      <c r="O784" t="str">
        <f t="shared" si="38"/>
        <v>&lt;Entry outShaftSpeed="4752.00" torque="-990.00" electricPower="-399769.00"/&gt;</v>
      </c>
    </row>
    <row r="785" spans="1:15" x14ac:dyDescent="0.25">
      <c r="A785" s="1">
        <v>4752</v>
      </c>
      <c r="B785">
        <v>-945</v>
      </c>
      <c r="C785">
        <v>-383.05900000000003</v>
      </c>
      <c r="L785">
        <f t="shared" si="36"/>
        <v>4752</v>
      </c>
      <c r="M785">
        <f t="shared" si="36"/>
        <v>-945</v>
      </c>
      <c r="N785">
        <f t="shared" si="37"/>
        <v>-383059</v>
      </c>
      <c r="O785" t="str">
        <f t="shared" si="38"/>
        <v>&lt;Entry outShaftSpeed="4752.00" torque="-945.00" electricPower="-383059.00"/&gt;</v>
      </c>
    </row>
    <row r="786" spans="1:15" x14ac:dyDescent="0.25">
      <c r="A786" s="1">
        <v>4752</v>
      </c>
      <c r="B786">
        <v>-900</v>
      </c>
      <c r="C786">
        <v>-366.12900000000002</v>
      </c>
      <c r="L786">
        <f t="shared" si="36"/>
        <v>4752</v>
      </c>
      <c r="M786">
        <f t="shared" si="36"/>
        <v>-900</v>
      </c>
      <c r="N786">
        <f t="shared" si="37"/>
        <v>-366129</v>
      </c>
      <c r="O786" t="str">
        <f t="shared" si="38"/>
        <v>&lt;Entry outShaftSpeed="4752.00" torque="-900.00" electricPower="-366129.00"/&gt;</v>
      </c>
    </row>
    <row r="787" spans="1:15" x14ac:dyDescent="0.25">
      <c r="A787" s="1">
        <v>4752</v>
      </c>
      <c r="B787">
        <v>-855</v>
      </c>
      <c r="C787">
        <v>-348.97899999999998</v>
      </c>
      <c r="L787">
        <f t="shared" si="36"/>
        <v>4752</v>
      </c>
      <c r="M787">
        <f t="shared" si="36"/>
        <v>-855</v>
      </c>
      <c r="N787">
        <f t="shared" si="37"/>
        <v>-348979</v>
      </c>
      <c r="O787" t="str">
        <f t="shared" si="38"/>
        <v>&lt;Entry outShaftSpeed="4752.00" torque="-855.00" electricPower="-348979.00"/&gt;</v>
      </c>
    </row>
    <row r="788" spans="1:15" x14ac:dyDescent="0.25">
      <c r="A788" s="1">
        <v>4752</v>
      </c>
      <c r="B788">
        <v>-810</v>
      </c>
      <c r="C788">
        <v>-331.608</v>
      </c>
      <c r="L788">
        <f t="shared" si="36"/>
        <v>4752</v>
      </c>
      <c r="M788">
        <f t="shared" si="36"/>
        <v>-810</v>
      </c>
      <c r="N788">
        <f t="shared" si="37"/>
        <v>-331608</v>
      </c>
      <c r="O788" t="str">
        <f t="shared" si="38"/>
        <v>&lt;Entry outShaftSpeed="4752.00" torque="-810.00" electricPower="-331608.00"/&gt;</v>
      </c>
    </row>
    <row r="789" spans="1:15" x14ac:dyDescent="0.25">
      <c r="A789" s="1">
        <v>4752</v>
      </c>
      <c r="B789">
        <v>-765</v>
      </c>
      <c r="C789">
        <v>-314.01600000000002</v>
      </c>
      <c r="L789">
        <f t="shared" si="36"/>
        <v>4752</v>
      </c>
      <c r="M789">
        <f t="shared" si="36"/>
        <v>-765</v>
      </c>
      <c r="N789">
        <f t="shared" si="37"/>
        <v>-314016</v>
      </c>
      <c r="O789" t="str">
        <f t="shared" si="38"/>
        <v>&lt;Entry outShaftSpeed="4752.00" torque="-765.00" electricPower="-314016.00"/&gt;</v>
      </c>
    </row>
    <row r="790" spans="1:15" x14ac:dyDescent="0.25">
      <c r="A790" s="1">
        <v>4752</v>
      </c>
      <c r="B790">
        <v>-720</v>
      </c>
      <c r="C790">
        <v>-296.20400000000001</v>
      </c>
      <c r="L790">
        <f t="shared" si="36"/>
        <v>4752</v>
      </c>
      <c r="M790">
        <f t="shared" si="36"/>
        <v>-720</v>
      </c>
      <c r="N790">
        <f t="shared" si="37"/>
        <v>-296204</v>
      </c>
      <c r="O790" t="str">
        <f t="shared" si="38"/>
        <v>&lt;Entry outShaftSpeed="4752.00" torque="-720.00" electricPower="-296204.00"/&gt;</v>
      </c>
    </row>
    <row r="791" spans="1:15" x14ac:dyDescent="0.25">
      <c r="A791" s="1">
        <v>4752</v>
      </c>
      <c r="B791">
        <v>-675</v>
      </c>
      <c r="C791">
        <v>-278.17099999999999</v>
      </c>
      <c r="L791">
        <f t="shared" si="36"/>
        <v>4752</v>
      </c>
      <c r="M791">
        <f t="shared" si="36"/>
        <v>-675</v>
      </c>
      <c r="N791">
        <f t="shared" si="37"/>
        <v>-278171</v>
      </c>
      <c r="O791" t="str">
        <f t="shared" si="38"/>
        <v>&lt;Entry outShaftSpeed="4752.00" torque="-675.00" electricPower="-278171.00"/&gt;</v>
      </c>
    </row>
    <row r="792" spans="1:15" x14ac:dyDescent="0.25">
      <c r="A792" s="1">
        <v>4752</v>
      </c>
      <c r="B792">
        <v>-630</v>
      </c>
      <c r="C792">
        <v>-259.91699999999997</v>
      </c>
      <c r="L792">
        <f t="shared" si="36"/>
        <v>4752</v>
      </c>
      <c r="M792">
        <f t="shared" si="36"/>
        <v>-630</v>
      </c>
      <c r="N792">
        <f t="shared" si="37"/>
        <v>-259916.99999999997</v>
      </c>
      <c r="O792" t="str">
        <f t="shared" si="38"/>
        <v>&lt;Entry outShaftSpeed="4752.00" torque="-630.00" electricPower="-259917.00"/&gt;</v>
      </c>
    </row>
    <row r="793" spans="1:15" x14ac:dyDescent="0.25">
      <c r="A793" s="1">
        <v>4752</v>
      </c>
      <c r="B793">
        <v>-585</v>
      </c>
      <c r="C793">
        <v>-241.44300000000001</v>
      </c>
      <c r="L793">
        <f t="shared" si="36"/>
        <v>4752</v>
      </c>
      <c r="M793">
        <f t="shared" si="36"/>
        <v>-585</v>
      </c>
      <c r="N793">
        <f t="shared" si="37"/>
        <v>-241443</v>
      </c>
      <c r="O793" t="str">
        <f t="shared" si="38"/>
        <v>&lt;Entry outShaftSpeed="4752.00" torque="-585.00" electricPower="-241443.00"/&gt;</v>
      </c>
    </row>
    <row r="794" spans="1:15" x14ac:dyDescent="0.25">
      <c r="A794" s="1">
        <v>4752</v>
      </c>
      <c r="B794">
        <v>-540</v>
      </c>
      <c r="C794">
        <v>-222.74799999999999</v>
      </c>
      <c r="L794">
        <f t="shared" si="36"/>
        <v>4752</v>
      </c>
      <c r="M794">
        <f t="shared" si="36"/>
        <v>-540</v>
      </c>
      <c r="N794">
        <f t="shared" si="37"/>
        <v>-222748</v>
      </c>
      <c r="O794" t="str">
        <f t="shared" si="38"/>
        <v>&lt;Entry outShaftSpeed="4752.00" torque="-540.00" electricPower="-222748.00"/&gt;</v>
      </c>
    </row>
    <row r="795" spans="1:15" x14ac:dyDescent="0.25">
      <c r="A795" s="1">
        <v>4752</v>
      </c>
      <c r="B795">
        <v>-495</v>
      </c>
      <c r="C795">
        <v>-203.833</v>
      </c>
      <c r="L795">
        <f t="shared" si="36"/>
        <v>4752</v>
      </c>
      <c r="M795">
        <f t="shared" si="36"/>
        <v>-495</v>
      </c>
      <c r="N795">
        <f t="shared" si="37"/>
        <v>-203833</v>
      </c>
      <c r="O795" t="str">
        <f t="shared" si="38"/>
        <v>&lt;Entry outShaftSpeed="4752.00" torque="-495.00" electricPower="-203833.00"/&gt;</v>
      </c>
    </row>
    <row r="796" spans="1:15" x14ac:dyDescent="0.25">
      <c r="A796" s="1">
        <v>4752</v>
      </c>
      <c r="B796">
        <v>-450</v>
      </c>
      <c r="C796">
        <v>-184.697</v>
      </c>
      <c r="L796">
        <f t="shared" si="36"/>
        <v>4752</v>
      </c>
      <c r="M796">
        <f t="shared" si="36"/>
        <v>-450</v>
      </c>
      <c r="N796">
        <f t="shared" si="37"/>
        <v>-184697</v>
      </c>
      <c r="O796" t="str">
        <f t="shared" si="38"/>
        <v>&lt;Entry outShaftSpeed="4752.00" torque="-450.00" electricPower="-184697.00"/&gt;</v>
      </c>
    </row>
    <row r="797" spans="1:15" x14ac:dyDescent="0.25">
      <c r="A797" s="1">
        <v>4752</v>
      </c>
      <c r="B797">
        <v>-405</v>
      </c>
      <c r="C797">
        <v>-165.34</v>
      </c>
      <c r="L797">
        <f t="shared" si="36"/>
        <v>4752</v>
      </c>
      <c r="M797">
        <f t="shared" si="36"/>
        <v>-405</v>
      </c>
      <c r="N797">
        <f t="shared" si="37"/>
        <v>-165340</v>
      </c>
      <c r="O797" t="str">
        <f t="shared" si="38"/>
        <v>&lt;Entry outShaftSpeed="4752.00" torque="-405.00" electricPower="-165340.00"/&gt;</v>
      </c>
    </row>
    <row r="798" spans="1:15" x14ac:dyDescent="0.25">
      <c r="A798" s="1">
        <v>4752</v>
      </c>
      <c r="B798">
        <v>-360</v>
      </c>
      <c r="C798">
        <v>-145.76300000000001</v>
      </c>
      <c r="L798">
        <f t="shared" si="36"/>
        <v>4752</v>
      </c>
      <c r="M798">
        <f t="shared" si="36"/>
        <v>-360</v>
      </c>
      <c r="N798">
        <f t="shared" si="37"/>
        <v>-145763</v>
      </c>
      <c r="O798" t="str">
        <f t="shared" si="38"/>
        <v>&lt;Entry outShaftSpeed="4752.00" torque="-360.00" electricPower="-145763.00"/&gt;</v>
      </c>
    </row>
    <row r="799" spans="1:15" x14ac:dyDescent="0.25">
      <c r="A799" s="1">
        <v>4752</v>
      </c>
      <c r="B799">
        <v>-315</v>
      </c>
      <c r="C799">
        <v>-125.965</v>
      </c>
      <c r="L799">
        <f t="shared" si="36"/>
        <v>4752</v>
      </c>
      <c r="M799">
        <f t="shared" si="36"/>
        <v>-315</v>
      </c>
      <c r="N799">
        <f t="shared" si="37"/>
        <v>-125965</v>
      </c>
      <c r="O799" t="str">
        <f t="shared" si="38"/>
        <v>&lt;Entry outShaftSpeed="4752.00" torque="-315.00" electricPower="-125965.00"/&gt;</v>
      </c>
    </row>
    <row r="800" spans="1:15" x14ac:dyDescent="0.25">
      <c r="A800" s="1">
        <v>4752</v>
      </c>
      <c r="B800">
        <v>-270</v>
      </c>
      <c r="C800">
        <v>-105.947</v>
      </c>
      <c r="L800">
        <f t="shared" si="36"/>
        <v>4752</v>
      </c>
      <c r="M800">
        <f t="shared" si="36"/>
        <v>-270</v>
      </c>
      <c r="N800">
        <f t="shared" si="37"/>
        <v>-105947</v>
      </c>
      <c r="O800" t="str">
        <f t="shared" si="38"/>
        <v>&lt;Entry outShaftSpeed="4752.00" torque="-270.00" electricPower="-105947.00"/&gt;</v>
      </c>
    </row>
    <row r="801" spans="1:15" x14ac:dyDescent="0.25">
      <c r="A801" s="1">
        <v>4752</v>
      </c>
      <c r="B801">
        <v>-225</v>
      </c>
      <c r="C801">
        <v>-85.706999999999994</v>
      </c>
      <c r="L801">
        <f t="shared" si="36"/>
        <v>4752</v>
      </c>
      <c r="M801">
        <f t="shared" si="36"/>
        <v>-225</v>
      </c>
      <c r="N801">
        <f t="shared" si="37"/>
        <v>-85707</v>
      </c>
      <c r="O801" t="str">
        <f t="shared" si="38"/>
        <v>&lt;Entry outShaftSpeed="4752.00" torque="-225.00" electricPower="-85707.00"/&gt;</v>
      </c>
    </row>
    <row r="802" spans="1:15" x14ac:dyDescent="0.25">
      <c r="A802" s="1">
        <v>4752</v>
      </c>
      <c r="B802">
        <v>-180</v>
      </c>
      <c r="C802">
        <v>-65.248000000000005</v>
      </c>
      <c r="L802">
        <f t="shared" si="36"/>
        <v>4752</v>
      </c>
      <c r="M802">
        <f t="shared" si="36"/>
        <v>-180</v>
      </c>
      <c r="N802">
        <f t="shared" si="37"/>
        <v>-65248.000000000007</v>
      </c>
      <c r="O802" t="str">
        <f t="shared" si="38"/>
        <v>&lt;Entry outShaftSpeed="4752.00" torque="-180.00" electricPower="-65248.00"/&gt;</v>
      </c>
    </row>
    <row r="803" spans="1:15" x14ac:dyDescent="0.25">
      <c r="A803" s="1">
        <v>4752</v>
      </c>
      <c r="B803">
        <v>-135</v>
      </c>
      <c r="C803">
        <v>-44.567</v>
      </c>
      <c r="L803">
        <f t="shared" si="36"/>
        <v>4752</v>
      </c>
      <c r="M803">
        <f t="shared" si="36"/>
        <v>-135</v>
      </c>
      <c r="N803">
        <f t="shared" si="37"/>
        <v>-44567</v>
      </c>
      <c r="O803" t="str">
        <f t="shared" si="38"/>
        <v>&lt;Entry outShaftSpeed="4752.00" torque="-135.00" electricPower="-44567.00"/&gt;</v>
      </c>
    </row>
    <row r="804" spans="1:15" x14ac:dyDescent="0.25">
      <c r="A804" s="1">
        <v>4752</v>
      </c>
      <c r="B804">
        <v>-90</v>
      </c>
      <c r="C804">
        <v>-23.666</v>
      </c>
      <c r="L804">
        <f t="shared" si="36"/>
        <v>4752</v>
      </c>
      <c r="M804">
        <f t="shared" si="36"/>
        <v>-90</v>
      </c>
      <c r="N804">
        <f t="shared" si="37"/>
        <v>-23666</v>
      </c>
      <c r="O804" t="str">
        <f t="shared" si="38"/>
        <v>&lt;Entry outShaftSpeed="4752.00" torque="-90.00" electricPower="-23666.00"/&gt;</v>
      </c>
    </row>
    <row r="805" spans="1:15" x14ac:dyDescent="0.25">
      <c r="A805" s="1">
        <v>4752</v>
      </c>
      <c r="B805">
        <v>-45</v>
      </c>
      <c r="C805">
        <v>-2.5449999999999999</v>
      </c>
      <c r="L805">
        <f t="shared" si="36"/>
        <v>4752</v>
      </c>
      <c r="M805">
        <f t="shared" si="36"/>
        <v>-45</v>
      </c>
      <c r="N805">
        <f t="shared" si="37"/>
        <v>-2545</v>
      </c>
      <c r="O805" t="str">
        <f t="shared" si="38"/>
        <v>&lt;Entry outShaftSpeed="4752.00" torque="-45.00" electricPower="-2545.00"/&gt;</v>
      </c>
    </row>
    <row r="806" spans="1:15" x14ac:dyDescent="0.25">
      <c r="A806" s="1">
        <v>4752</v>
      </c>
      <c r="B806">
        <v>-9</v>
      </c>
      <c r="C806">
        <v>0</v>
      </c>
      <c r="L806">
        <f t="shared" si="36"/>
        <v>4752</v>
      </c>
      <c r="M806">
        <f t="shared" si="36"/>
        <v>-9</v>
      </c>
      <c r="N806">
        <f t="shared" si="37"/>
        <v>0</v>
      </c>
      <c r="O806" t="str">
        <f t="shared" si="38"/>
        <v>&lt;Entry outShaftSpeed="4752.00" torque="-9.00" electricPower="0.00"/&gt;</v>
      </c>
    </row>
    <row r="807" spans="1:15" x14ac:dyDescent="0.25">
      <c r="A807" s="1">
        <v>4752</v>
      </c>
      <c r="B807">
        <v>9</v>
      </c>
      <c r="C807">
        <v>25.076000000000001</v>
      </c>
      <c r="L807">
        <f t="shared" si="36"/>
        <v>4752</v>
      </c>
      <c r="M807">
        <f t="shared" si="36"/>
        <v>9</v>
      </c>
      <c r="N807">
        <f t="shared" si="37"/>
        <v>25076</v>
      </c>
      <c r="O807" t="str">
        <f t="shared" si="38"/>
        <v>&lt;Entry outShaftSpeed="4752.00" torque="9.00" electricPower="25076.00"/&gt;</v>
      </c>
    </row>
    <row r="808" spans="1:15" x14ac:dyDescent="0.25">
      <c r="A808" s="1">
        <v>4752</v>
      </c>
      <c r="B808">
        <v>45</v>
      </c>
      <c r="C808">
        <v>43.890999999999998</v>
      </c>
      <c r="L808">
        <f t="shared" si="36"/>
        <v>4752</v>
      </c>
      <c r="M808">
        <f t="shared" si="36"/>
        <v>45</v>
      </c>
      <c r="N808">
        <f t="shared" si="37"/>
        <v>43891</v>
      </c>
      <c r="O808" t="str">
        <f t="shared" si="38"/>
        <v>&lt;Entry outShaftSpeed="4752.00" torque="45.00" electricPower="43891.00"/&gt;</v>
      </c>
    </row>
    <row r="809" spans="1:15" x14ac:dyDescent="0.25">
      <c r="A809" s="1">
        <v>4752</v>
      </c>
      <c r="B809">
        <v>90</v>
      </c>
      <c r="C809">
        <v>67.626000000000005</v>
      </c>
      <c r="L809">
        <f t="shared" si="36"/>
        <v>4752</v>
      </c>
      <c r="M809">
        <f t="shared" si="36"/>
        <v>90</v>
      </c>
      <c r="N809">
        <f t="shared" si="37"/>
        <v>67626</v>
      </c>
      <c r="O809" t="str">
        <f t="shared" si="38"/>
        <v>&lt;Entry outShaftSpeed="4752.00" torque="90.00" electricPower="67626.00"/&gt;</v>
      </c>
    </row>
    <row r="810" spans="1:15" x14ac:dyDescent="0.25">
      <c r="A810" s="1">
        <v>4752</v>
      </c>
      <c r="B810">
        <v>135</v>
      </c>
      <c r="C810">
        <v>91.599000000000004</v>
      </c>
      <c r="L810">
        <f t="shared" si="36"/>
        <v>4752</v>
      </c>
      <c r="M810">
        <f t="shared" si="36"/>
        <v>135</v>
      </c>
      <c r="N810">
        <f t="shared" si="37"/>
        <v>91599</v>
      </c>
      <c r="O810" t="str">
        <f t="shared" si="38"/>
        <v>&lt;Entry outShaftSpeed="4752.00" torque="135.00" electricPower="91599.00"/&gt;</v>
      </c>
    </row>
    <row r="811" spans="1:15" x14ac:dyDescent="0.25">
      <c r="A811" s="1">
        <v>4752</v>
      </c>
      <c r="B811">
        <v>180</v>
      </c>
      <c r="C811">
        <v>115.812</v>
      </c>
      <c r="L811">
        <f t="shared" si="36"/>
        <v>4752</v>
      </c>
      <c r="M811">
        <f t="shared" si="36"/>
        <v>180</v>
      </c>
      <c r="N811">
        <f t="shared" si="37"/>
        <v>115812</v>
      </c>
      <c r="O811" t="str">
        <f t="shared" si="38"/>
        <v>&lt;Entry outShaftSpeed="4752.00" torque="180.00" electricPower="115812.00"/&gt;</v>
      </c>
    </row>
    <row r="812" spans="1:15" x14ac:dyDescent="0.25">
      <c r="A812" s="1">
        <v>4752</v>
      </c>
      <c r="B812">
        <v>225</v>
      </c>
      <c r="C812">
        <v>140.26499999999999</v>
      </c>
      <c r="L812">
        <f t="shared" si="36"/>
        <v>4752</v>
      </c>
      <c r="M812">
        <f t="shared" si="36"/>
        <v>225</v>
      </c>
      <c r="N812">
        <f t="shared" si="37"/>
        <v>140265</v>
      </c>
      <c r="O812" t="str">
        <f t="shared" si="38"/>
        <v>&lt;Entry outShaftSpeed="4752.00" torque="225.00" electricPower="140265.00"/&gt;</v>
      </c>
    </row>
    <row r="813" spans="1:15" x14ac:dyDescent="0.25">
      <c r="A813" s="1">
        <v>4752</v>
      </c>
      <c r="B813">
        <v>270</v>
      </c>
      <c r="C813">
        <v>164.95599999999999</v>
      </c>
      <c r="L813">
        <f t="shared" si="36"/>
        <v>4752</v>
      </c>
      <c r="M813">
        <f t="shared" si="36"/>
        <v>270</v>
      </c>
      <c r="N813">
        <f t="shared" si="37"/>
        <v>164956</v>
      </c>
      <c r="O813" t="str">
        <f t="shared" si="38"/>
        <v>&lt;Entry outShaftSpeed="4752.00" torque="270.00" electricPower="164956.00"/&gt;</v>
      </c>
    </row>
    <row r="814" spans="1:15" x14ac:dyDescent="0.25">
      <c r="A814" s="1">
        <v>4752</v>
      </c>
      <c r="B814">
        <v>315</v>
      </c>
      <c r="C814">
        <v>189.88800000000001</v>
      </c>
      <c r="L814">
        <f t="shared" si="36"/>
        <v>4752</v>
      </c>
      <c r="M814">
        <f t="shared" si="36"/>
        <v>315</v>
      </c>
      <c r="N814">
        <f t="shared" si="37"/>
        <v>189888</v>
      </c>
      <c r="O814" t="str">
        <f t="shared" si="38"/>
        <v>&lt;Entry outShaftSpeed="4752.00" torque="315.00" electricPower="189888.00"/&gt;</v>
      </c>
    </row>
    <row r="815" spans="1:15" x14ac:dyDescent="0.25">
      <c r="A815" s="1">
        <v>4752</v>
      </c>
      <c r="B815">
        <v>360</v>
      </c>
      <c r="C815">
        <v>215.05799999999999</v>
      </c>
      <c r="L815">
        <f t="shared" si="36"/>
        <v>4752</v>
      </c>
      <c r="M815">
        <f t="shared" si="36"/>
        <v>360</v>
      </c>
      <c r="N815">
        <f t="shared" si="37"/>
        <v>215058</v>
      </c>
      <c r="O815" t="str">
        <f t="shared" si="38"/>
        <v>&lt;Entry outShaftSpeed="4752.00" torque="360.00" electricPower="215058.00"/&gt;</v>
      </c>
    </row>
    <row r="816" spans="1:15" x14ac:dyDescent="0.25">
      <c r="A816" s="1">
        <v>4752</v>
      </c>
      <c r="B816">
        <v>405</v>
      </c>
      <c r="C816">
        <v>240.46799999999999</v>
      </c>
      <c r="L816">
        <f t="shared" si="36"/>
        <v>4752</v>
      </c>
      <c r="M816">
        <f t="shared" si="36"/>
        <v>405</v>
      </c>
      <c r="N816">
        <f t="shared" si="37"/>
        <v>240468</v>
      </c>
      <c r="O816" t="str">
        <f t="shared" si="38"/>
        <v>&lt;Entry outShaftSpeed="4752.00" torque="405.00" electricPower="240468.00"/&gt;</v>
      </c>
    </row>
    <row r="817" spans="1:15" x14ac:dyDescent="0.25">
      <c r="A817" s="1">
        <v>4752</v>
      </c>
      <c r="B817">
        <v>450</v>
      </c>
      <c r="C817">
        <v>266.11799999999999</v>
      </c>
      <c r="L817">
        <f t="shared" si="36"/>
        <v>4752</v>
      </c>
      <c r="M817">
        <f t="shared" si="36"/>
        <v>450</v>
      </c>
      <c r="N817">
        <f t="shared" si="37"/>
        <v>266118</v>
      </c>
      <c r="O817" t="str">
        <f t="shared" si="38"/>
        <v>&lt;Entry outShaftSpeed="4752.00" torque="450.00" electricPower="266118.00"/&gt;</v>
      </c>
    </row>
    <row r="818" spans="1:15" x14ac:dyDescent="0.25">
      <c r="A818" s="1">
        <v>4752</v>
      </c>
      <c r="B818">
        <v>495</v>
      </c>
      <c r="C818">
        <v>292.00599999999997</v>
      </c>
      <c r="L818">
        <f t="shared" si="36"/>
        <v>4752</v>
      </c>
      <c r="M818">
        <f t="shared" si="36"/>
        <v>495</v>
      </c>
      <c r="N818">
        <f t="shared" si="37"/>
        <v>292006</v>
      </c>
      <c r="O818" t="str">
        <f t="shared" si="38"/>
        <v>&lt;Entry outShaftSpeed="4752.00" torque="495.00" electricPower="292006.00"/&gt;</v>
      </c>
    </row>
    <row r="819" spans="1:15" x14ac:dyDescent="0.25">
      <c r="A819" s="1">
        <v>4752</v>
      </c>
      <c r="B819">
        <v>540</v>
      </c>
      <c r="C819">
        <v>318.13400000000001</v>
      </c>
      <c r="L819">
        <f t="shared" si="36"/>
        <v>4752</v>
      </c>
      <c r="M819">
        <f t="shared" si="36"/>
        <v>540</v>
      </c>
      <c r="N819">
        <f t="shared" si="37"/>
        <v>318134</v>
      </c>
      <c r="O819" t="str">
        <f t="shared" si="38"/>
        <v>&lt;Entry outShaftSpeed="4752.00" torque="540.00" electricPower="318134.00"/&gt;</v>
      </c>
    </row>
    <row r="820" spans="1:15" x14ac:dyDescent="0.25">
      <c r="A820" s="1">
        <v>4752</v>
      </c>
      <c r="B820">
        <v>585</v>
      </c>
      <c r="C820">
        <v>344.50200000000001</v>
      </c>
      <c r="L820">
        <f t="shared" si="36"/>
        <v>4752</v>
      </c>
      <c r="M820">
        <f t="shared" si="36"/>
        <v>585</v>
      </c>
      <c r="N820">
        <f t="shared" si="37"/>
        <v>344502</v>
      </c>
      <c r="O820" t="str">
        <f t="shared" si="38"/>
        <v>&lt;Entry outShaftSpeed="4752.00" torque="585.00" electricPower="344502.00"/&gt;</v>
      </c>
    </row>
    <row r="821" spans="1:15" x14ac:dyDescent="0.25">
      <c r="A821" s="1">
        <v>4752</v>
      </c>
      <c r="B821">
        <v>630</v>
      </c>
      <c r="C821">
        <v>371.10899999999998</v>
      </c>
      <c r="L821">
        <f t="shared" si="36"/>
        <v>4752</v>
      </c>
      <c r="M821">
        <f t="shared" si="36"/>
        <v>630</v>
      </c>
      <c r="N821">
        <f t="shared" si="37"/>
        <v>371109</v>
      </c>
      <c r="O821" t="str">
        <f t="shared" si="38"/>
        <v>&lt;Entry outShaftSpeed="4752.00" torque="630.00" electricPower="371109.00"/&gt;</v>
      </c>
    </row>
    <row r="822" spans="1:15" x14ac:dyDescent="0.25">
      <c r="A822" s="1">
        <v>4752</v>
      </c>
      <c r="B822">
        <v>675</v>
      </c>
      <c r="C822">
        <v>397.95499999999998</v>
      </c>
      <c r="L822">
        <f t="shared" si="36"/>
        <v>4752</v>
      </c>
      <c r="M822">
        <f t="shared" si="36"/>
        <v>675</v>
      </c>
      <c r="N822">
        <f t="shared" si="37"/>
        <v>397955</v>
      </c>
      <c r="O822" t="str">
        <f t="shared" si="38"/>
        <v>&lt;Entry outShaftSpeed="4752.00" torque="675.00" electricPower="397955.00"/&gt;</v>
      </c>
    </row>
    <row r="823" spans="1:15" x14ac:dyDescent="0.25">
      <c r="A823" s="1">
        <v>4752</v>
      </c>
      <c r="B823">
        <v>720</v>
      </c>
      <c r="C823">
        <v>425.041</v>
      </c>
      <c r="L823">
        <f t="shared" si="36"/>
        <v>4752</v>
      </c>
      <c r="M823">
        <f t="shared" si="36"/>
        <v>720</v>
      </c>
      <c r="N823">
        <f t="shared" si="37"/>
        <v>425041</v>
      </c>
      <c r="O823" t="str">
        <f t="shared" si="38"/>
        <v>&lt;Entry outShaftSpeed="4752.00" torque="720.00" electricPower="425041.00"/&gt;</v>
      </c>
    </row>
    <row r="824" spans="1:15" x14ac:dyDescent="0.25">
      <c r="A824" s="1">
        <v>4752</v>
      </c>
      <c r="B824">
        <v>765</v>
      </c>
      <c r="C824">
        <v>452.36599999999999</v>
      </c>
      <c r="L824">
        <f t="shared" si="36"/>
        <v>4752</v>
      </c>
      <c r="M824">
        <f t="shared" si="36"/>
        <v>765</v>
      </c>
      <c r="N824">
        <f t="shared" si="37"/>
        <v>452366</v>
      </c>
      <c r="O824" t="str">
        <f t="shared" si="38"/>
        <v>&lt;Entry outShaftSpeed="4752.00" torque="765.00" electricPower="452366.00"/&gt;</v>
      </c>
    </row>
    <row r="825" spans="1:15" x14ac:dyDescent="0.25">
      <c r="A825" s="1">
        <v>4752</v>
      </c>
      <c r="B825">
        <v>810</v>
      </c>
      <c r="C825">
        <v>479.93</v>
      </c>
      <c r="L825">
        <f t="shared" si="36"/>
        <v>4752</v>
      </c>
      <c r="M825">
        <f t="shared" si="36"/>
        <v>810</v>
      </c>
      <c r="N825">
        <f t="shared" si="37"/>
        <v>479930</v>
      </c>
      <c r="O825" t="str">
        <f t="shared" si="38"/>
        <v>&lt;Entry outShaftSpeed="4752.00" torque="810.00" electricPower="479930.00"/&gt;</v>
      </c>
    </row>
    <row r="826" spans="1:15" x14ac:dyDescent="0.25">
      <c r="A826" s="1">
        <v>4752</v>
      </c>
      <c r="B826">
        <v>855</v>
      </c>
      <c r="C826">
        <v>507.73399999999998</v>
      </c>
      <c r="L826">
        <f t="shared" si="36"/>
        <v>4752</v>
      </c>
      <c r="M826">
        <f t="shared" si="36"/>
        <v>855</v>
      </c>
      <c r="N826">
        <f t="shared" si="37"/>
        <v>507734</v>
      </c>
      <c r="O826" t="str">
        <f t="shared" si="38"/>
        <v>&lt;Entry outShaftSpeed="4752.00" torque="855.00" electricPower="507734.00"/&gt;</v>
      </c>
    </row>
    <row r="827" spans="1:15" x14ac:dyDescent="0.25">
      <c r="A827" s="1">
        <v>4752</v>
      </c>
      <c r="B827">
        <v>900</v>
      </c>
      <c r="C827">
        <v>535.77700000000004</v>
      </c>
      <c r="L827">
        <f t="shared" si="36"/>
        <v>4752</v>
      </c>
      <c r="M827">
        <f t="shared" si="36"/>
        <v>900</v>
      </c>
      <c r="N827">
        <f t="shared" si="37"/>
        <v>535777</v>
      </c>
      <c r="O827" t="str">
        <f t="shared" si="38"/>
        <v>&lt;Entry outShaftSpeed="4752.00" torque="900.00" electricPower="535777.00"/&gt;</v>
      </c>
    </row>
    <row r="828" spans="1:15" x14ac:dyDescent="0.25">
      <c r="A828" s="1">
        <v>4752</v>
      </c>
      <c r="B828">
        <v>945</v>
      </c>
      <c r="C828">
        <v>564.05999999999995</v>
      </c>
      <c r="L828">
        <f t="shared" si="36"/>
        <v>4752</v>
      </c>
      <c r="M828">
        <f t="shared" si="36"/>
        <v>945</v>
      </c>
      <c r="N828">
        <f t="shared" si="37"/>
        <v>564060</v>
      </c>
      <c r="O828" t="str">
        <f t="shared" si="38"/>
        <v>&lt;Entry outShaftSpeed="4752.00" torque="945.00" electricPower="564060.00"/&gt;</v>
      </c>
    </row>
    <row r="829" spans="1:15" x14ac:dyDescent="0.25">
      <c r="A829" s="1">
        <v>4752</v>
      </c>
      <c r="B829">
        <v>990</v>
      </c>
      <c r="C829">
        <v>592.58199999999999</v>
      </c>
      <c r="L829">
        <f t="shared" si="36"/>
        <v>4752</v>
      </c>
      <c r="M829">
        <f t="shared" si="36"/>
        <v>990</v>
      </c>
      <c r="N829">
        <f t="shared" si="37"/>
        <v>592582</v>
      </c>
      <c r="O829" t="str">
        <f t="shared" si="38"/>
        <v>&lt;Entry outShaftSpeed="4752.00" torque="990.00" electricPower="592582.00"/&gt;</v>
      </c>
    </row>
    <row r="830" spans="1:15" x14ac:dyDescent="0.25">
      <c r="A830" s="1">
        <v>5049</v>
      </c>
      <c r="B830">
        <v>-990</v>
      </c>
      <c r="C830">
        <v>-419.64499999999998</v>
      </c>
      <c r="L830">
        <f t="shared" si="36"/>
        <v>5049</v>
      </c>
      <c r="M830">
        <f t="shared" si="36"/>
        <v>-990</v>
      </c>
      <c r="N830">
        <f t="shared" si="37"/>
        <v>-419645</v>
      </c>
      <c r="O830" t="str">
        <f t="shared" si="38"/>
        <v>&lt;Entry outShaftSpeed="5049.00" torque="-990.00" electricPower="-419645.00"/&gt;</v>
      </c>
    </row>
    <row r="831" spans="1:15" x14ac:dyDescent="0.25">
      <c r="A831" s="1">
        <v>5049</v>
      </c>
      <c r="B831">
        <v>-945</v>
      </c>
      <c r="C831">
        <v>-402.16699999999997</v>
      </c>
      <c r="L831">
        <f t="shared" si="36"/>
        <v>5049</v>
      </c>
      <c r="M831">
        <f t="shared" si="36"/>
        <v>-945</v>
      </c>
      <c r="N831">
        <f t="shared" si="37"/>
        <v>-402167</v>
      </c>
      <c r="O831" t="str">
        <f t="shared" si="38"/>
        <v>&lt;Entry outShaftSpeed="5049.00" torque="-945.00" electricPower="-402167.00"/&gt;</v>
      </c>
    </row>
    <row r="832" spans="1:15" x14ac:dyDescent="0.25">
      <c r="A832" s="1">
        <v>5049</v>
      </c>
      <c r="B832">
        <v>-900</v>
      </c>
      <c r="C832">
        <v>-384.44200000000001</v>
      </c>
      <c r="L832">
        <f t="shared" si="36"/>
        <v>5049</v>
      </c>
      <c r="M832">
        <f t="shared" si="36"/>
        <v>-900</v>
      </c>
      <c r="N832">
        <f t="shared" si="37"/>
        <v>-384442</v>
      </c>
      <c r="O832" t="str">
        <f t="shared" si="38"/>
        <v>&lt;Entry outShaftSpeed="5049.00" torque="-900.00" electricPower="-384442.00"/&gt;</v>
      </c>
    </row>
    <row r="833" spans="1:15" x14ac:dyDescent="0.25">
      <c r="A833" s="1">
        <v>5049</v>
      </c>
      <c r="B833">
        <v>-855</v>
      </c>
      <c r="C833">
        <v>-366.46899999999999</v>
      </c>
      <c r="L833">
        <f t="shared" si="36"/>
        <v>5049</v>
      </c>
      <c r="M833">
        <f t="shared" si="36"/>
        <v>-855</v>
      </c>
      <c r="N833">
        <f t="shared" si="37"/>
        <v>-366469</v>
      </c>
      <c r="O833" t="str">
        <f t="shared" si="38"/>
        <v>&lt;Entry outShaftSpeed="5049.00" torque="-855.00" electricPower="-366469.00"/&gt;</v>
      </c>
    </row>
    <row r="834" spans="1:15" x14ac:dyDescent="0.25">
      <c r="A834" s="1">
        <v>5049</v>
      </c>
      <c r="B834">
        <v>-810</v>
      </c>
      <c r="C834">
        <v>-348.24900000000002</v>
      </c>
      <c r="L834">
        <f t="shared" si="36"/>
        <v>5049</v>
      </c>
      <c r="M834">
        <f t="shared" si="36"/>
        <v>-810</v>
      </c>
      <c r="N834">
        <f t="shared" si="37"/>
        <v>-348249</v>
      </c>
      <c r="O834" t="str">
        <f t="shared" si="38"/>
        <v>&lt;Entry outShaftSpeed="5049.00" torque="-810.00" electricPower="-348249.00"/&gt;</v>
      </c>
    </row>
    <row r="835" spans="1:15" x14ac:dyDescent="0.25">
      <c r="A835" s="1">
        <v>5049</v>
      </c>
      <c r="B835">
        <v>-765</v>
      </c>
      <c r="C835">
        <v>-329.78100000000001</v>
      </c>
      <c r="L835">
        <f t="shared" ref="L835:M898" si="39">A835</f>
        <v>5049</v>
      </c>
      <c r="M835">
        <f t="shared" si="39"/>
        <v>-765</v>
      </c>
      <c r="N835">
        <f t="shared" ref="N835:N898" si="40">C835*1000</f>
        <v>-329781</v>
      </c>
      <c r="O835" t="str">
        <f t="shared" ref="O835:O898" si="41">"&lt;Entry outShaftSpeed="""&amp;TEXT(ROUND(L835,2),"#0.00")&amp;""" torque=""" &amp; TEXT(ROUND(M835,2),"#0.00") &amp; """ electricPower="""&amp;TEXT(ROUND(N835,2),"#0.00") &amp;  """/&gt;"</f>
        <v>&lt;Entry outShaftSpeed="5049.00" torque="-765.00" electricPower="-329781.00"/&gt;</v>
      </c>
    </row>
    <row r="836" spans="1:15" x14ac:dyDescent="0.25">
      <c r="A836" s="1">
        <v>5049</v>
      </c>
      <c r="B836">
        <v>-720</v>
      </c>
      <c r="C836">
        <v>-311.06700000000001</v>
      </c>
      <c r="L836">
        <f t="shared" si="39"/>
        <v>5049</v>
      </c>
      <c r="M836">
        <f t="shared" si="39"/>
        <v>-720</v>
      </c>
      <c r="N836">
        <f t="shared" si="40"/>
        <v>-311067</v>
      </c>
      <c r="O836" t="str">
        <f t="shared" si="41"/>
        <v>&lt;Entry outShaftSpeed="5049.00" torque="-720.00" electricPower="-311067.00"/&gt;</v>
      </c>
    </row>
    <row r="837" spans="1:15" x14ac:dyDescent="0.25">
      <c r="A837" s="1">
        <v>5049</v>
      </c>
      <c r="B837">
        <v>-675</v>
      </c>
      <c r="C837">
        <v>-292.10500000000002</v>
      </c>
      <c r="L837">
        <f t="shared" si="39"/>
        <v>5049</v>
      </c>
      <c r="M837">
        <f t="shared" si="39"/>
        <v>-675</v>
      </c>
      <c r="N837">
        <f t="shared" si="40"/>
        <v>-292105</v>
      </c>
      <c r="O837" t="str">
        <f t="shared" si="41"/>
        <v>&lt;Entry outShaftSpeed="5049.00" torque="-675.00" electricPower="-292105.00"/&gt;</v>
      </c>
    </row>
    <row r="838" spans="1:15" x14ac:dyDescent="0.25">
      <c r="A838" s="1">
        <v>5049</v>
      </c>
      <c r="B838">
        <v>-630</v>
      </c>
      <c r="C838">
        <v>-272.89499999999998</v>
      </c>
      <c r="L838">
        <f t="shared" si="39"/>
        <v>5049</v>
      </c>
      <c r="M838">
        <f t="shared" si="39"/>
        <v>-630</v>
      </c>
      <c r="N838">
        <f t="shared" si="40"/>
        <v>-272895</v>
      </c>
      <c r="O838" t="str">
        <f t="shared" si="41"/>
        <v>&lt;Entry outShaftSpeed="5049.00" torque="-630.00" electricPower="-272895.00"/&gt;</v>
      </c>
    </row>
    <row r="839" spans="1:15" x14ac:dyDescent="0.25">
      <c r="A839" s="1">
        <v>5049</v>
      </c>
      <c r="B839">
        <v>-585</v>
      </c>
      <c r="C839">
        <v>-253.43799999999999</v>
      </c>
      <c r="L839">
        <f t="shared" si="39"/>
        <v>5049</v>
      </c>
      <c r="M839">
        <f t="shared" si="39"/>
        <v>-585</v>
      </c>
      <c r="N839">
        <f t="shared" si="40"/>
        <v>-253438</v>
      </c>
      <c r="O839" t="str">
        <f t="shared" si="41"/>
        <v>&lt;Entry outShaftSpeed="5049.00" torque="-585.00" electricPower="-253438.00"/&gt;</v>
      </c>
    </row>
    <row r="840" spans="1:15" x14ac:dyDescent="0.25">
      <c r="A840" s="1">
        <v>5049</v>
      </c>
      <c r="B840">
        <v>-540</v>
      </c>
      <c r="C840">
        <v>-233.73400000000001</v>
      </c>
      <c r="L840">
        <f t="shared" si="39"/>
        <v>5049</v>
      </c>
      <c r="M840">
        <f t="shared" si="39"/>
        <v>-540</v>
      </c>
      <c r="N840">
        <f t="shared" si="40"/>
        <v>-233734</v>
      </c>
      <c r="O840" t="str">
        <f t="shared" si="41"/>
        <v>&lt;Entry outShaftSpeed="5049.00" torque="-540.00" electricPower="-233734.00"/&gt;</v>
      </c>
    </row>
    <row r="841" spans="1:15" x14ac:dyDescent="0.25">
      <c r="A841" s="1">
        <v>5049</v>
      </c>
      <c r="B841">
        <v>-495</v>
      </c>
      <c r="C841">
        <v>-213.78299999999999</v>
      </c>
      <c r="L841">
        <f t="shared" si="39"/>
        <v>5049</v>
      </c>
      <c r="M841">
        <f t="shared" si="39"/>
        <v>-495</v>
      </c>
      <c r="N841">
        <f t="shared" si="40"/>
        <v>-213783</v>
      </c>
      <c r="O841" t="str">
        <f t="shared" si="41"/>
        <v>&lt;Entry outShaftSpeed="5049.00" torque="-495.00" electricPower="-213783.00"/&gt;</v>
      </c>
    </row>
    <row r="842" spans="1:15" x14ac:dyDescent="0.25">
      <c r="A842" s="1">
        <v>5049</v>
      </c>
      <c r="B842">
        <v>-450</v>
      </c>
      <c r="C842">
        <v>-193.584</v>
      </c>
      <c r="L842">
        <f t="shared" si="39"/>
        <v>5049</v>
      </c>
      <c r="M842">
        <f t="shared" si="39"/>
        <v>-450</v>
      </c>
      <c r="N842">
        <f t="shared" si="40"/>
        <v>-193584</v>
      </c>
      <c r="O842" t="str">
        <f t="shared" si="41"/>
        <v>&lt;Entry outShaftSpeed="5049.00" torque="-450.00" electricPower="-193584.00"/&gt;</v>
      </c>
    </row>
    <row r="843" spans="1:15" x14ac:dyDescent="0.25">
      <c r="A843" s="1">
        <v>5049</v>
      </c>
      <c r="B843">
        <v>-405</v>
      </c>
      <c r="C843">
        <v>-173.13800000000001</v>
      </c>
      <c r="L843">
        <f t="shared" si="39"/>
        <v>5049</v>
      </c>
      <c r="M843">
        <f t="shared" si="39"/>
        <v>-405</v>
      </c>
      <c r="N843">
        <f t="shared" si="40"/>
        <v>-173138</v>
      </c>
      <c r="O843" t="str">
        <f t="shared" si="41"/>
        <v>&lt;Entry outShaftSpeed="5049.00" torque="-405.00" electricPower="-173138.00"/&gt;</v>
      </c>
    </row>
    <row r="844" spans="1:15" x14ac:dyDescent="0.25">
      <c r="A844" s="1">
        <v>5049</v>
      </c>
      <c r="B844">
        <v>-360</v>
      </c>
      <c r="C844">
        <v>-152.44399999999999</v>
      </c>
      <c r="L844">
        <f t="shared" si="39"/>
        <v>5049</v>
      </c>
      <c r="M844">
        <f t="shared" si="39"/>
        <v>-360</v>
      </c>
      <c r="N844">
        <f t="shared" si="40"/>
        <v>-152444</v>
      </c>
      <c r="O844" t="str">
        <f t="shared" si="41"/>
        <v>&lt;Entry outShaftSpeed="5049.00" torque="-360.00" electricPower="-152444.00"/&gt;</v>
      </c>
    </row>
    <row r="845" spans="1:15" x14ac:dyDescent="0.25">
      <c r="A845" s="1">
        <v>5049</v>
      </c>
      <c r="B845">
        <v>-315</v>
      </c>
      <c r="C845">
        <v>-131.50299999999999</v>
      </c>
      <c r="L845">
        <f t="shared" si="39"/>
        <v>5049</v>
      </c>
      <c r="M845">
        <f t="shared" si="39"/>
        <v>-315</v>
      </c>
      <c r="N845">
        <f t="shared" si="40"/>
        <v>-131503</v>
      </c>
      <c r="O845" t="str">
        <f t="shared" si="41"/>
        <v>&lt;Entry outShaftSpeed="5049.00" torque="-315.00" electricPower="-131503.00"/&gt;</v>
      </c>
    </row>
    <row r="846" spans="1:15" x14ac:dyDescent="0.25">
      <c r="A846" s="1">
        <v>5049</v>
      </c>
      <c r="B846">
        <v>-270</v>
      </c>
      <c r="C846">
        <v>-110.315</v>
      </c>
      <c r="L846">
        <f t="shared" si="39"/>
        <v>5049</v>
      </c>
      <c r="M846">
        <f t="shared" si="39"/>
        <v>-270</v>
      </c>
      <c r="N846">
        <f t="shared" si="40"/>
        <v>-110315</v>
      </c>
      <c r="O846" t="str">
        <f t="shared" si="41"/>
        <v>&lt;Entry outShaftSpeed="5049.00" torque="-270.00" electricPower="-110315.00"/&gt;</v>
      </c>
    </row>
    <row r="847" spans="1:15" x14ac:dyDescent="0.25">
      <c r="A847" s="1">
        <v>5049</v>
      </c>
      <c r="B847">
        <v>-225</v>
      </c>
      <c r="C847">
        <v>-88.879000000000005</v>
      </c>
      <c r="L847">
        <f t="shared" si="39"/>
        <v>5049</v>
      </c>
      <c r="M847">
        <f t="shared" si="39"/>
        <v>-225</v>
      </c>
      <c r="N847">
        <f t="shared" si="40"/>
        <v>-88879</v>
      </c>
      <c r="O847" t="str">
        <f t="shared" si="41"/>
        <v>&lt;Entry outShaftSpeed="5049.00" torque="-225.00" electricPower="-88879.00"/&gt;</v>
      </c>
    </row>
    <row r="848" spans="1:15" x14ac:dyDescent="0.25">
      <c r="A848" s="1">
        <v>5049</v>
      </c>
      <c r="B848">
        <v>-180</v>
      </c>
      <c r="C848">
        <v>-67.195999999999998</v>
      </c>
      <c r="L848">
        <f t="shared" si="39"/>
        <v>5049</v>
      </c>
      <c r="M848">
        <f t="shared" si="39"/>
        <v>-180</v>
      </c>
      <c r="N848">
        <f t="shared" si="40"/>
        <v>-67196</v>
      </c>
      <c r="O848" t="str">
        <f t="shared" si="41"/>
        <v>&lt;Entry outShaftSpeed="5049.00" torque="-180.00" electricPower="-67196.00"/&gt;</v>
      </c>
    </row>
    <row r="849" spans="1:15" x14ac:dyDescent="0.25">
      <c r="A849" s="1">
        <v>5049</v>
      </c>
      <c r="B849">
        <v>-135</v>
      </c>
      <c r="C849">
        <v>-45.265999999999998</v>
      </c>
      <c r="L849">
        <f t="shared" si="39"/>
        <v>5049</v>
      </c>
      <c r="M849">
        <f t="shared" si="39"/>
        <v>-135</v>
      </c>
      <c r="N849">
        <f t="shared" si="40"/>
        <v>-45266</v>
      </c>
      <c r="O849" t="str">
        <f t="shared" si="41"/>
        <v>&lt;Entry outShaftSpeed="5049.00" torque="-135.00" electricPower="-45266.00"/&gt;</v>
      </c>
    </row>
    <row r="850" spans="1:15" x14ac:dyDescent="0.25">
      <c r="A850" s="1">
        <v>5049</v>
      </c>
      <c r="B850">
        <v>-90</v>
      </c>
      <c r="C850">
        <v>-23.088000000000001</v>
      </c>
      <c r="L850">
        <f t="shared" si="39"/>
        <v>5049</v>
      </c>
      <c r="M850">
        <f t="shared" si="39"/>
        <v>-90</v>
      </c>
      <c r="N850">
        <f t="shared" si="40"/>
        <v>-23088</v>
      </c>
      <c r="O850" t="str">
        <f t="shared" si="41"/>
        <v>&lt;Entry outShaftSpeed="5049.00" torque="-90.00" electricPower="-23088.00"/&gt;</v>
      </c>
    </row>
    <row r="851" spans="1:15" x14ac:dyDescent="0.25">
      <c r="A851" s="1">
        <v>5049</v>
      </c>
      <c r="B851">
        <v>-45</v>
      </c>
      <c r="C851">
        <v>-0.66300000000000003</v>
      </c>
      <c r="L851">
        <f t="shared" si="39"/>
        <v>5049</v>
      </c>
      <c r="M851">
        <f t="shared" si="39"/>
        <v>-45</v>
      </c>
      <c r="N851">
        <f t="shared" si="40"/>
        <v>-663</v>
      </c>
      <c r="O851" t="str">
        <f t="shared" si="41"/>
        <v>&lt;Entry outShaftSpeed="5049.00" torque="-45.00" electricPower="-663.00"/&gt;</v>
      </c>
    </row>
    <row r="852" spans="1:15" x14ac:dyDescent="0.25">
      <c r="A852" s="1">
        <v>5049</v>
      </c>
      <c r="B852">
        <v>-9</v>
      </c>
      <c r="C852">
        <v>0</v>
      </c>
      <c r="L852">
        <f t="shared" si="39"/>
        <v>5049</v>
      </c>
      <c r="M852">
        <f t="shared" si="39"/>
        <v>-9</v>
      </c>
      <c r="N852">
        <f t="shared" si="40"/>
        <v>0</v>
      </c>
      <c r="O852" t="str">
        <f t="shared" si="41"/>
        <v>&lt;Entry outShaftSpeed="5049.00" torque="-9.00" electricPower="0.00"/&gt;</v>
      </c>
    </row>
    <row r="853" spans="1:15" x14ac:dyDescent="0.25">
      <c r="A853" s="1">
        <v>5049</v>
      </c>
      <c r="B853">
        <v>9</v>
      </c>
      <c r="C853">
        <v>28.853999999999999</v>
      </c>
      <c r="L853">
        <f t="shared" si="39"/>
        <v>5049</v>
      </c>
      <c r="M853">
        <f t="shared" si="39"/>
        <v>9</v>
      </c>
      <c r="N853">
        <f t="shared" si="40"/>
        <v>28854</v>
      </c>
      <c r="O853" t="str">
        <f t="shared" si="41"/>
        <v>&lt;Entry outShaftSpeed="5049.00" torque="9.00" electricPower="28854.00"/&gt;</v>
      </c>
    </row>
    <row r="854" spans="1:15" x14ac:dyDescent="0.25">
      <c r="A854" s="1">
        <v>5049</v>
      </c>
      <c r="B854">
        <v>45</v>
      </c>
      <c r="C854">
        <v>48.848999999999997</v>
      </c>
      <c r="L854">
        <f t="shared" si="39"/>
        <v>5049</v>
      </c>
      <c r="M854">
        <f t="shared" si="39"/>
        <v>45</v>
      </c>
      <c r="N854">
        <f t="shared" si="40"/>
        <v>48849</v>
      </c>
      <c r="O854" t="str">
        <f t="shared" si="41"/>
        <v>&lt;Entry outShaftSpeed="5049.00" torque="45.00" electricPower="48849.00"/&gt;</v>
      </c>
    </row>
    <row r="855" spans="1:15" x14ac:dyDescent="0.25">
      <c r="A855" s="1">
        <v>5049</v>
      </c>
      <c r="B855">
        <v>90</v>
      </c>
      <c r="C855">
        <v>74.084999999999994</v>
      </c>
      <c r="L855">
        <f t="shared" si="39"/>
        <v>5049</v>
      </c>
      <c r="M855">
        <f t="shared" si="39"/>
        <v>90</v>
      </c>
      <c r="N855">
        <f t="shared" si="40"/>
        <v>74085</v>
      </c>
      <c r="O855" t="str">
        <f t="shared" si="41"/>
        <v>&lt;Entry outShaftSpeed="5049.00" torque="90.00" electricPower="74085.00"/&gt;</v>
      </c>
    </row>
    <row r="856" spans="1:15" x14ac:dyDescent="0.25">
      <c r="A856" s="1">
        <v>5049</v>
      </c>
      <c r="B856">
        <v>135</v>
      </c>
      <c r="C856">
        <v>99.588999999999999</v>
      </c>
      <c r="L856">
        <f t="shared" si="39"/>
        <v>5049</v>
      </c>
      <c r="M856">
        <f t="shared" si="39"/>
        <v>135</v>
      </c>
      <c r="N856">
        <f t="shared" si="40"/>
        <v>99589</v>
      </c>
      <c r="O856" t="str">
        <f t="shared" si="41"/>
        <v>&lt;Entry outShaftSpeed="5049.00" torque="135.00" electricPower="99589.00"/&gt;</v>
      </c>
    </row>
    <row r="857" spans="1:15" x14ac:dyDescent="0.25">
      <c r="A857" s="1">
        <v>5049</v>
      </c>
      <c r="B857">
        <v>180</v>
      </c>
      <c r="C857">
        <v>125.36199999999999</v>
      </c>
      <c r="L857">
        <f t="shared" si="39"/>
        <v>5049</v>
      </c>
      <c r="M857">
        <f t="shared" si="39"/>
        <v>180</v>
      </c>
      <c r="N857">
        <f t="shared" si="40"/>
        <v>125362</v>
      </c>
      <c r="O857" t="str">
        <f t="shared" si="41"/>
        <v>&lt;Entry outShaftSpeed="5049.00" torque="180.00" electricPower="125362.00"/&gt;</v>
      </c>
    </row>
    <row r="858" spans="1:15" x14ac:dyDescent="0.25">
      <c r="A858" s="1">
        <v>5049</v>
      </c>
      <c r="B858">
        <v>225</v>
      </c>
      <c r="C858">
        <v>151.40199999999999</v>
      </c>
      <c r="L858">
        <f t="shared" si="39"/>
        <v>5049</v>
      </c>
      <c r="M858">
        <f t="shared" si="39"/>
        <v>225</v>
      </c>
      <c r="N858">
        <f t="shared" si="40"/>
        <v>151402</v>
      </c>
      <c r="O858" t="str">
        <f t="shared" si="41"/>
        <v>&lt;Entry outShaftSpeed="5049.00" torque="225.00" electricPower="151402.00"/&gt;</v>
      </c>
    </row>
    <row r="859" spans="1:15" x14ac:dyDescent="0.25">
      <c r="A859" s="1">
        <v>5049</v>
      </c>
      <c r="B859">
        <v>270</v>
      </c>
      <c r="C859">
        <v>177.71199999999999</v>
      </c>
      <c r="L859">
        <f t="shared" si="39"/>
        <v>5049</v>
      </c>
      <c r="M859">
        <f t="shared" si="39"/>
        <v>270</v>
      </c>
      <c r="N859">
        <f t="shared" si="40"/>
        <v>177712</v>
      </c>
      <c r="O859" t="str">
        <f t="shared" si="41"/>
        <v>&lt;Entry outShaftSpeed="5049.00" torque="270.00" electricPower="177712.00"/&gt;</v>
      </c>
    </row>
    <row r="860" spans="1:15" x14ac:dyDescent="0.25">
      <c r="A860" s="1">
        <v>5049</v>
      </c>
      <c r="B860">
        <v>315</v>
      </c>
      <c r="C860">
        <v>204.28899999999999</v>
      </c>
      <c r="L860">
        <f t="shared" si="39"/>
        <v>5049</v>
      </c>
      <c r="M860">
        <f t="shared" si="39"/>
        <v>315</v>
      </c>
      <c r="N860">
        <f t="shared" si="40"/>
        <v>204289</v>
      </c>
      <c r="O860" t="str">
        <f t="shared" si="41"/>
        <v>&lt;Entry outShaftSpeed="5049.00" torque="315.00" electricPower="204289.00"/&gt;</v>
      </c>
    </row>
    <row r="861" spans="1:15" x14ac:dyDescent="0.25">
      <c r="A861" s="1">
        <v>5049</v>
      </c>
      <c r="B861">
        <v>360</v>
      </c>
      <c r="C861">
        <v>231.13499999999999</v>
      </c>
      <c r="L861">
        <f t="shared" si="39"/>
        <v>5049</v>
      </c>
      <c r="M861">
        <f t="shared" si="39"/>
        <v>360</v>
      </c>
      <c r="N861">
        <f t="shared" si="40"/>
        <v>231135</v>
      </c>
      <c r="O861" t="str">
        <f t="shared" si="41"/>
        <v>&lt;Entry outShaftSpeed="5049.00" torque="360.00" electricPower="231135.00"/&gt;</v>
      </c>
    </row>
    <row r="862" spans="1:15" x14ac:dyDescent="0.25">
      <c r="A862" s="1">
        <v>5049</v>
      </c>
      <c r="B862">
        <v>405</v>
      </c>
      <c r="C862">
        <v>258.25</v>
      </c>
      <c r="L862">
        <f t="shared" si="39"/>
        <v>5049</v>
      </c>
      <c r="M862">
        <f t="shared" si="39"/>
        <v>405</v>
      </c>
      <c r="N862">
        <f t="shared" si="40"/>
        <v>258250</v>
      </c>
      <c r="O862" t="str">
        <f t="shared" si="41"/>
        <v>&lt;Entry outShaftSpeed="5049.00" torque="405.00" electricPower="258250.00"/&gt;</v>
      </c>
    </row>
    <row r="863" spans="1:15" x14ac:dyDescent="0.25">
      <c r="A863" s="1">
        <v>5049</v>
      </c>
      <c r="B863">
        <v>450</v>
      </c>
      <c r="C863">
        <v>285.63299999999998</v>
      </c>
      <c r="L863">
        <f t="shared" si="39"/>
        <v>5049</v>
      </c>
      <c r="M863">
        <f t="shared" si="39"/>
        <v>450</v>
      </c>
      <c r="N863">
        <f t="shared" si="40"/>
        <v>285633</v>
      </c>
      <c r="O863" t="str">
        <f t="shared" si="41"/>
        <v>&lt;Entry outShaftSpeed="5049.00" torque="450.00" electricPower="285633.00"/&gt;</v>
      </c>
    </row>
    <row r="864" spans="1:15" x14ac:dyDescent="0.25">
      <c r="A864" s="1">
        <v>5049</v>
      </c>
      <c r="B864">
        <v>495</v>
      </c>
      <c r="C864">
        <v>313.28399999999999</v>
      </c>
      <c r="L864">
        <f t="shared" si="39"/>
        <v>5049</v>
      </c>
      <c r="M864">
        <f t="shared" si="39"/>
        <v>495</v>
      </c>
      <c r="N864">
        <f t="shared" si="40"/>
        <v>313284</v>
      </c>
      <c r="O864" t="str">
        <f t="shared" si="41"/>
        <v>&lt;Entry outShaftSpeed="5049.00" torque="495.00" electricPower="313284.00"/&gt;</v>
      </c>
    </row>
    <row r="865" spans="1:15" x14ac:dyDescent="0.25">
      <c r="A865" s="1">
        <v>5049</v>
      </c>
      <c r="B865">
        <v>540</v>
      </c>
      <c r="C865">
        <v>341.20299999999997</v>
      </c>
      <c r="L865">
        <f t="shared" si="39"/>
        <v>5049</v>
      </c>
      <c r="M865">
        <f t="shared" si="39"/>
        <v>540</v>
      </c>
      <c r="N865">
        <f t="shared" si="40"/>
        <v>341203</v>
      </c>
      <c r="O865" t="str">
        <f t="shared" si="41"/>
        <v>&lt;Entry outShaftSpeed="5049.00" torque="540.00" electricPower="341203.00"/&gt;</v>
      </c>
    </row>
    <row r="866" spans="1:15" x14ac:dyDescent="0.25">
      <c r="A866" s="1">
        <v>5049</v>
      </c>
      <c r="B866">
        <v>585</v>
      </c>
      <c r="C866">
        <v>369.392</v>
      </c>
      <c r="L866">
        <f t="shared" si="39"/>
        <v>5049</v>
      </c>
      <c r="M866">
        <f t="shared" si="39"/>
        <v>585</v>
      </c>
      <c r="N866">
        <f t="shared" si="40"/>
        <v>369392</v>
      </c>
      <c r="O866" t="str">
        <f t="shared" si="41"/>
        <v>&lt;Entry outShaftSpeed="5049.00" torque="585.00" electricPower="369392.00"/&gt;</v>
      </c>
    </row>
    <row r="867" spans="1:15" x14ac:dyDescent="0.25">
      <c r="A867" s="1">
        <v>5049</v>
      </c>
      <c r="B867">
        <v>630</v>
      </c>
      <c r="C867">
        <v>397.84800000000001</v>
      </c>
      <c r="L867">
        <f t="shared" si="39"/>
        <v>5049</v>
      </c>
      <c r="M867">
        <f t="shared" si="39"/>
        <v>630</v>
      </c>
      <c r="N867">
        <f t="shared" si="40"/>
        <v>397848</v>
      </c>
      <c r="O867" t="str">
        <f t="shared" si="41"/>
        <v>&lt;Entry outShaftSpeed="5049.00" torque="630.00" electricPower="397848.00"/&gt;</v>
      </c>
    </row>
    <row r="868" spans="1:15" x14ac:dyDescent="0.25">
      <c r="A868" s="1">
        <v>5049</v>
      </c>
      <c r="B868">
        <v>675</v>
      </c>
      <c r="C868">
        <v>426.57299999999998</v>
      </c>
      <c r="L868">
        <f t="shared" si="39"/>
        <v>5049</v>
      </c>
      <c r="M868">
        <f t="shared" si="39"/>
        <v>675</v>
      </c>
      <c r="N868">
        <f t="shared" si="40"/>
        <v>426573</v>
      </c>
      <c r="O868" t="str">
        <f t="shared" si="41"/>
        <v>&lt;Entry outShaftSpeed="5049.00" torque="675.00" electricPower="426573.00"/&gt;</v>
      </c>
    </row>
    <row r="869" spans="1:15" x14ac:dyDescent="0.25">
      <c r="A869" s="1">
        <v>5049</v>
      </c>
      <c r="B869">
        <v>720</v>
      </c>
      <c r="C869">
        <v>455.56599999999997</v>
      </c>
      <c r="L869">
        <f t="shared" si="39"/>
        <v>5049</v>
      </c>
      <c r="M869">
        <f t="shared" si="39"/>
        <v>720</v>
      </c>
      <c r="N869">
        <f t="shared" si="40"/>
        <v>455566</v>
      </c>
      <c r="O869" t="str">
        <f t="shared" si="41"/>
        <v>&lt;Entry outShaftSpeed="5049.00" torque="720.00" electricPower="455566.00"/&gt;</v>
      </c>
    </row>
    <row r="870" spans="1:15" x14ac:dyDescent="0.25">
      <c r="A870" s="1">
        <v>5049</v>
      </c>
      <c r="B870">
        <v>765</v>
      </c>
      <c r="C870">
        <v>484.82799999999997</v>
      </c>
      <c r="L870">
        <f t="shared" si="39"/>
        <v>5049</v>
      </c>
      <c r="M870">
        <f t="shared" si="39"/>
        <v>765</v>
      </c>
      <c r="N870">
        <f t="shared" si="40"/>
        <v>484828</v>
      </c>
      <c r="O870" t="str">
        <f t="shared" si="41"/>
        <v>&lt;Entry outShaftSpeed="5049.00" torque="765.00" electricPower="484828.00"/&gt;</v>
      </c>
    </row>
    <row r="871" spans="1:15" x14ac:dyDescent="0.25">
      <c r="A871" s="1">
        <v>5049</v>
      </c>
      <c r="B871">
        <v>810</v>
      </c>
      <c r="C871">
        <v>514.35799999999995</v>
      </c>
      <c r="L871">
        <f t="shared" si="39"/>
        <v>5049</v>
      </c>
      <c r="M871">
        <f t="shared" si="39"/>
        <v>810</v>
      </c>
      <c r="N871">
        <f t="shared" si="40"/>
        <v>514357.99999999994</v>
      </c>
      <c r="O871" t="str">
        <f t="shared" si="41"/>
        <v>&lt;Entry outShaftSpeed="5049.00" torque="810.00" electricPower="514358.00"/&gt;</v>
      </c>
    </row>
    <row r="872" spans="1:15" x14ac:dyDescent="0.25">
      <c r="A872" s="1">
        <v>5049</v>
      </c>
      <c r="B872">
        <v>855</v>
      </c>
      <c r="C872">
        <v>544.15599999999995</v>
      </c>
      <c r="L872">
        <f t="shared" si="39"/>
        <v>5049</v>
      </c>
      <c r="M872">
        <f t="shared" si="39"/>
        <v>855</v>
      </c>
      <c r="N872">
        <f t="shared" si="40"/>
        <v>544156</v>
      </c>
      <c r="O872" t="str">
        <f t="shared" si="41"/>
        <v>&lt;Entry outShaftSpeed="5049.00" torque="855.00" electricPower="544156.00"/&gt;</v>
      </c>
    </row>
    <row r="873" spans="1:15" x14ac:dyDescent="0.25">
      <c r="A873" s="1">
        <v>5049</v>
      </c>
      <c r="B873">
        <v>900</v>
      </c>
      <c r="C873">
        <v>574.22299999999996</v>
      </c>
      <c r="L873">
        <f t="shared" si="39"/>
        <v>5049</v>
      </c>
      <c r="M873">
        <f t="shared" si="39"/>
        <v>900</v>
      </c>
      <c r="N873">
        <f t="shared" si="40"/>
        <v>574223</v>
      </c>
      <c r="O873" t="str">
        <f t="shared" si="41"/>
        <v>&lt;Entry outShaftSpeed="5049.00" torque="900.00" electricPower="574223.00"/&gt;</v>
      </c>
    </row>
    <row r="874" spans="1:15" x14ac:dyDescent="0.25">
      <c r="A874" s="1">
        <v>5049</v>
      </c>
      <c r="B874">
        <v>945</v>
      </c>
      <c r="C874">
        <v>604.55799999999999</v>
      </c>
      <c r="L874">
        <f t="shared" si="39"/>
        <v>5049</v>
      </c>
      <c r="M874">
        <f t="shared" si="39"/>
        <v>945</v>
      </c>
      <c r="N874">
        <f t="shared" si="40"/>
        <v>604558</v>
      </c>
      <c r="O874" t="str">
        <f t="shared" si="41"/>
        <v>&lt;Entry outShaftSpeed="5049.00" torque="945.00" electricPower="604558.00"/&gt;</v>
      </c>
    </row>
    <row r="875" spans="1:15" x14ac:dyDescent="0.25">
      <c r="A875" s="1">
        <v>5049</v>
      </c>
      <c r="B875">
        <v>990</v>
      </c>
      <c r="C875">
        <v>635.16200000000003</v>
      </c>
      <c r="L875">
        <f t="shared" si="39"/>
        <v>5049</v>
      </c>
      <c r="M875">
        <f t="shared" si="39"/>
        <v>990</v>
      </c>
      <c r="N875">
        <f t="shared" si="40"/>
        <v>635162</v>
      </c>
      <c r="O875" t="str">
        <f t="shared" si="41"/>
        <v>&lt;Entry outShaftSpeed="5049.00" torque="990.00" electricPower="635162.00"/&gt;</v>
      </c>
    </row>
    <row r="876" spans="1:15" x14ac:dyDescent="0.25">
      <c r="A876" s="1">
        <v>5346</v>
      </c>
      <c r="B876">
        <v>-990</v>
      </c>
      <c r="C876">
        <v>-438.77499999999998</v>
      </c>
      <c r="L876">
        <f t="shared" si="39"/>
        <v>5346</v>
      </c>
      <c r="M876">
        <f t="shared" si="39"/>
        <v>-990</v>
      </c>
      <c r="N876">
        <f t="shared" si="40"/>
        <v>-438775</v>
      </c>
      <c r="O876" t="str">
        <f t="shared" si="41"/>
        <v>&lt;Entry outShaftSpeed="5346.00" torque="-990.00" electricPower="-438775.00"/&gt;</v>
      </c>
    </row>
    <row r="877" spans="1:15" x14ac:dyDescent="0.25">
      <c r="A877" s="1">
        <v>5346</v>
      </c>
      <c r="B877">
        <v>-945</v>
      </c>
      <c r="C877">
        <v>-420.56299999999999</v>
      </c>
      <c r="L877">
        <f t="shared" si="39"/>
        <v>5346</v>
      </c>
      <c r="M877">
        <f t="shared" si="39"/>
        <v>-945</v>
      </c>
      <c r="N877">
        <f t="shared" si="40"/>
        <v>-420563</v>
      </c>
      <c r="O877" t="str">
        <f t="shared" si="41"/>
        <v>&lt;Entry outShaftSpeed="5346.00" torque="-945.00" electricPower="-420563.00"/&gt;</v>
      </c>
    </row>
    <row r="878" spans="1:15" x14ac:dyDescent="0.25">
      <c r="A878" s="1">
        <v>5346</v>
      </c>
      <c r="B878">
        <v>-900</v>
      </c>
      <c r="C878">
        <v>-402.07600000000002</v>
      </c>
      <c r="L878">
        <f t="shared" si="39"/>
        <v>5346</v>
      </c>
      <c r="M878">
        <f t="shared" si="39"/>
        <v>-900</v>
      </c>
      <c r="N878">
        <f t="shared" si="40"/>
        <v>-402076</v>
      </c>
      <c r="O878" t="str">
        <f t="shared" si="41"/>
        <v>&lt;Entry outShaftSpeed="5346.00" torque="-900.00" electricPower="-402076.00"/&gt;</v>
      </c>
    </row>
    <row r="879" spans="1:15" x14ac:dyDescent="0.25">
      <c r="A879" s="1">
        <v>5346</v>
      </c>
      <c r="B879">
        <v>-855</v>
      </c>
      <c r="C879">
        <v>-383.31200000000001</v>
      </c>
      <c r="L879">
        <f t="shared" si="39"/>
        <v>5346</v>
      </c>
      <c r="M879">
        <f t="shared" si="39"/>
        <v>-855</v>
      </c>
      <c r="N879">
        <f t="shared" si="40"/>
        <v>-383312</v>
      </c>
      <c r="O879" t="str">
        <f t="shared" si="41"/>
        <v>&lt;Entry outShaftSpeed="5346.00" torque="-855.00" electricPower="-383312.00"/&gt;</v>
      </c>
    </row>
    <row r="880" spans="1:15" x14ac:dyDescent="0.25">
      <c r="A880" s="1">
        <v>5346</v>
      </c>
      <c r="B880">
        <v>-810</v>
      </c>
      <c r="C880">
        <v>-364.27300000000002</v>
      </c>
      <c r="L880">
        <f t="shared" si="39"/>
        <v>5346</v>
      </c>
      <c r="M880">
        <f t="shared" si="39"/>
        <v>-810</v>
      </c>
      <c r="N880">
        <f t="shared" si="40"/>
        <v>-364273</v>
      </c>
      <c r="O880" t="str">
        <f t="shared" si="41"/>
        <v>&lt;Entry outShaftSpeed="5346.00" torque="-810.00" electricPower="-364273.00"/&gt;</v>
      </c>
    </row>
    <row r="881" spans="1:15" x14ac:dyDescent="0.25">
      <c r="A881" s="1">
        <v>5346</v>
      </c>
      <c r="B881">
        <v>-765</v>
      </c>
      <c r="C881">
        <v>-344.95800000000003</v>
      </c>
      <c r="L881">
        <f t="shared" si="39"/>
        <v>5346</v>
      </c>
      <c r="M881">
        <f t="shared" si="39"/>
        <v>-765</v>
      </c>
      <c r="N881">
        <f t="shared" si="40"/>
        <v>-344958</v>
      </c>
      <c r="O881" t="str">
        <f t="shared" si="41"/>
        <v>&lt;Entry outShaftSpeed="5346.00" torque="-765.00" electricPower="-344958.00"/&gt;</v>
      </c>
    </row>
    <row r="882" spans="1:15" x14ac:dyDescent="0.25">
      <c r="A882" s="1">
        <v>5346</v>
      </c>
      <c r="B882">
        <v>-720</v>
      </c>
      <c r="C882">
        <v>-325.36700000000002</v>
      </c>
      <c r="L882">
        <f t="shared" si="39"/>
        <v>5346</v>
      </c>
      <c r="M882">
        <f t="shared" si="39"/>
        <v>-720</v>
      </c>
      <c r="N882">
        <f t="shared" si="40"/>
        <v>-325367</v>
      </c>
      <c r="O882" t="str">
        <f t="shared" si="41"/>
        <v>&lt;Entry outShaftSpeed="5346.00" torque="-720.00" electricPower="-325367.00"/&gt;</v>
      </c>
    </row>
    <row r="883" spans="1:15" x14ac:dyDescent="0.25">
      <c r="A883" s="1">
        <v>5346</v>
      </c>
      <c r="B883">
        <v>-675</v>
      </c>
      <c r="C883">
        <v>-305.50099999999998</v>
      </c>
      <c r="L883">
        <f t="shared" si="39"/>
        <v>5346</v>
      </c>
      <c r="M883">
        <f t="shared" si="39"/>
        <v>-675</v>
      </c>
      <c r="N883">
        <f t="shared" si="40"/>
        <v>-305501</v>
      </c>
      <c r="O883" t="str">
        <f t="shared" si="41"/>
        <v>&lt;Entry outShaftSpeed="5346.00" torque="-675.00" electricPower="-305501.00"/&gt;</v>
      </c>
    </row>
    <row r="884" spans="1:15" x14ac:dyDescent="0.25">
      <c r="A884" s="1">
        <v>5346</v>
      </c>
      <c r="B884">
        <v>-630</v>
      </c>
      <c r="C884">
        <v>-285.35899999999998</v>
      </c>
      <c r="L884">
        <f t="shared" si="39"/>
        <v>5346</v>
      </c>
      <c r="M884">
        <f t="shared" si="39"/>
        <v>-630</v>
      </c>
      <c r="N884">
        <f t="shared" si="40"/>
        <v>-285359</v>
      </c>
      <c r="O884" t="str">
        <f t="shared" si="41"/>
        <v>&lt;Entry outShaftSpeed="5346.00" torque="-630.00" electricPower="-285359.00"/&gt;</v>
      </c>
    </row>
    <row r="885" spans="1:15" x14ac:dyDescent="0.25">
      <c r="A885" s="1">
        <v>5346</v>
      </c>
      <c r="B885">
        <v>-585</v>
      </c>
      <c r="C885">
        <v>-264.94099999999997</v>
      </c>
      <c r="L885">
        <f t="shared" si="39"/>
        <v>5346</v>
      </c>
      <c r="M885">
        <f t="shared" si="39"/>
        <v>-585</v>
      </c>
      <c r="N885">
        <f t="shared" si="40"/>
        <v>-264941</v>
      </c>
      <c r="O885" t="str">
        <f t="shared" si="41"/>
        <v>&lt;Entry outShaftSpeed="5346.00" torque="-585.00" electricPower="-264941.00"/&gt;</v>
      </c>
    </row>
    <row r="886" spans="1:15" x14ac:dyDescent="0.25">
      <c r="A886" s="1">
        <v>5346</v>
      </c>
      <c r="B886">
        <v>-540</v>
      </c>
      <c r="C886">
        <v>-244.24799999999999</v>
      </c>
      <c r="L886">
        <f t="shared" si="39"/>
        <v>5346</v>
      </c>
      <c r="M886">
        <f t="shared" si="39"/>
        <v>-540</v>
      </c>
      <c r="N886">
        <f t="shared" si="40"/>
        <v>-244248</v>
      </c>
      <c r="O886" t="str">
        <f t="shared" si="41"/>
        <v>&lt;Entry outShaftSpeed="5346.00" torque="-540.00" electricPower="-244248.00"/&gt;</v>
      </c>
    </row>
    <row r="887" spans="1:15" x14ac:dyDescent="0.25">
      <c r="A887" s="1">
        <v>5346</v>
      </c>
      <c r="B887">
        <v>-495</v>
      </c>
      <c r="C887">
        <v>-223.279</v>
      </c>
      <c r="L887">
        <f t="shared" si="39"/>
        <v>5346</v>
      </c>
      <c r="M887">
        <f t="shared" si="39"/>
        <v>-495</v>
      </c>
      <c r="N887">
        <f t="shared" si="40"/>
        <v>-223279</v>
      </c>
      <c r="O887" t="str">
        <f t="shared" si="41"/>
        <v>&lt;Entry outShaftSpeed="5346.00" torque="-495.00" electricPower="-223279.00"/&gt;</v>
      </c>
    </row>
    <row r="888" spans="1:15" x14ac:dyDescent="0.25">
      <c r="A888" s="1">
        <v>5346</v>
      </c>
      <c r="B888">
        <v>-450</v>
      </c>
      <c r="C888">
        <v>-202.03399999999999</v>
      </c>
      <c r="L888">
        <f t="shared" si="39"/>
        <v>5346</v>
      </c>
      <c r="M888">
        <f t="shared" si="39"/>
        <v>-450</v>
      </c>
      <c r="N888">
        <f t="shared" si="40"/>
        <v>-202034</v>
      </c>
      <c r="O888" t="str">
        <f t="shared" si="41"/>
        <v>&lt;Entry outShaftSpeed="5346.00" torque="-450.00" electricPower="-202034.00"/&gt;</v>
      </c>
    </row>
    <row r="889" spans="1:15" x14ac:dyDescent="0.25">
      <c r="A889" s="1">
        <v>5346</v>
      </c>
      <c r="B889">
        <v>-405</v>
      </c>
      <c r="C889">
        <v>-180.51400000000001</v>
      </c>
      <c r="L889">
        <f t="shared" si="39"/>
        <v>5346</v>
      </c>
      <c r="M889">
        <f t="shared" si="39"/>
        <v>-405</v>
      </c>
      <c r="N889">
        <f t="shared" si="40"/>
        <v>-180514</v>
      </c>
      <c r="O889" t="str">
        <f t="shared" si="41"/>
        <v>&lt;Entry outShaftSpeed="5346.00" torque="-405.00" electricPower="-180514.00"/&gt;</v>
      </c>
    </row>
    <row r="890" spans="1:15" x14ac:dyDescent="0.25">
      <c r="A890" s="1">
        <v>5346</v>
      </c>
      <c r="B890">
        <v>-360</v>
      </c>
      <c r="C890">
        <v>-158.71700000000001</v>
      </c>
      <c r="L890">
        <f t="shared" si="39"/>
        <v>5346</v>
      </c>
      <c r="M890">
        <f t="shared" si="39"/>
        <v>-360</v>
      </c>
      <c r="N890">
        <f t="shared" si="40"/>
        <v>-158717</v>
      </c>
      <c r="O890" t="str">
        <f t="shared" si="41"/>
        <v>&lt;Entry outShaftSpeed="5346.00" torque="-360.00" electricPower="-158717.00"/&gt;</v>
      </c>
    </row>
    <row r="891" spans="1:15" x14ac:dyDescent="0.25">
      <c r="A891" s="1">
        <v>5346</v>
      </c>
      <c r="B891">
        <v>-315</v>
      </c>
      <c r="C891">
        <v>-136.64500000000001</v>
      </c>
      <c r="L891">
        <f t="shared" si="39"/>
        <v>5346</v>
      </c>
      <c r="M891">
        <f t="shared" si="39"/>
        <v>-315</v>
      </c>
      <c r="N891">
        <f t="shared" si="40"/>
        <v>-136645</v>
      </c>
      <c r="O891" t="str">
        <f t="shared" si="41"/>
        <v>&lt;Entry outShaftSpeed="5346.00" torque="-315.00" electricPower="-136645.00"/&gt;</v>
      </c>
    </row>
    <row r="892" spans="1:15" x14ac:dyDescent="0.25">
      <c r="A892" s="1">
        <v>5346</v>
      </c>
      <c r="B892">
        <v>-270</v>
      </c>
      <c r="C892">
        <v>-114.298</v>
      </c>
      <c r="L892">
        <f t="shared" si="39"/>
        <v>5346</v>
      </c>
      <c r="M892">
        <f t="shared" si="39"/>
        <v>-270</v>
      </c>
      <c r="N892">
        <f t="shared" si="40"/>
        <v>-114298</v>
      </c>
      <c r="O892" t="str">
        <f t="shared" si="41"/>
        <v>&lt;Entry outShaftSpeed="5346.00" torque="-270.00" electricPower="-114298.00"/&gt;</v>
      </c>
    </row>
    <row r="893" spans="1:15" x14ac:dyDescent="0.25">
      <c r="A893" s="1">
        <v>5346</v>
      </c>
      <c r="B893">
        <v>-225</v>
      </c>
      <c r="C893">
        <v>-91.674999999999997</v>
      </c>
      <c r="L893">
        <f t="shared" si="39"/>
        <v>5346</v>
      </c>
      <c r="M893">
        <f t="shared" si="39"/>
        <v>-225</v>
      </c>
      <c r="N893">
        <f t="shared" si="40"/>
        <v>-91675</v>
      </c>
      <c r="O893" t="str">
        <f t="shared" si="41"/>
        <v>&lt;Entry outShaftSpeed="5346.00" torque="-225.00" electricPower="-91675.00"/&gt;</v>
      </c>
    </row>
    <row r="894" spans="1:15" x14ac:dyDescent="0.25">
      <c r="A894" s="1">
        <v>5346</v>
      </c>
      <c r="B894">
        <v>-180</v>
      </c>
      <c r="C894">
        <v>-68.775000000000006</v>
      </c>
      <c r="L894">
        <f t="shared" si="39"/>
        <v>5346</v>
      </c>
      <c r="M894">
        <f t="shared" si="39"/>
        <v>-180</v>
      </c>
      <c r="N894">
        <f t="shared" si="40"/>
        <v>-68775</v>
      </c>
      <c r="O894" t="str">
        <f t="shared" si="41"/>
        <v>&lt;Entry outShaftSpeed="5346.00" torque="-180.00" electricPower="-68775.00"/&gt;</v>
      </c>
    </row>
    <row r="895" spans="1:15" x14ac:dyDescent="0.25">
      <c r="A895" s="1">
        <v>5346</v>
      </c>
      <c r="B895">
        <v>-135</v>
      </c>
      <c r="C895">
        <v>-45.600999999999999</v>
      </c>
      <c r="L895">
        <f t="shared" si="39"/>
        <v>5346</v>
      </c>
      <c r="M895">
        <f t="shared" si="39"/>
        <v>-135</v>
      </c>
      <c r="N895">
        <f t="shared" si="40"/>
        <v>-45601</v>
      </c>
      <c r="O895" t="str">
        <f t="shared" si="41"/>
        <v>&lt;Entry outShaftSpeed="5346.00" torque="-135.00" electricPower="-45601.00"/&gt;</v>
      </c>
    </row>
    <row r="896" spans="1:15" x14ac:dyDescent="0.25">
      <c r="A896" s="1">
        <v>5346</v>
      </c>
      <c r="B896">
        <v>-90</v>
      </c>
      <c r="C896">
        <v>-22.15</v>
      </c>
      <c r="L896">
        <f t="shared" si="39"/>
        <v>5346</v>
      </c>
      <c r="M896">
        <f t="shared" si="39"/>
        <v>-90</v>
      </c>
      <c r="N896">
        <f t="shared" si="40"/>
        <v>-22150</v>
      </c>
      <c r="O896" t="str">
        <f t="shared" si="41"/>
        <v>&lt;Entry outShaftSpeed="5346.00" torque="-90.00" electricPower="-22150.00"/&gt;</v>
      </c>
    </row>
    <row r="897" spans="1:15" x14ac:dyDescent="0.25">
      <c r="A897" s="1">
        <v>5346</v>
      </c>
      <c r="B897">
        <v>-45</v>
      </c>
      <c r="C897">
        <v>0</v>
      </c>
      <c r="L897">
        <f t="shared" si="39"/>
        <v>5346</v>
      </c>
      <c r="M897">
        <f t="shared" si="39"/>
        <v>-45</v>
      </c>
      <c r="N897">
        <f t="shared" si="40"/>
        <v>0</v>
      </c>
      <c r="O897" t="str">
        <f t="shared" si="41"/>
        <v>&lt;Entry outShaftSpeed="5346.00" torque="-45.00" electricPower="0.00"/&gt;</v>
      </c>
    </row>
    <row r="898" spans="1:15" x14ac:dyDescent="0.25">
      <c r="A898" s="1">
        <v>5346</v>
      </c>
      <c r="B898">
        <v>-9</v>
      </c>
      <c r="C898">
        <v>0</v>
      </c>
      <c r="L898">
        <f t="shared" si="39"/>
        <v>5346</v>
      </c>
      <c r="M898">
        <f t="shared" si="39"/>
        <v>-9</v>
      </c>
      <c r="N898">
        <f t="shared" si="40"/>
        <v>0</v>
      </c>
      <c r="O898" t="str">
        <f t="shared" si="41"/>
        <v>&lt;Entry outShaftSpeed="5346.00" torque="-9.00" electricPower="0.00"/&gt;</v>
      </c>
    </row>
    <row r="899" spans="1:15" x14ac:dyDescent="0.25">
      <c r="A899" s="1">
        <v>5346</v>
      </c>
      <c r="B899">
        <v>9</v>
      </c>
      <c r="C899">
        <v>33.018000000000001</v>
      </c>
      <c r="L899">
        <f t="shared" ref="L899:M962" si="42">A899</f>
        <v>5346</v>
      </c>
      <c r="M899">
        <f t="shared" si="42"/>
        <v>9</v>
      </c>
      <c r="N899">
        <f t="shared" ref="N899:N962" si="43">C899*1000</f>
        <v>33018</v>
      </c>
      <c r="O899" t="str">
        <f t="shared" ref="O899:O962" si="44">"&lt;Entry outShaftSpeed="""&amp;TEXT(ROUND(L899,2),"#0.00")&amp;""" torque=""" &amp; TEXT(ROUND(M899,2),"#0.00") &amp; """ electricPower="""&amp;TEXT(ROUND(N899,2),"#0.00") &amp;  """/&gt;"</f>
        <v>&lt;Entry outShaftSpeed="5346.00" torque="9.00" electricPower="33018.00"/&gt;</v>
      </c>
    </row>
    <row r="900" spans="1:15" x14ac:dyDescent="0.25">
      <c r="A900" s="1">
        <v>5346</v>
      </c>
      <c r="B900">
        <v>45</v>
      </c>
      <c r="C900">
        <v>54.194000000000003</v>
      </c>
      <c r="L900">
        <f t="shared" si="42"/>
        <v>5346</v>
      </c>
      <c r="M900">
        <f t="shared" si="42"/>
        <v>45</v>
      </c>
      <c r="N900">
        <f t="shared" si="43"/>
        <v>54194</v>
      </c>
      <c r="O900" t="str">
        <f t="shared" si="44"/>
        <v>&lt;Entry outShaftSpeed="5346.00" torque="45.00" electricPower="54194.00"/&gt;</v>
      </c>
    </row>
    <row r="901" spans="1:15" x14ac:dyDescent="0.25">
      <c r="A901" s="1">
        <v>5346</v>
      </c>
      <c r="B901">
        <v>90</v>
      </c>
      <c r="C901">
        <v>80.933999999999997</v>
      </c>
      <c r="L901">
        <f t="shared" si="42"/>
        <v>5346</v>
      </c>
      <c r="M901">
        <f t="shared" si="42"/>
        <v>90</v>
      </c>
      <c r="N901">
        <f t="shared" si="43"/>
        <v>80934</v>
      </c>
      <c r="O901" t="str">
        <f t="shared" si="44"/>
        <v>&lt;Entry outShaftSpeed="5346.00" torque="90.00" electricPower="80934.00"/&gt;</v>
      </c>
    </row>
    <row r="902" spans="1:15" x14ac:dyDescent="0.25">
      <c r="A902" s="1">
        <v>5346</v>
      </c>
      <c r="B902">
        <v>135</v>
      </c>
      <c r="C902">
        <v>107.973</v>
      </c>
      <c r="L902">
        <f t="shared" si="42"/>
        <v>5346</v>
      </c>
      <c r="M902">
        <f t="shared" si="42"/>
        <v>135</v>
      </c>
      <c r="N902">
        <f t="shared" si="43"/>
        <v>107973</v>
      </c>
      <c r="O902" t="str">
        <f t="shared" si="44"/>
        <v>&lt;Entry outShaftSpeed="5346.00" torque="135.00" electricPower="107973.00"/&gt;</v>
      </c>
    </row>
    <row r="903" spans="1:15" x14ac:dyDescent="0.25">
      <c r="A903" s="1">
        <v>5346</v>
      </c>
      <c r="B903">
        <v>180</v>
      </c>
      <c r="C903">
        <v>135.31100000000001</v>
      </c>
      <c r="L903">
        <f t="shared" si="42"/>
        <v>5346</v>
      </c>
      <c r="M903">
        <f t="shared" si="42"/>
        <v>180</v>
      </c>
      <c r="N903">
        <f t="shared" si="43"/>
        <v>135311</v>
      </c>
      <c r="O903" t="str">
        <f t="shared" si="44"/>
        <v>&lt;Entry outShaftSpeed="5346.00" torque="180.00" electricPower="135311.00"/&gt;</v>
      </c>
    </row>
    <row r="904" spans="1:15" x14ac:dyDescent="0.25">
      <c r="A904" s="1">
        <v>5346</v>
      </c>
      <c r="B904">
        <v>225</v>
      </c>
      <c r="C904">
        <v>162.94800000000001</v>
      </c>
      <c r="L904">
        <f t="shared" si="42"/>
        <v>5346</v>
      </c>
      <c r="M904">
        <f t="shared" si="42"/>
        <v>225</v>
      </c>
      <c r="N904">
        <f t="shared" si="43"/>
        <v>162948</v>
      </c>
      <c r="O904" t="str">
        <f t="shared" si="44"/>
        <v>&lt;Entry outShaftSpeed="5346.00" torque="225.00" electricPower="162948.00"/&gt;</v>
      </c>
    </row>
    <row r="905" spans="1:15" x14ac:dyDescent="0.25">
      <c r="A905" s="1">
        <v>5346</v>
      </c>
      <c r="B905">
        <v>270</v>
      </c>
      <c r="C905">
        <v>190.88399999999999</v>
      </c>
      <c r="L905">
        <f t="shared" si="42"/>
        <v>5346</v>
      </c>
      <c r="M905">
        <f t="shared" si="42"/>
        <v>270</v>
      </c>
      <c r="N905">
        <f t="shared" si="43"/>
        <v>190884</v>
      </c>
      <c r="O905" t="str">
        <f t="shared" si="44"/>
        <v>&lt;Entry outShaftSpeed="5346.00" torque="270.00" electricPower="190884.00"/&gt;</v>
      </c>
    </row>
    <row r="906" spans="1:15" x14ac:dyDescent="0.25">
      <c r="A906" s="1">
        <v>5346</v>
      </c>
      <c r="B906">
        <v>315</v>
      </c>
      <c r="C906">
        <v>219.12</v>
      </c>
      <c r="L906">
        <f t="shared" si="42"/>
        <v>5346</v>
      </c>
      <c r="M906">
        <f t="shared" si="42"/>
        <v>315</v>
      </c>
      <c r="N906">
        <f t="shared" si="43"/>
        <v>219120</v>
      </c>
      <c r="O906" t="str">
        <f t="shared" si="44"/>
        <v>&lt;Entry outShaftSpeed="5346.00" torque="315.00" electricPower="219120.00"/&gt;</v>
      </c>
    </row>
    <row r="907" spans="1:15" x14ac:dyDescent="0.25">
      <c r="A907" s="1">
        <v>5346</v>
      </c>
      <c r="B907">
        <v>360</v>
      </c>
      <c r="C907">
        <v>247.654</v>
      </c>
      <c r="L907">
        <f t="shared" si="42"/>
        <v>5346</v>
      </c>
      <c r="M907">
        <f t="shared" si="42"/>
        <v>360</v>
      </c>
      <c r="N907">
        <f t="shared" si="43"/>
        <v>247654</v>
      </c>
      <c r="O907" t="str">
        <f t="shared" si="44"/>
        <v>&lt;Entry outShaftSpeed="5346.00" torque="360.00" electricPower="247654.00"/&gt;</v>
      </c>
    </row>
    <row r="908" spans="1:15" x14ac:dyDescent="0.25">
      <c r="A908" s="1">
        <v>5346</v>
      </c>
      <c r="B908">
        <v>405</v>
      </c>
      <c r="C908">
        <v>276.488</v>
      </c>
      <c r="L908">
        <f t="shared" si="42"/>
        <v>5346</v>
      </c>
      <c r="M908">
        <f t="shared" si="42"/>
        <v>405</v>
      </c>
      <c r="N908">
        <f t="shared" si="43"/>
        <v>276488</v>
      </c>
      <c r="O908" t="str">
        <f t="shared" si="44"/>
        <v>&lt;Entry outShaftSpeed="5346.00" torque="405.00" electricPower="276488.00"/&gt;</v>
      </c>
    </row>
    <row r="909" spans="1:15" x14ac:dyDescent="0.25">
      <c r="A909" s="1">
        <v>5346</v>
      </c>
      <c r="B909">
        <v>450</v>
      </c>
      <c r="C909">
        <v>305.62099999999998</v>
      </c>
      <c r="L909">
        <f t="shared" si="42"/>
        <v>5346</v>
      </c>
      <c r="M909">
        <f t="shared" si="42"/>
        <v>450</v>
      </c>
      <c r="N909">
        <f t="shared" si="43"/>
        <v>305621</v>
      </c>
      <c r="O909" t="str">
        <f t="shared" si="44"/>
        <v>&lt;Entry outShaftSpeed="5346.00" torque="450.00" electricPower="305621.00"/&gt;</v>
      </c>
    </row>
    <row r="910" spans="1:15" x14ac:dyDescent="0.25">
      <c r="A910" s="1">
        <v>5346</v>
      </c>
      <c r="B910">
        <v>495</v>
      </c>
      <c r="C910">
        <v>335.053</v>
      </c>
      <c r="L910">
        <f t="shared" si="42"/>
        <v>5346</v>
      </c>
      <c r="M910">
        <f t="shared" si="42"/>
        <v>495</v>
      </c>
      <c r="N910">
        <f t="shared" si="43"/>
        <v>335053</v>
      </c>
      <c r="O910" t="str">
        <f t="shared" si="44"/>
        <v>&lt;Entry outShaftSpeed="5346.00" torque="495.00" electricPower="335053.00"/&gt;</v>
      </c>
    </row>
    <row r="911" spans="1:15" x14ac:dyDescent="0.25">
      <c r="A911" s="1">
        <v>5346</v>
      </c>
      <c r="B911">
        <v>540</v>
      </c>
      <c r="C911">
        <v>364.78500000000003</v>
      </c>
      <c r="L911">
        <f t="shared" si="42"/>
        <v>5346</v>
      </c>
      <c r="M911">
        <f t="shared" si="42"/>
        <v>540</v>
      </c>
      <c r="N911">
        <f t="shared" si="43"/>
        <v>364785</v>
      </c>
      <c r="O911" t="str">
        <f t="shared" si="44"/>
        <v>&lt;Entry outShaftSpeed="5346.00" torque="540.00" electricPower="364785.00"/&gt;</v>
      </c>
    </row>
    <row r="912" spans="1:15" x14ac:dyDescent="0.25">
      <c r="A912" s="1">
        <v>5346</v>
      </c>
      <c r="B912">
        <v>585</v>
      </c>
      <c r="C912">
        <v>394.815</v>
      </c>
      <c r="L912">
        <f t="shared" si="42"/>
        <v>5346</v>
      </c>
      <c r="M912">
        <f t="shared" si="42"/>
        <v>585</v>
      </c>
      <c r="N912">
        <f t="shared" si="43"/>
        <v>394815</v>
      </c>
      <c r="O912" t="str">
        <f t="shared" si="44"/>
        <v>&lt;Entry outShaftSpeed="5346.00" torque="585.00" electricPower="394815.00"/&gt;</v>
      </c>
    </row>
    <row r="913" spans="1:15" x14ac:dyDescent="0.25">
      <c r="A913" s="1">
        <v>5346</v>
      </c>
      <c r="B913">
        <v>630</v>
      </c>
      <c r="C913">
        <v>425.14499999999998</v>
      </c>
      <c r="L913">
        <f t="shared" si="42"/>
        <v>5346</v>
      </c>
      <c r="M913">
        <f t="shared" si="42"/>
        <v>630</v>
      </c>
      <c r="N913">
        <f t="shared" si="43"/>
        <v>425145</v>
      </c>
      <c r="O913" t="str">
        <f t="shared" si="44"/>
        <v>&lt;Entry outShaftSpeed="5346.00" torque="630.00" electricPower="425145.00"/&gt;</v>
      </c>
    </row>
    <row r="914" spans="1:15" x14ac:dyDescent="0.25">
      <c r="A914" s="1">
        <v>5346</v>
      </c>
      <c r="B914">
        <v>675</v>
      </c>
      <c r="C914">
        <v>455.774</v>
      </c>
      <c r="L914">
        <f t="shared" si="42"/>
        <v>5346</v>
      </c>
      <c r="M914">
        <f t="shared" si="42"/>
        <v>675</v>
      </c>
      <c r="N914">
        <f t="shared" si="43"/>
        <v>455774</v>
      </c>
      <c r="O914" t="str">
        <f t="shared" si="44"/>
        <v>&lt;Entry outShaftSpeed="5346.00" torque="675.00" electricPower="455774.00"/&gt;</v>
      </c>
    </row>
    <row r="915" spans="1:15" x14ac:dyDescent="0.25">
      <c r="A915" s="1">
        <v>5346</v>
      </c>
      <c r="B915">
        <v>720</v>
      </c>
      <c r="C915">
        <v>486.70100000000002</v>
      </c>
      <c r="L915">
        <f t="shared" si="42"/>
        <v>5346</v>
      </c>
      <c r="M915">
        <f t="shared" si="42"/>
        <v>720</v>
      </c>
      <c r="N915">
        <f t="shared" si="43"/>
        <v>486701</v>
      </c>
      <c r="O915" t="str">
        <f t="shared" si="44"/>
        <v>&lt;Entry outShaftSpeed="5346.00" torque="720.00" electricPower="486701.00"/&gt;</v>
      </c>
    </row>
    <row r="916" spans="1:15" x14ac:dyDescent="0.25">
      <c r="A916" s="1">
        <v>5346</v>
      </c>
      <c r="B916">
        <v>765</v>
      </c>
      <c r="C916">
        <v>517.92899999999997</v>
      </c>
      <c r="L916">
        <f t="shared" si="42"/>
        <v>5346</v>
      </c>
      <c r="M916">
        <f t="shared" si="42"/>
        <v>765</v>
      </c>
      <c r="N916">
        <f t="shared" si="43"/>
        <v>517929</v>
      </c>
      <c r="O916" t="str">
        <f t="shared" si="44"/>
        <v>&lt;Entry outShaftSpeed="5346.00" torque="765.00" electricPower="517929.00"/&gt;</v>
      </c>
    </row>
    <row r="917" spans="1:15" x14ac:dyDescent="0.25">
      <c r="A917" s="1">
        <v>5346</v>
      </c>
      <c r="B917">
        <v>810</v>
      </c>
      <c r="C917">
        <v>549.45500000000004</v>
      </c>
      <c r="L917">
        <f t="shared" si="42"/>
        <v>5346</v>
      </c>
      <c r="M917">
        <f t="shared" si="42"/>
        <v>810</v>
      </c>
      <c r="N917">
        <f t="shared" si="43"/>
        <v>549455</v>
      </c>
      <c r="O917" t="str">
        <f t="shared" si="44"/>
        <v>&lt;Entry outShaftSpeed="5346.00" torque="810.00" electricPower="549455.00"/&gt;</v>
      </c>
    </row>
    <row r="918" spans="1:15" x14ac:dyDescent="0.25">
      <c r="A918" s="1">
        <v>5346</v>
      </c>
      <c r="B918">
        <v>855</v>
      </c>
      <c r="C918">
        <v>581.28</v>
      </c>
      <c r="L918">
        <f t="shared" si="42"/>
        <v>5346</v>
      </c>
      <c r="M918">
        <f t="shared" si="42"/>
        <v>855</v>
      </c>
      <c r="N918">
        <f t="shared" si="43"/>
        <v>581280</v>
      </c>
      <c r="O918" t="str">
        <f t="shared" si="44"/>
        <v>&lt;Entry outShaftSpeed="5346.00" torque="855.00" electricPower="581280.00"/&gt;</v>
      </c>
    </row>
    <row r="919" spans="1:15" x14ac:dyDescent="0.25">
      <c r="A919" s="1">
        <v>5346</v>
      </c>
      <c r="B919">
        <v>900</v>
      </c>
      <c r="C919">
        <v>613.40499999999997</v>
      </c>
      <c r="L919">
        <f t="shared" si="42"/>
        <v>5346</v>
      </c>
      <c r="M919">
        <f t="shared" si="42"/>
        <v>900</v>
      </c>
      <c r="N919">
        <f t="shared" si="43"/>
        <v>613405</v>
      </c>
      <c r="O919" t="str">
        <f t="shared" si="44"/>
        <v>&lt;Entry outShaftSpeed="5346.00" torque="900.00" electricPower="613405.00"/&gt;</v>
      </c>
    </row>
    <row r="920" spans="1:15" x14ac:dyDescent="0.25">
      <c r="A920" s="1">
        <v>5346</v>
      </c>
      <c r="B920">
        <v>945</v>
      </c>
      <c r="C920">
        <v>645.82899999999995</v>
      </c>
      <c r="L920">
        <f t="shared" si="42"/>
        <v>5346</v>
      </c>
      <c r="M920">
        <f t="shared" si="42"/>
        <v>945</v>
      </c>
      <c r="N920">
        <f t="shared" si="43"/>
        <v>645829</v>
      </c>
      <c r="O920" t="str">
        <f t="shared" si="44"/>
        <v>&lt;Entry outShaftSpeed="5346.00" torque="945.00" electricPower="645829.00"/&gt;</v>
      </c>
    </row>
    <row r="921" spans="1:15" x14ac:dyDescent="0.25">
      <c r="A921" s="1">
        <v>5346</v>
      </c>
      <c r="B921">
        <v>990</v>
      </c>
      <c r="C921">
        <v>678.55100000000004</v>
      </c>
      <c r="L921">
        <f t="shared" si="42"/>
        <v>5346</v>
      </c>
      <c r="M921">
        <f t="shared" si="42"/>
        <v>990</v>
      </c>
      <c r="N921">
        <f t="shared" si="43"/>
        <v>678551</v>
      </c>
      <c r="O921" t="str">
        <f t="shared" si="44"/>
        <v>&lt;Entry outShaftSpeed="5346.00" torque="990.00" electricPower="678551.00"/&gt;</v>
      </c>
    </row>
    <row r="922" spans="1:15" x14ac:dyDescent="0.25">
      <c r="A922" s="1">
        <v>5643</v>
      </c>
      <c r="B922">
        <v>-990</v>
      </c>
      <c r="C922">
        <v>-457.14</v>
      </c>
      <c r="L922">
        <f t="shared" si="42"/>
        <v>5643</v>
      </c>
      <c r="M922">
        <f t="shared" si="42"/>
        <v>-990</v>
      </c>
      <c r="N922">
        <f t="shared" si="43"/>
        <v>-457140</v>
      </c>
      <c r="O922" t="str">
        <f t="shared" si="44"/>
        <v>&lt;Entry outShaftSpeed="5643.00" torque="-990.00" electricPower="-457140.00"/&gt;</v>
      </c>
    </row>
    <row r="923" spans="1:15" x14ac:dyDescent="0.25">
      <c r="A923" s="1">
        <v>5643</v>
      </c>
      <c r="B923">
        <v>-945</v>
      </c>
      <c r="C923">
        <v>-438.22899999999998</v>
      </c>
      <c r="L923">
        <f t="shared" si="42"/>
        <v>5643</v>
      </c>
      <c r="M923">
        <f t="shared" si="42"/>
        <v>-945</v>
      </c>
      <c r="N923">
        <f t="shared" si="43"/>
        <v>-438229</v>
      </c>
      <c r="O923" t="str">
        <f t="shared" si="44"/>
        <v>&lt;Entry outShaftSpeed="5643.00" torque="-945.00" electricPower="-438229.00"/&gt;</v>
      </c>
    </row>
    <row r="924" spans="1:15" x14ac:dyDescent="0.25">
      <c r="A924" s="1">
        <v>5643</v>
      </c>
      <c r="B924">
        <v>-900</v>
      </c>
      <c r="C924">
        <v>-419.012</v>
      </c>
      <c r="L924">
        <f t="shared" si="42"/>
        <v>5643</v>
      </c>
      <c r="M924">
        <f t="shared" si="42"/>
        <v>-900</v>
      </c>
      <c r="N924">
        <f t="shared" si="43"/>
        <v>-419012</v>
      </c>
      <c r="O924" t="str">
        <f t="shared" si="44"/>
        <v>&lt;Entry outShaftSpeed="5643.00" torque="-900.00" electricPower="-419012.00"/&gt;</v>
      </c>
    </row>
    <row r="925" spans="1:15" x14ac:dyDescent="0.25">
      <c r="A925" s="1">
        <v>5643</v>
      </c>
      <c r="B925">
        <v>-855</v>
      </c>
      <c r="C925">
        <v>-399.48899999999998</v>
      </c>
      <c r="L925">
        <f t="shared" si="42"/>
        <v>5643</v>
      </c>
      <c r="M925">
        <f t="shared" si="42"/>
        <v>-855</v>
      </c>
      <c r="N925">
        <f t="shared" si="43"/>
        <v>-399489</v>
      </c>
      <c r="O925" t="str">
        <f t="shared" si="44"/>
        <v>&lt;Entry outShaftSpeed="5643.00" torque="-855.00" electricPower="-399489.00"/&gt;</v>
      </c>
    </row>
    <row r="926" spans="1:15" x14ac:dyDescent="0.25">
      <c r="A926" s="1">
        <v>5643</v>
      </c>
      <c r="B926">
        <v>-810</v>
      </c>
      <c r="C926">
        <v>-379.661</v>
      </c>
      <c r="L926">
        <f t="shared" si="42"/>
        <v>5643</v>
      </c>
      <c r="M926">
        <f t="shared" si="42"/>
        <v>-810</v>
      </c>
      <c r="N926">
        <f t="shared" si="43"/>
        <v>-379661</v>
      </c>
      <c r="O926" t="str">
        <f t="shared" si="44"/>
        <v>&lt;Entry outShaftSpeed="5643.00" torque="-810.00" electricPower="-379661.00"/&gt;</v>
      </c>
    </row>
    <row r="927" spans="1:15" x14ac:dyDescent="0.25">
      <c r="A927" s="1">
        <v>5643</v>
      </c>
      <c r="B927">
        <v>-765</v>
      </c>
      <c r="C927">
        <v>-359.52600000000001</v>
      </c>
      <c r="L927">
        <f t="shared" si="42"/>
        <v>5643</v>
      </c>
      <c r="M927">
        <f t="shared" si="42"/>
        <v>-765</v>
      </c>
      <c r="N927">
        <f t="shared" si="43"/>
        <v>-359526</v>
      </c>
      <c r="O927" t="str">
        <f t="shared" si="44"/>
        <v>&lt;Entry outShaftSpeed="5643.00" torque="-765.00" electricPower="-359526.00"/&gt;</v>
      </c>
    </row>
    <row r="928" spans="1:15" x14ac:dyDescent="0.25">
      <c r="A928" s="1">
        <v>5643</v>
      </c>
      <c r="B928">
        <v>-720</v>
      </c>
      <c r="C928">
        <v>-339.08699999999999</v>
      </c>
      <c r="L928">
        <f t="shared" si="42"/>
        <v>5643</v>
      </c>
      <c r="M928">
        <f t="shared" si="42"/>
        <v>-720</v>
      </c>
      <c r="N928">
        <f t="shared" si="43"/>
        <v>-339087</v>
      </c>
      <c r="O928" t="str">
        <f t="shared" si="44"/>
        <v>&lt;Entry outShaftSpeed="5643.00" torque="-720.00" electricPower="-339087.00"/&gt;</v>
      </c>
    </row>
    <row r="929" spans="1:15" x14ac:dyDescent="0.25">
      <c r="A929" s="1">
        <v>5643</v>
      </c>
      <c r="B929">
        <v>-675</v>
      </c>
      <c r="C929">
        <v>-318.34100000000001</v>
      </c>
      <c r="L929">
        <f t="shared" si="42"/>
        <v>5643</v>
      </c>
      <c r="M929">
        <f t="shared" si="42"/>
        <v>-675</v>
      </c>
      <c r="N929">
        <f t="shared" si="43"/>
        <v>-318341</v>
      </c>
      <c r="O929" t="str">
        <f t="shared" si="44"/>
        <v>&lt;Entry outShaftSpeed="5643.00" torque="-675.00" electricPower="-318341.00"/&gt;</v>
      </c>
    </row>
    <row r="930" spans="1:15" x14ac:dyDescent="0.25">
      <c r="A930" s="1">
        <v>5643</v>
      </c>
      <c r="B930">
        <v>-630</v>
      </c>
      <c r="C930">
        <v>-297.29000000000002</v>
      </c>
      <c r="L930">
        <f t="shared" si="42"/>
        <v>5643</v>
      </c>
      <c r="M930">
        <f t="shared" si="42"/>
        <v>-630</v>
      </c>
      <c r="N930">
        <f t="shared" si="43"/>
        <v>-297290</v>
      </c>
      <c r="O930" t="str">
        <f t="shared" si="44"/>
        <v>&lt;Entry outShaftSpeed="5643.00" torque="-630.00" electricPower="-297290.00"/&gt;</v>
      </c>
    </row>
    <row r="931" spans="1:15" x14ac:dyDescent="0.25">
      <c r="A931" s="1">
        <v>5643</v>
      </c>
      <c r="B931">
        <v>-585</v>
      </c>
      <c r="C931">
        <v>-275.93299999999999</v>
      </c>
      <c r="L931">
        <f t="shared" si="42"/>
        <v>5643</v>
      </c>
      <c r="M931">
        <f t="shared" si="42"/>
        <v>-585</v>
      </c>
      <c r="N931">
        <f t="shared" si="43"/>
        <v>-275933</v>
      </c>
      <c r="O931" t="str">
        <f t="shared" si="44"/>
        <v>&lt;Entry outShaftSpeed="5643.00" torque="-585.00" electricPower="-275933.00"/&gt;</v>
      </c>
    </row>
    <row r="932" spans="1:15" x14ac:dyDescent="0.25">
      <c r="A932" s="1">
        <v>5643</v>
      </c>
      <c r="B932">
        <v>-540</v>
      </c>
      <c r="C932">
        <v>-254.27099999999999</v>
      </c>
      <c r="L932">
        <f t="shared" si="42"/>
        <v>5643</v>
      </c>
      <c r="M932">
        <f t="shared" si="42"/>
        <v>-540</v>
      </c>
      <c r="N932">
        <f t="shared" si="43"/>
        <v>-254271</v>
      </c>
      <c r="O932" t="str">
        <f t="shared" si="44"/>
        <v>&lt;Entry outShaftSpeed="5643.00" torque="-540.00" electricPower="-254271.00"/&gt;</v>
      </c>
    </row>
    <row r="933" spans="1:15" x14ac:dyDescent="0.25">
      <c r="A933" s="1">
        <v>5643</v>
      </c>
      <c r="B933">
        <v>-495</v>
      </c>
      <c r="C933">
        <v>-232.303</v>
      </c>
      <c r="L933">
        <f t="shared" si="42"/>
        <v>5643</v>
      </c>
      <c r="M933">
        <f t="shared" si="42"/>
        <v>-495</v>
      </c>
      <c r="N933">
        <f t="shared" si="43"/>
        <v>-232303</v>
      </c>
      <c r="O933" t="str">
        <f t="shared" si="44"/>
        <v>&lt;Entry outShaftSpeed="5643.00" torque="-495.00" electricPower="-232303.00"/&gt;</v>
      </c>
    </row>
    <row r="934" spans="1:15" x14ac:dyDescent="0.25">
      <c r="A934" s="1">
        <v>5643</v>
      </c>
      <c r="B934">
        <v>-450</v>
      </c>
      <c r="C934">
        <v>-210.029</v>
      </c>
      <c r="L934">
        <f t="shared" si="42"/>
        <v>5643</v>
      </c>
      <c r="M934">
        <f t="shared" si="42"/>
        <v>-450</v>
      </c>
      <c r="N934">
        <f t="shared" si="43"/>
        <v>-210029</v>
      </c>
      <c r="O934" t="str">
        <f t="shared" si="44"/>
        <v>&lt;Entry outShaftSpeed="5643.00" torque="-450.00" electricPower="-210029.00"/&gt;</v>
      </c>
    </row>
    <row r="935" spans="1:15" x14ac:dyDescent="0.25">
      <c r="A935" s="1">
        <v>5643</v>
      </c>
      <c r="B935">
        <v>-405</v>
      </c>
      <c r="C935">
        <v>-187.44900000000001</v>
      </c>
      <c r="L935">
        <f t="shared" si="42"/>
        <v>5643</v>
      </c>
      <c r="M935">
        <f t="shared" si="42"/>
        <v>-405</v>
      </c>
      <c r="N935">
        <f t="shared" si="43"/>
        <v>-187449</v>
      </c>
      <c r="O935" t="str">
        <f t="shared" si="44"/>
        <v>&lt;Entry outShaftSpeed="5643.00" torque="-405.00" electricPower="-187449.00"/&gt;</v>
      </c>
    </row>
    <row r="936" spans="1:15" x14ac:dyDescent="0.25">
      <c r="A936" s="1">
        <v>5643</v>
      </c>
      <c r="B936">
        <v>-360</v>
      </c>
      <c r="C936">
        <v>-164.56399999999999</v>
      </c>
      <c r="L936">
        <f t="shared" si="42"/>
        <v>5643</v>
      </c>
      <c r="M936">
        <f t="shared" si="42"/>
        <v>-360</v>
      </c>
      <c r="N936">
        <f t="shared" si="43"/>
        <v>-164564</v>
      </c>
      <c r="O936" t="str">
        <f t="shared" si="44"/>
        <v>&lt;Entry outShaftSpeed="5643.00" torque="-360.00" electricPower="-164564.00"/&gt;</v>
      </c>
    </row>
    <row r="937" spans="1:15" x14ac:dyDescent="0.25">
      <c r="A937" s="1">
        <v>5643</v>
      </c>
      <c r="B937">
        <v>-315</v>
      </c>
      <c r="C937">
        <v>-141.37299999999999</v>
      </c>
      <c r="L937">
        <f t="shared" si="42"/>
        <v>5643</v>
      </c>
      <c r="M937">
        <f t="shared" si="42"/>
        <v>-315</v>
      </c>
      <c r="N937">
        <f t="shared" si="43"/>
        <v>-141373</v>
      </c>
      <c r="O937" t="str">
        <f t="shared" si="44"/>
        <v>&lt;Entry outShaftSpeed="5643.00" torque="-315.00" electricPower="-141373.00"/&gt;</v>
      </c>
    </row>
    <row r="938" spans="1:15" x14ac:dyDescent="0.25">
      <c r="A938" s="1">
        <v>5643</v>
      </c>
      <c r="B938">
        <v>-270</v>
      </c>
      <c r="C938">
        <v>-117.877</v>
      </c>
      <c r="L938">
        <f t="shared" si="42"/>
        <v>5643</v>
      </c>
      <c r="M938">
        <f t="shared" si="42"/>
        <v>-270</v>
      </c>
      <c r="N938">
        <f t="shared" si="43"/>
        <v>-117877</v>
      </c>
      <c r="O938" t="str">
        <f t="shared" si="44"/>
        <v>&lt;Entry outShaftSpeed="5643.00" torque="-270.00" electricPower="-117877.00"/&gt;</v>
      </c>
    </row>
    <row r="939" spans="1:15" x14ac:dyDescent="0.25">
      <c r="A939" s="1">
        <v>5643</v>
      </c>
      <c r="B939">
        <v>-225</v>
      </c>
      <c r="C939">
        <v>-94.075000000000003</v>
      </c>
      <c r="L939">
        <f t="shared" si="42"/>
        <v>5643</v>
      </c>
      <c r="M939">
        <f t="shared" si="42"/>
        <v>-225</v>
      </c>
      <c r="N939">
        <f t="shared" si="43"/>
        <v>-94075</v>
      </c>
      <c r="O939" t="str">
        <f t="shared" si="44"/>
        <v>&lt;Entry outShaftSpeed="5643.00" torque="-225.00" electricPower="-94075.00"/&gt;</v>
      </c>
    </row>
    <row r="940" spans="1:15" x14ac:dyDescent="0.25">
      <c r="A940" s="1">
        <v>5643</v>
      </c>
      <c r="B940">
        <v>-180</v>
      </c>
      <c r="C940">
        <v>-69.966999999999999</v>
      </c>
      <c r="L940">
        <f t="shared" si="42"/>
        <v>5643</v>
      </c>
      <c r="M940">
        <f t="shared" si="42"/>
        <v>-180</v>
      </c>
      <c r="N940">
        <f t="shared" si="43"/>
        <v>-69967</v>
      </c>
      <c r="O940" t="str">
        <f t="shared" si="44"/>
        <v>&lt;Entry outShaftSpeed="5643.00" torque="-180.00" electricPower="-69967.00"/&gt;</v>
      </c>
    </row>
    <row r="941" spans="1:15" x14ac:dyDescent="0.25">
      <c r="A941" s="1">
        <v>5643</v>
      </c>
      <c r="B941">
        <v>-135</v>
      </c>
      <c r="C941">
        <v>-45.552999999999997</v>
      </c>
      <c r="L941">
        <f t="shared" si="42"/>
        <v>5643</v>
      </c>
      <c r="M941">
        <f t="shared" si="42"/>
        <v>-135</v>
      </c>
      <c r="N941">
        <f t="shared" si="43"/>
        <v>-45553</v>
      </c>
      <c r="O941" t="str">
        <f t="shared" si="44"/>
        <v>&lt;Entry outShaftSpeed="5643.00" torque="-135.00" electricPower="-45553.00"/&gt;</v>
      </c>
    </row>
    <row r="942" spans="1:15" x14ac:dyDescent="0.25">
      <c r="A942" s="1">
        <v>5643</v>
      </c>
      <c r="B942">
        <v>-90</v>
      </c>
      <c r="C942">
        <v>-20.834</v>
      </c>
      <c r="L942">
        <f t="shared" si="42"/>
        <v>5643</v>
      </c>
      <c r="M942">
        <f t="shared" si="42"/>
        <v>-90</v>
      </c>
      <c r="N942">
        <f t="shared" si="43"/>
        <v>-20834</v>
      </c>
      <c r="O942" t="str">
        <f t="shared" si="44"/>
        <v>&lt;Entry outShaftSpeed="5643.00" torque="-90.00" electricPower="-20834.00"/&gt;</v>
      </c>
    </row>
    <row r="943" spans="1:15" x14ac:dyDescent="0.25">
      <c r="A943" s="1">
        <v>5643</v>
      </c>
      <c r="B943">
        <v>-45</v>
      </c>
      <c r="C943">
        <v>0</v>
      </c>
      <c r="L943">
        <f t="shared" si="42"/>
        <v>5643</v>
      </c>
      <c r="M943">
        <f t="shared" si="42"/>
        <v>-45</v>
      </c>
      <c r="N943">
        <f t="shared" si="43"/>
        <v>0</v>
      </c>
      <c r="O943" t="str">
        <f t="shared" si="44"/>
        <v>&lt;Entry outShaftSpeed="5643.00" torque="-45.00" electricPower="0.00"/&gt;</v>
      </c>
    </row>
    <row r="944" spans="1:15" x14ac:dyDescent="0.25">
      <c r="A944" s="1">
        <v>5643</v>
      </c>
      <c r="B944">
        <v>-9</v>
      </c>
      <c r="C944">
        <v>0</v>
      </c>
      <c r="L944">
        <f t="shared" si="42"/>
        <v>5643</v>
      </c>
      <c r="M944">
        <f t="shared" si="42"/>
        <v>-9</v>
      </c>
      <c r="N944">
        <f t="shared" si="43"/>
        <v>0</v>
      </c>
      <c r="O944" t="str">
        <f t="shared" si="44"/>
        <v>&lt;Entry outShaftSpeed="5643.00" torque="-9.00" electricPower="0.00"/&gt;</v>
      </c>
    </row>
    <row r="945" spans="1:15" x14ac:dyDescent="0.25">
      <c r="A945" s="1">
        <v>5643</v>
      </c>
      <c r="B945">
        <v>9</v>
      </c>
      <c r="C945">
        <v>37.588999999999999</v>
      </c>
      <c r="L945">
        <f t="shared" si="42"/>
        <v>5643</v>
      </c>
      <c r="M945">
        <f t="shared" si="42"/>
        <v>9</v>
      </c>
      <c r="N945">
        <f t="shared" si="43"/>
        <v>37589</v>
      </c>
      <c r="O945" t="str">
        <f t="shared" si="44"/>
        <v>&lt;Entry outShaftSpeed="5643.00" torque="9.00" electricPower="37589.00"/&gt;</v>
      </c>
    </row>
    <row r="946" spans="1:15" x14ac:dyDescent="0.25">
      <c r="A946" s="1">
        <v>5643</v>
      </c>
      <c r="B946">
        <v>45</v>
      </c>
      <c r="C946">
        <v>59.947000000000003</v>
      </c>
      <c r="L946">
        <f t="shared" si="42"/>
        <v>5643</v>
      </c>
      <c r="M946">
        <f t="shared" si="42"/>
        <v>45</v>
      </c>
      <c r="N946">
        <f t="shared" si="43"/>
        <v>59947</v>
      </c>
      <c r="O946" t="str">
        <f t="shared" si="44"/>
        <v>&lt;Entry outShaftSpeed="5643.00" torque="45.00" electricPower="59947.00"/&gt;</v>
      </c>
    </row>
    <row r="947" spans="1:15" x14ac:dyDescent="0.25">
      <c r="A947" s="1">
        <v>5643</v>
      </c>
      <c r="B947">
        <v>90</v>
      </c>
      <c r="C947">
        <v>88.192999999999998</v>
      </c>
      <c r="L947">
        <f t="shared" si="42"/>
        <v>5643</v>
      </c>
      <c r="M947">
        <f t="shared" si="42"/>
        <v>90</v>
      </c>
      <c r="N947">
        <f t="shared" si="43"/>
        <v>88193</v>
      </c>
      <c r="O947" t="str">
        <f t="shared" si="44"/>
        <v>&lt;Entry outShaftSpeed="5643.00" torque="90.00" electricPower="88193.00"/&gt;</v>
      </c>
    </row>
    <row r="948" spans="1:15" x14ac:dyDescent="0.25">
      <c r="A948" s="1">
        <v>5643</v>
      </c>
      <c r="B948">
        <v>135</v>
      </c>
      <c r="C948">
        <v>116.771</v>
      </c>
      <c r="L948">
        <f t="shared" si="42"/>
        <v>5643</v>
      </c>
      <c r="M948">
        <f t="shared" si="42"/>
        <v>135</v>
      </c>
      <c r="N948">
        <f t="shared" si="43"/>
        <v>116771</v>
      </c>
      <c r="O948" t="str">
        <f t="shared" si="44"/>
        <v>&lt;Entry outShaftSpeed="5643.00" torque="135.00" electricPower="116771.00"/&gt;</v>
      </c>
    </row>
    <row r="949" spans="1:15" x14ac:dyDescent="0.25">
      <c r="A949" s="1">
        <v>5643</v>
      </c>
      <c r="B949">
        <v>180</v>
      </c>
      <c r="C949">
        <v>145.68100000000001</v>
      </c>
      <c r="L949">
        <f t="shared" si="42"/>
        <v>5643</v>
      </c>
      <c r="M949">
        <f t="shared" si="42"/>
        <v>180</v>
      </c>
      <c r="N949">
        <f t="shared" si="43"/>
        <v>145681</v>
      </c>
      <c r="O949" t="str">
        <f t="shared" si="44"/>
        <v>&lt;Entry outShaftSpeed="5643.00" torque="180.00" electricPower="145681.00"/&gt;</v>
      </c>
    </row>
    <row r="950" spans="1:15" x14ac:dyDescent="0.25">
      <c r="A950" s="1">
        <v>5643</v>
      </c>
      <c r="B950">
        <v>225</v>
      </c>
      <c r="C950">
        <v>174.922</v>
      </c>
      <c r="L950">
        <f t="shared" si="42"/>
        <v>5643</v>
      </c>
      <c r="M950">
        <f t="shared" si="42"/>
        <v>225</v>
      </c>
      <c r="N950">
        <f t="shared" si="43"/>
        <v>174922</v>
      </c>
      <c r="O950" t="str">
        <f t="shared" si="44"/>
        <v>&lt;Entry outShaftSpeed="5643.00" torque="225.00" electricPower="174922.00"/&gt;</v>
      </c>
    </row>
    <row r="951" spans="1:15" x14ac:dyDescent="0.25">
      <c r="A951" s="1">
        <v>5643</v>
      </c>
      <c r="B951">
        <v>270</v>
      </c>
      <c r="C951">
        <v>204.495</v>
      </c>
      <c r="L951">
        <f t="shared" si="42"/>
        <v>5643</v>
      </c>
      <c r="M951">
        <f t="shared" si="42"/>
        <v>270</v>
      </c>
      <c r="N951">
        <f t="shared" si="43"/>
        <v>204495</v>
      </c>
      <c r="O951" t="str">
        <f t="shared" si="44"/>
        <v>&lt;Entry outShaftSpeed="5643.00" torque="270.00" electricPower="204495.00"/&gt;</v>
      </c>
    </row>
    <row r="952" spans="1:15" x14ac:dyDescent="0.25">
      <c r="A952" s="1">
        <v>5643</v>
      </c>
      <c r="B952">
        <v>315</v>
      </c>
      <c r="C952">
        <v>234.4</v>
      </c>
      <c r="L952">
        <f t="shared" si="42"/>
        <v>5643</v>
      </c>
      <c r="M952">
        <f t="shared" si="42"/>
        <v>315</v>
      </c>
      <c r="N952">
        <f t="shared" si="43"/>
        <v>234400</v>
      </c>
      <c r="O952" t="str">
        <f t="shared" si="44"/>
        <v>&lt;Entry outShaftSpeed="5643.00" torque="315.00" electricPower="234400.00"/&gt;</v>
      </c>
    </row>
    <row r="953" spans="1:15" x14ac:dyDescent="0.25">
      <c r="A953" s="1">
        <v>5643</v>
      </c>
      <c r="B953">
        <v>360</v>
      </c>
      <c r="C953">
        <v>264.637</v>
      </c>
      <c r="L953">
        <f t="shared" si="42"/>
        <v>5643</v>
      </c>
      <c r="M953">
        <f t="shared" si="42"/>
        <v>360</v>
      </c>
      <c r="N953">
        <f t="shared" si="43"/>
        <v>264637</v>
      </c>
      <c r="O953" t="str">
        <f t="shared" si="44"/>
        <v>&lt;Entry outShaftSpeed="5643.00" torque="360.00" electricPower="264637.00"/&gt;</v>
      </c>
    </row>
    <row r="954" spans="1:15" x14ac:dyDescent="0.25">
      <c r="A954" s="1">
        <v>5643</v>
      </c>
      <c r="B954">
        <v>405</v>
      </c>
      <c r="C954">
        <v>295.20499999999998</v>
      </c>
      <c r="L954">
        <f t="shared" si="42"/>
        <v>5643</v>
      </c>
      <c r="M954">
        <f t="shared" si="42"/>
        <v>405</v>
      </c>
      <c r="N954">
        <f t="shared" si="43"/>
        <v>295205</v>
      </c>
      <c r="O954" t="str">
        <f t="shared" si="44"/>
        <v>&lt;Entry outShaftSpeed="5643.00" torque="405.00" electricPower="295205.00"/&gt;</v>
      </c>
    </row>
    <row r="955" spans="1:15" x14ac:dyDescent="0.25">
      <c r="A955" s="1">
        <v>5643</v>
      </c>
      <c r="B955">
        <v>450</v>
      </c>
      <c r="C955">
        <v>326.10399999999998</v>
      </c>
      <c r="L955">
        <f t="shared" si="42"/>
        <v>5643</v>
      </c>
      <c r="M955">
        <f t="shared" si="42"/>
        <v>450</v>
      </c>
      <c r="N955">
        <f t="shared" si="43"/>
        <v>326104</v>
      </c>
      <c r="O955" t="str">
        <f t="shared" si="44"/>
        <v>&lt;Entry outShaftSpeed="5643.00" torque="450.00" electricPower="326104.00"/&gt;</v>
      </c>
    </row>
    <row r="956" spans="1:15" x14ac:dyDescent="0.25">
      <c r="A956" s="1">
        <v>5643</v>
      </c>
      <c r="B956">
        <v>495</v>
      </c>
      <c r="C956">
        <v>357.33600000000001</v>
      </c>
      <c r="L956">
        <f t="shared" si="42"/>
        <v>5643</v>
      </c>
      <c r="M956">
        <f t="shared" si="42"/>
        <v>495</v>
      </c>
      <c r="N956">
        <f t="shared" si="43"/>
        <v>357336</v>
      </c>
      <c r="O956" t="str">
        <f t="shared" si="44"/>
        <v>&lt;Entry outShaftSpeed="5643.00" torque="495.00" electricPower="357336.00"/&gt;</v>
      </c>
    </row>
    <row r="957" spans="1:15" x14ac:dyDescent="0.25">
      <c r="A957" s="1">
        <v>5643</v>
      </c>
      <c r="B957">
        <v>540</v>
      </c>
      <c r="C957">
        <v>388.899</v>
      </c>
      <c r="L957">
        <f t="shared" si="42"/>
        <v>5643</v>
      </c>
      <c r="M957">
        <f t="shared" si="42"/>
        <v>540</v>
      </c>
      <c r="N957">
        <f t="shared" si="43"/>
        <v>388899</v>
      </c>
      <c r="O957" t="str">
        <f t="shared" si="44"/>
        <v>&lt;Entry outShaftSpeed="5643.00" torque="540.00" electricPower="388899.00"/&gt;</v>
      </c>
    </row>
    <row r="958" spans="1:15" x14ac:dyDescent="0.25">
      <c r="A958" s="1">
        <v>5643</v>
      </c>
      <c r="B958">
        <v>585</v>
      </c>
      <c r="C958">
        <v>420.79399999999998</v>
      </c>
      <c r="L958">
        <f t="shared" si="42"/>
        <v>5643</v>
      </c>
      <c r="M958">
        <f t="shared" si="42"/>
        <v>585</v>
      </c>
      <c r="N958">
        <f t="shared" si="43"/>
        <v>420794</v>
      </c>
      <c r="O958" t="str">
        <f t="shared" si="44"/>
        <v>&lt;Entry outShaftSpeed="5643.00" torque="585.00" electricPower="420794.00"/&gt;</v>
      </c>
    </row>
    <row r="959" spans="1:15" x14ac:dyDescent="0.25">
      <c r="A959" s="1">
        <v>5643</v>
      </c>
      <c r="B959">
        <v>630</v>
      </c>
      <c r="C959">
        <v>453.02</v>
      </c>
      <c r="L959">
        <f t="shared" si="42"/>
        <v>5643</v>
      </c>
      <c r="M959">
        <f t="shared" si="42"/>
        <v>630</v>
      </c>
      <c r="N959">
        <f t="shared" si="43"/>
        <v>453020</v>
      </c>
      <c r="O959" t="str">
        <f t="shared" si="44"/>
        <v>&lt;Entry outShaftSpeed="5643.00" torque="630.00" electricPower="453020.00"/&gt;</v>
      </c>
    </row>
    <row r="960" spans="1:15" x14ac:dyDescent="0.25">
      <c r="A960" s="1">
        <v>5643</v>
      </c>
      <c r="B960">
        <v>675</v>
      </c>
      <c r="C960">
        <v>485.57799999999997</v>
      </c>
      <c r="L960">
        <f t="shared" si="42"/>
        <v>5643</v>
      </c>
      <c r="M960">
        <f t="shared" si="42"/>
        <v>675</v>
      </c>
      <c r="N960">
        <f t="shared" si="43"/>
        <v>485578</v>
      </c>
      <c r="O960" t="str">
        <f t="shared" si="44"/>
        <v>&lt;Entry outShaftSpeed="5643.00" torque="675.00" electricPower="485578.00"/&gt;</v>
      </c>
    </row>
    <row r="961" spans="1:15" x14ac:dyDescent="0.25">
      <c r="A961" s="1">
        <v>5643</v>
      </c>
      <c r="B961">
        <v>720</v>
      </c>
      <c r="C961">
        <v>518.46799999999996</v>
      </c>
      <c r="L961">
        <f t="shared" si="42"/>
        <v>5643</v>
      </c>
      <c r="M961">
        <f t="shared" si="42"/>
        <v>720</v>
      </c>
      <c r="N961">
        <f t="shared" si="43"/>
        <v>518467.99999999994</v>
      </c>
      <c r="O961" t="str">
        <f t="shared" si="44"/>
        <v>&lt;Entry outShaftSpeed="5643.00" torque="720.00" electricPower="518468.00"/&gt;</v>
      </c>
    </row>
    <row r="962" spans="1:15" x14ac:dyDescent="0.25">
      <c r="A962" s="1">
        <v>5643</v>
      </c>
      <c r="B962">
        <v>765</v>
      </c>
      <c r="C962">
        <v>551.68899999999996</v>
      </c>
      <c r="L962">
        <f t="shared" si="42"/>
        <v>5643</v>
      </c>
      <c r="M962">
        <f t="shared" si="42"/>
        <v>765</v>
      </c>
      <c r="N962">
        <f t="shared" si="43"/>
        <v>551689</v>
      </c>
      <c r="O962" t="str">
        <f t="shared" si="44"/>
        <v>&lt;Entry outShaftSpeed="5643.00" torque="765.00" electricPower="551689.00"/&gt;</v>
      </c>
    </row>
    <row r="963" spans="1:15" x14ac:dyDescent="0.25">
      <c r="A963" s="1">
        <v>5643</v>
      </c>
      <c r="B963">
        <v>810</v>
      </c>
      <c r="C963">
        <v>585.24199999999996</v>
      </c>
      <c r="L963">
        <f t="shared" ref="L963:M1013" si="45">A963</f>
        <v>5643</v>
      </c>
      <c r="M963">
        <f t="shared" si="45"/>
        <v>810</v>
      </c>
      <c r="N963">
        <f t="shared" ref="N963:N1013" si="46">C963*1000</f>
        <v>585242</v>
      </c>
      <c r="O963" t="str">
        <f t="shared" ref="O963:O1013" si="47">"&lt;Entry outShaftSpeed="""&amp;TEXT(ROUND(L963,2),"#0.00")&amp;""" torque=""" &amp; TEXT(ROUND(M963,2),"#0.00") &amp; """ electricPower="""&amp;TEXT(ROUND(N963,2),"#0.00") &amp;  """/&gt;"</f>
        <v>&lt;Entry outShaftSpeed="5643.00" torque="810.00" electricPower="585242.00"/&gt;</v>
      </c>
    </row>
    <row r="964" spans="1:15" x14ac:dyDescent="0.25">
      <c r="A964" s="1">
        <v>5643</v>
      </c>
      <c r="B964">
        <v>855</v>
      </c>
      <c r="C964">
        <v>619.12699999999995</v>
      </c>
      <c r="L964">
        <f t="shared" si="45"/>
        <v>5643</v>
      </c>
      <c r="M964">
        <f t="shared" si="45"/>
        <v>855</v>
      </c>
      <c r="N964">
        <f t="shared" si="46"/>
        <v>619127</v>
      </c>
      <c r="O964" t="str">
        <f t="shared" si="47"/>
        <v>&lt;Entry outShaftSpeed="5643.00" torque="855.00" electricPower="619127.00"/&gt;</v>
      </c>
    </row>
    <row r="965" spans="1:15" x14ac:dyDescent="0.25">
      <c r="A965" s="1">
        <v>5643</v>
      </c>
      <c r="B965">
        <v>900</v>
      </c>
      <c r="C965">
        <v>653.34400000000005</v>
      </c>
      <c r="L965">
        <f t="shared" si="45"/>
        <v>5643</v>
      </c>
      <c r="M965">
        <f t="shared" si="45"/>
        <v>900</v>
      </c>
      <c r="N965">
        <f t="shared" si="46"/>
        <v>653344</v>
      </c>
      <c r="O965" t="str">
        <f t="shared" si="47"/>
        <v>&lt;Entry outShaftSpeed="5643.00" torque="900.00" electricPower="653344.00"/&gt;</v>
      </c>
    </row>
    <row r="966" spans="1:15" x14ac:dyDescent="0.25">
      <c r="A966" s="1">
        <v>5643</v>
      </c>
      <c r="B966">
        <v>945</v>
      </c>
      <c r="C966">
        <v>687.89200000000005</v>
      </c>
      <c r="L966">
        <f t="shared" si="45"/>
        <v>5643</v>
      </c>
      <c r="M966">
        <f t="shared" si="45"/>
        <v>945</v>
      </c>
      <c r="N966">
        <f t="shared" si="46"/>
        <v>687892</v>
      </c>
      <c r="O966" t="str">
        <f t="shared" si="47"/>
        <v>&lt;Entry outShaftSpeed="5643.00" torque="945.00" electricPower="687892.00"/&gt;</v>
      </c>
    </row>
    <row r="967" spans="1:15" x14ac:dyDescent="0.25">
      <c r="A967" s="1">
        <v>5643</v>
      </c>
      <c r="B967">
        <v>990</v>
      </c>
      <c r="C967">
        <v>722.77099999999996</v>
      </c>
      <c r="L967">
        <f t="shared" si="45"/>
        <v>5643</v>
      </c>
      <c r="M967">
        <f t="shared" si="45"/>
        <v>990</v>
      </c>
      <c r="N967">
        <f t="shared" si="46"/>
        <v>722771</v>
      </c>
      <c r="O967" t="str">
        <f t="shared" si="47"/>
        <v>&lt;Entry outShaftSpeed="5643.00" torque="990.00" electricPower="722771.00"/&gt;</v>
      </c>
    </row>
    <row r="968" spans="1:15" x14ac:dyDescent="0.25">
      <c r="A968" s="1">
        <v>5940</v>
      </c>
      <c r="B968">
        <v>-990</v>
      </c>
      <c r="C968">
        <v>-474.721</v>
      </c>
      <c r="L968">
        <f t="shared" si="45"/>
        <v>5940</v>
      </c>
      <c r="M968">
        <f t="shared" si="45"/>
        <v>-990</v>
      </c>
      <c r="N968">
        <f t="shared" si="46"/>
        <v>-474721</v>
      </c>
      <c r="O968" t="str">
        <f t="shared" si="47"/>
        <v>&lt;Entry outShaftSpeed="5940.00" torque="-990.00" electricPower="-474721.00"/&gt;</v>
      </c>
    </row>
    <row r="969" spans="1:15" x14ac:dyDescent="0.25">
      <c r="A969" s="1">
        <v>5940</v>
      </c>
      <c r="B969">
        <v>-945</v>
      </c>
      <c r="C969">
        <v>-455.14499999999998</v>
      </c>
      <c r="L969">
        <f t="shared" si="45"/>
        <v>5940</v>
      </c>
      <c r="M969">
        <f t="shared" si="45"/>
        <v>-945</v>
      </c>
      <c r="N969">
        <f t="shared" si="46"/>
        <v>-455145</v>
      </c>
      <c r="O969" t="str">
        <f t="shared" si="47"/>
        <v>&lt;Entry outShaftSpeed="5940.00" torque="-945.00" electricPower="-455145.00"/&gt;</v>
      </c>
    </row>
    <row r="970" spans="1:15" x14ac:dyDescent="0.25">
      <c r="A970" s="1">
        <v>5940</v>
      </c>
      <c r="B970">
        <v>-900</v>
      </c>
      <c r="C970">
        <v>-435.23099999999999</v>
      </c>
      <c r="L970">
        <f t="shared" si="45"/>
        <v>5940</v>
      </c>
      <c r="M970">
        <f t="shared" si="45"/>
        <v>-900</v>
      </c>
      <c r="N970">
        <f t="shared" si="46"/>
        <v>-435231</v>
      </c>
      <c r="O970" t="str">
        <f t="shared" si="47"/>
        <v>&lt;Entry outShaftSpeed="5940.00" torque="-900.00" electricPower="-435231.00"/&gt;</v>
      </c>
    </row>
    <row r="971" spans="1:15" x14ac:dyDescent="0.25">
      <c r="A971" s="1">
        <v>5940</v>
      </c>
      <c r="B971">
        <v>-855</v>
      </c>
      <c r="C971">
        <v>-414.98</v>
      </c>
      <c r="L971">
        <f t="shared" si="45"/>
        <v>5940</v>
      </c>
      <c r="M971">
        <f t="shared" si="45"/>
        <v>-855</v>
      </c>
      <c r="N971">
        <f t="shared" si="46"/>
        <v>-414980</v>
      </c>
      <c r="O971" t="str">
        <f t="shared" si="47"/>
        <v>&lt;Entry outShaftSpeed="5940.00" torque="-855.00" electricPower="-414980.00"/&gt;</v>
      </c>
    </row>
    <row r="972" spans="1:15" x14ac:dyDescent="0.25">
      <c r="A972" s="1">
        <v>5940</v>
      </c>
      <c r="B972">
        <v>-810</v>
      </c>
      <c r="C972">
        <v>-394.39299999999997</v>
      </c>
      <c r="L972">
        <f t="shared" si="45"/>
        <v>5940</v>
      </c>
      <c r="M972">
        <f t="shared" si="45"/>
        <v>-810</v>
      </c>
      <c r="N972">
        <f t="shared" si="46"/>
        <v>-394393</v>
      </c>
      <c r="O972" t="str">
        <f t="shared" si="47"/>
        <v>&lt;Entry outShaftSpeed="5940.00" torque="-810.00" electricPower="-394393.00"/&gt;</v>
      </c>
    </row>
    <row r="973" spans="1:15" x14ac:dyDescent="0.25">
      <c r="A973" s="1">
        <v>5940</v>
      </c>
      <c r="B973">
        <v>-765</v>
      </c>
      <c r="C973">
        <v>-373.46699999999998</v>
      </c>
      <c r="L973">
        <f t="shared" si="45"/>
        <v>5940</v>
      </c>
      <c r="M973">
        <f t="shared" si="45"/>
        <v>-765</v>
      </c>
      <c r="N973">
        <f t="shared" si="46"/>
        <v>-373467</v>
      </c>
      <c r="O973" t="str">
        <f t="shared" si="47"/>
        <v>&lt;Entry outShaftSpeed="5940.00" torque="-765.00" electricPower="-373467.00"/&gt;</v>
      </c>
    </row>
    <row r="974" spans="1:15" x14ac:dyDescent="0.25">
      <c r="A974" s="1">
        <v>5940</v>
      </c>
      <c r="B974">
        <v>-720</v>
      </c>
      <c r="C974">
        <v>-352.20499999999998</v>
      </c>
      <c r="L974">
        <f t="shared" si="45"/>
        <v>5940</v>
      </c>
      <c r="M974">
        <f t="shared" si="45"/>
        <v>-720</v>
      </c>
      <c r="N974">
        <f t="shared" si="46"/>
        <v>-352205</v>
      </c>
      <c r="O974" t="str">
        <f t="shared" si="47"/>
        <v>&lt;Entry outShaftSpeed="5940.00" torque="-720.00" electricPower="-352205.00"/&gt;</v>
      </c>
    </row>
    <row r="975" spans="1:15" x14ac:dyDescent="0.25">
      <c r="A975" s="1">
        <v>5940</v>
      </c>
      <c r="B975">
        <v>-675</v>
      </c>
      <c r="C975">
        <v>-330.60500000000002</v>
      </c>
      <c r="L975">
        <f t="shared" si="45"/>
        <v>5940</v>
      </c>
      <c r="M975">
        <f t="shared" si="45"/>
        <v>-675</v>
      </c>
      <c r="N975">
        <f t="shared" si="46"/>
        <v>-330605</v>
      </c>
      <c r="O975" t="str">
        <f t="shared" si="47"/>
        <v>&lt;Entry outShaftSpeed="5940.00" torque="-675.00" electricPower="-330605.00"/&gt;</v>
      </c>
    </row>
    <row r="976" spans="1:15" x14ac:dyDescent="0.25">
      <c r="A976" s="1">
        <v>5940</v>
      </c>
      <c r="B976">
        <v>-630</v>
      </c>
      <c r="C976">
        <v>-308.66800000000001</v>
      </c>
      <c r="L976">
        <f t="shared" si="45"/>
        <v>5940</v>
      </c>
      <c r="M976">
        <f t="shared" si="45"/>
        <v>-630</v>
      </c>
      <c r="N976">
        <f t="shared" si="46"/>
        <v>-308668</v>
      </c>
      <c r="O976" t="str">
        <f t="shared" si="47"/>
        <v>&lt;Entry outShaftSpeed="5940.00" torque="-630.00" electricPower="-308668.00"/&gt;</v>
      </c>
    </row>
    <row r="977" spans="1:15" x14ac:dyDescent="0.25">
      <c r="A977" s="1">
        <v>5940</v>
      </c>
      <c r="B977">
        <v>-585</v>
      </c>
      <c r="C977">
        <v>-286.39400000000001</v>
      </c>
      <c r="L977">
        <f t="shared" si="45"/>
        <v>5940</v>
      </c>
      <c r="M977">
        <f t="shared" si="45"/>
        <v>-585</v>
      </c>
      <c r="N977">
        <f t="shared" si="46"/>
        <v>-286394</v>
      </c>
      <c r="O977" t="str">
        <f t="shared" si="47"/>
        <v>&lt;Entry outShaftSpeed="5940.00" torque="-585.00" electricPower="-286394.00"/&gt;</v>
      </c>
    </row>
    <row r="978" spans="1:15" x14ac:dyDescent="0.25">
      <c r="A978" s="1">
        <v>5940</v>
      </c>
      <c r="B978">
        <v>-540</v>
      </c>
      <c r="C978">
        <v>-263.78300000000002</v>
      </c>
      <c r="L978">
        <f t="shared" si="45"/>
        <v>5940</v>
      </c>
      <c r="M978">
        <f t="shared" si="45"/>
        <v>-540</v>
      </c>
      <c r="N978">
        <f t="shared" si="46"/>
        <v>-263783</v>
      </c>
      <c r="O978" t="str">
        <f t="shared" si="47"/>
        <v>&lt;Entry outShaftSpeed="5940.00" torque="-540.00" electricPower="-263783.00"/&gt;</v>
      </c>
    </row>
    <row r="979" spans="1:15" x14ac:dyDescent="0.25">
      <c r="A979" s="1">
        <v>5940</v>
      </c>
      <c r="B979">
        <v>-495</v>
      </c>
      <c r="C979">
        <v>-240.834</v>
      </c>
      <c r="L979">
        <f t="shared" si="45"/>
        <v>5940</v>
      </c>
      <c r="M979">
        <f t="shared" si="45"/>
        <v>-495</v>
      </c>
      <c r="N979">
        <f t="shared" si="46"/>
        <v>-240834</v>
      </c>
      <c r="O979" t="str">
        <f t="shared" si="47"/>
        <v>&lt;Entry outShaftSpeed="5940.00" torque="-495.00" electricPower="-240834.00"/&gt;</v>
      </c>
    </row>
    <row r="980" spans="1:15" x14ac:dyDescent="0.25">
      <c r="A980" s="1">
        <v>5940</v>
      </c>
      <c r="B980">
        <v>-450</v>
      </c>
      <c r="C980">
        <v>-217.548</v>
      </c>
      <c r="L980">
        <f t="shared" si="45"/>
        <v>5940</v>
      </c>
      <c r="M980">
        <f t="shared" si="45"/>
        <v>-450</v>
      </c>
      <c r="N980">
        <f t="shared" si="46"/>
        <v>-217548</v>
      </c>
      <c r="O980" t="str">
        <f t="shared" si="47"/>
        <v>&lt;Entry outShaftSpeed="5940.00" torque="-450.00" electricPower="-217548.00"/&gt;</v>
      </c>
    </row>
    <row r="981" spans="1:15" x14ac:dyDescent="0.25">
      <c r="A981" s="1">
        <v>5940</v>
      </c>
      <c r="B981">
        <v>-405</v>
      </c>
      <c r="C981">
        <v>-193.92500000000001</v>
      </c>
      <c r="L981">
        <f t="shared" si="45"/>
        <v>5940</v>
      </c>
      <c r="M981">
        <f t="shared" si="45"/>
        <v>-405</v>
      </c>
      <c r="N981">
        <f t="shared" si="46"/>
        <v>-193925</v>
      </c>
      <c r="O981" t="str">
        <f t="shared" si="47"/>
        <v>&lt;Entry outShaftSpeed="5940.00" torque="-405.00" electricPower="-193925.00"/&gt;</v>
      </c>
    </row>
    <row r="982" spans="1:15" x14ac:dyDescent="0.25">
      <c r="A982" s="1">
        <v>5940</v>
      </c>
      <c r="B982">
        <v>-360</v>
      </c>
      <c r="C982">
        <v>-169.965</v>
      </c>
      <c r="L982">
        <f t="shared" si="45"/>
        <v>5940</v>
      </c>
      <c r="M982">
        <f t="shared" si="45"/>
        <v>-360</v>
      </c>
      <c r="N982">
        <f t="shared" si="46"/>
        <v>-169965</v>
      </c>
      <c r="O982" t="str">
        <f t="shared" si="47"/>
        <v>&lt;Entry outShaftSpeed="5940.00" torque="-360.00" electricPower="-169965.00"/&gt;</v>
      </c>
    </row>
    <row r="983" spans="1:15" x14ac:dyDescent="0.25">
      <c r="A983" s="1">
        <v>5940</v>
      </c>
      <c r="B983">
        <v>-315</v>
      </c>
      <c r="C983">
        <v>-145.667</v>
      </c>
      <c r="L983">
        <f t="shared" si="45"/>
        <v>5940</v>
      </c>
      <c r="M983">
        <f t="shared" si="45"/>
        <v>-315</v>
      </c>
      <c r="N983">
        <f t="shared" si="46"/>
        <v>-145667</v>
      </c>
      <c r="O983" t="str">
        <f t="shared" si="47"/>
        <v>&lt;Entry outShaftSpeed="5940.00" torque="-315.00" electricPower="-145667.00"/&gt;</v>
      </c>
    </row>
    <row r="984" spans="1:15" x14ac:dyDescent="0.25">
      <c r="A984" s="1">
        <v>5940</v>
      </c>
      <c r="B984">
        <v>-270</v>
      </c>
      <c r="C984">
        <v>-121.033</v>
      </c>
      <c r="L984">
        <f t="shared" si="45"/>
        <v>5940</v>
      </c>
      <c r="M984">
        <f t="shared" si="45"/>
        <v>-270</v>
      </c>
      <c r="N984">
        <f t="shared" si="46"/>
        <v>-121033</v>
      </c>
      <c r="O984" t="str">
        <f t="shared" si="47"/>
        <v>&lt;Entry outShaftSpeed="5940.00" torque="-270.00" electricPower="-121033.00"/&gt;</v>
      </c>
    </row>
    <row r="985" spans="1:15" x14ac:dyDescent="0.25">
      <c r="A985" s="1">
        <v>5940</v>
      </c>
      <c r="B985">
        <v>-225</v>
      </c>
      <c r="C985">
        <v>-96.06</v>
      </c>
      <c r="L985">
        <f t="shared" si="45"/>
        <v>5940</v>
      </c>
      <c r="M985">
        <f t="shared" si="45"/>
        <v>-225</v>
      </c>
      <c r="N985">
        <f t="shared" si="46"/>
        <v>-96060</v>
      </c>
      <c r="O985" t="str">
        <f t="shared" si="47"/>
        <v>&lt;Entry outShaftSpeed="5940.00" torque="-225.00" electricPower="-96060.00"/&gt;</v>
      </c>
    </row>
    <row r="986" spans="1:15" x14ac:dyDescent="0.25">
      <c r="A986" s="1">
        <v>5940</v>
      </c>
      <c r="B986">
        <v>-180</v>
      </c>
      <c r="C986">
        <v>-70.751000000000005</v>
      </c>
      <c r="L986">
        <f t="shared" si="45"/>
        <v>5940</v>
      </c>
      <c r="M986">
        <f t="shared" si="45"/>
        <v>-180</v>
      </c>
      <c r="N986">
        <f t="shared" si="46"/>
        <v>-70751</v>
      </c>
      <c r="O986" t="str">
        <f t="shared" si="47"/>
        <v>&lt;Entry outShaftSpeed="5940.00" torque="-180.00" electricPower="-70751.00"/&gt;</v>
      </c>
    </row>
    <row r="987" spans="1:15" x14ac:dyDescent="0.25">
      <c r="A987" s="1">
        <v>5940</v>
      </c>
      <c r="B987">
        <v>-135</v>
      </c>
      <c r="C987">
        <v>-45.104999999999997</v>
      </c>
      <c r="L987">
        <f t="shared" si="45"/>
        <v>5940</v>
      </c>
      <c r="M987">
        <f t="shared" si="45"/>
        <v>-135</v>
      </c>
      <c r="N987">
        <f t="shared" si="46"/>
        <v>-45105</v>
      </c>
      <c r="O987" t="str">
        <f t="shared" si="47"/>
        <v>&lt;Entry outShaftSpeed="5940.00" torque="-135.00" electricPower="-45105.00"/&gt;</v>
      </c>
    </row>
    <row r="988" spans="1:15" x14ac:dyDescent="0.25">
      <c r="A988" s="1">
        <v>5940</v>
      </c>
      <c r="B988">
        <v>-90</v>
      </c>
      <c r="C988">
        <v>-19.120999999999999</v>
      </c>
      <c r="L988">
        <f t="shared" si="45"/>
        <v>5940</v>
      </c>
      <c r="M988">
        <f t="shared" si="45"/>
        <v>-90</v>
      </c>
      <c r="N988">
        <f t="shared" si="46"/>
        <v>-19121</v>
      </c>
      <c r="O988" t="str">
        <f t="shared" si="47"/>
        <v>&lt;Entry outShaftSpeed="5940.00" torque="-90.00" electricPower="-19121.00"/&gt;</v>
      </c>
    </row>
    <row r="989" spans="1:15" x14ac:dyDescent="0.25">
      <c r="A989" s="1">
        <v>5940</v>
      </c>
      <c r="B989">
        <v>-45</v>
      </c>
      <c r="C989">
        <v>0</v>
      </c>
      <c r="L989">
        <f t="shared" si="45"/>
        <v>5940</v>
      </c>
      <c r="M989">
        <f t="shared" si="45"/>
        <v>-45</v>
      </c>
      <c r="N989">
        <f t="shared" si="46"/>
        <v>0</v>
      </c>
      <c r="O989" t="str">
        <f t="shared" si="47"/>
        <v>&lt;Entry outShaftSpeed="5940.00" torque="-45.00" electricPower="0.00"/&gt;</v>
      </c>
    </row>
    <row r="990" spans="1:15" x14ac:dyDescent="0.25">
      <c r="A990" s="1">
        <v>5940</v>
      </c>
      <c r="B990">
        <v>-9</v>
      </c>
      <c r="C990">
        <v>0</v>
      </c>
      <c r="L990">
        <f t="shared" si="45"/>
        <v>5940</v>
      </c>
      <c r="M990">
        <f t="shared" si="45"/>
        <v>-9</v>
      </c>
      <c r="N990">
        <f t="shared" si="46"/>
        <v>0</v>
      </c>
      <c r="O990" t="str">
        <f t="shared" si="47"/>
        <v>&lt;Entry outShaftSpeed="5940.00" torque="-9.00" electricPower="0.00"/&gt;</v>
      </c>
    </row>
    <row r="991" spans="1:15" x14ac:dyDescent="0.25">
      <c r="A991" s="1">
        <v>5940</v>
      </c>
      <c r="B991">
        <v>9</v>
      </c>
      <c r="C991">
        <v>42.588000000000001</v>
      </c>
      <c r="L991">
        <f t="shared" si="45"/>
        <v>5940</v>
      </c>
      <c r="M991">
        <f t="shared" si="45"/>
        <v>9</v>
      </c>
      <c r="N991">
        <f t="shared" si="46"/>
        <v>42588</v>
      </c>
      <c r="O991" t="str">
        <f t="shared" si="47"/>
        <v>&lt;Entry outShaftSpeed="5940.00" torque="9.00" electricPower="42588.00"/&gt;</v>
      </c>
    </row>
    <row r="992" spans="1:15" x14ac:dyDescent="0.25">
      <c r="A992" s="1">
        <v>5940</v>
      </c>
      <c r="B992">
        <v>45</v>
      </c>
      <c r="C992">
        <v>66.129000000000005</v>
      </c>
      <c r="L992">
        <f t="shared" si="45"/>
        <v>5940</v>
      </c>
      <c r="M992">
        <f t="shared" si="45"/>
        <v>45</v>
      </c>
      <c r="N992">
        <f t="shared" si="46"/>
        <v>66129</v>
      </c>
      <c r="O992" t="str">
        <f t="shared" si="47"/>
        <v>&lt;Entry outShaftSpeed="5940.00" torque="45.00" electricPower="66129.00"/&gt;</v>
      </c>
    </row>
    <row r="993" spans="1:15" x14ac:dyDescent="0.25">
      <c r="A993" s="1">
        <v>5940</v>
      </c>
      <c r="B993">
        <v>90</v>
      </c>
      <c r="C993">
        <v>95.884</v>
      </c>
      <c r="L993">
        <f t="shared" si="45"/>
        <v>5940</v>
      </c>
      <c r="M993">
        <f t="shared" si="45"/>
        <v>90</v>
      </c>
      <c r="N993">
        <f t="shared" si="46"/>
        <v>95884</v>
      </c>
      <c r="O993" t="str">
        <f t="shared" si="47"/>
        <v>&lt;Entry outShaftSpeed="5940.00" torque="90.00" electricPower="95884.00"/&gt;</v>
      </c>
    </row>
    <row r="994" spans="1:15" x14ac:dyDescent="0.25">
      <c r="A994" s="1">
        <v>5940</v>
      </c>
      <c r="B994">
        <v>135</v>
      </c>
      <c r="C994">
        <v>126.006</v>
      </c>
      <c r="L994">
        <f t="shared" si="45"/>
        <v>5940</v>
      </c>
      <c r="M994">
        <f t="shared" si="45"/>
        <v>135</v>
      </c>
      <c r="N994">
        <f t="shared" si="46"/>
        <v>126006</v>
      </c>
      <c r="O994" t="str">
        <f t="shared" si="47"/>
        <v>&lt;Entry outShaftSpeed="5940.00" torque="135.00" electricPower="126006.00"/&gt;</v>
      </c>
    </row>
    <row r="995" spans="1:15" x14ac:dyDescent="0.25">
      <c r="A995" s="1">
        <v>5940</v>
      </c>
      <c r="B995">
        <v>180</v>
      </c>
      <c r="C995">
        <v>156.49299999999999</v>
      </c>
      <c r="L995">
        <f t="shared" si="45"/>
        <v>5940</v>
      </c>
      <c r="M995">
        <f t="shared" si="45"/>
        <v>180</v>
      </c>
      <c r="N995">
        <f t="shared" si="46"/>
        <v>156493</v>
      </c>
      <c r="O995" t="str">
        <f t="shared" si="47"/>
        <v>&lt;Entry outShaftSpeed="5940.00" torque="180.00" electricPower="156493.00"/&gt;</v>
      </c>
    </row>
    <row r="996" spans="1:15" x14ac:dyDescent="0.25">
      <c r="A996" s="1">
        <v>5940</v>
      </c>
      <c r="B996">
        <v>225</v>
      </c>
      <c r="C996">
        <v>187.34700000000001</v>
      </c>
      <c r="L996">
        <f t="shared" si="45"/>
        <v>5940</v>
      </c>
      <c r="M996">
        <f t="shared" si="45"/>
        <v>225</v>
      </c>
      <c r="N996">
        <f t="shared" si="46"/>
        <v>187347</v>
      </c>
      <c r="O996" t="str">
        <f t="shared" si="47"/>
        <v>&lt;Entry outShaftSpeed="5940.00" torque="225.00" electricPower="187347.00"/&gt;</v>
      </c>
    </row>
    <row r="997" spans="1:15" x14ac:dyDescent="0.25">
      <c r="A997" s="1">
        <v>5940</v>
      </c>
      <c r="B997">
        <v>270</v>
      </c>
      <c r="C997">
        <v>218.566</v>
      </c>
      <c r="L997">
        <f t="shared" si="45"/>
        <v>5940</v>
      </c>
      <c r="M997">
        <f t="shared" si="45"/>
        <v>270</v>
      </c>
      <c r="N997">
        <f t="shared" si="46"/>
        <v>218566</v>
      </c>
      <c r="O997" t="str">
        <f t="shared" si="47"/>
        <v>&lt;Entry outShaftSpeed="5940.00" torque="270.00" electricPower="218566.00"/&gt;</v>
      </c>
    </row>
    <row r="998" spans="1:15" x14ac:dyDescent="0.25">
      <c r="A998" s="1">
        <v>5940</v>
      </c>
      <c r="B998">
        <v>315</v>
      </c>
      <c r="C998">
        <v>250.15199999999999</v>
      </c>
      <c r="L998">
        <f t="shared" si="45"/>
        <v>5940</v>
      </c>
      <c r="M998">
        <f t="shared" si="45"/>
        <v>315</v>
      </c>
      <c r="N998">
        <f t="shared" si="46"/>
        <v>250152</v>
      </c>
      <c r="O998" t="str">
        <f t="shared" si="47"/>
        <v>&lt;Entry outShaftSpeed="5940.00" torque="315.00" electricPower="250152.00"/&gt;</v>
      </c>
    </row>
    <row r="999" spans="1:15" x14ac:dyDescent="0.25">
      <c r="A999" s="1">
        <v>5940</v>
      </c>
      <c r="B999">
        <v>360</v>
      </c>
      <c r="C999">
        <v>282.10300000000001</v>
      </c>
      <c r="L999">
        <f t="shared" si="45"/>
        <v>5940</v>
      </c>
      <c r="M999">
        <f t="shared" si="45"/>
        <v>360</v>
      </c>
      <c r="N999">
        <f t="shared" si="46"/>
        <v>282103</v>
      </c>
      <c r="O999" t="str">
        <f t="shared" si="47"/>
        <v>&lt;Entry outShaftSpeed="5940.00" torque="360.00" electricPower="282103.00"/&gt;</v>
      </c>
    </row>
    <row r="1000" spans="1:15" x14ac:dyDescent="0.25">
      <c r="A1000" s="1">
        <v>5940</v>
      </c>
      <c r="B1000">
        <v>405</v>
      </c>
      <c r="C1000">
        <v>314.42</v>
      </c>
      <c r="L1000">
        <f t="shared" si="45"/>
        <v>5940</v>
      </c>
      <c r="M1000">
        <f t="shared" si="45"/>
        <v>405</v>
      </c>
      <c r="N1000">
        <f t="shared" si="46"/>
        <v>314420</v>
      </c>
      <c r="O1000" t="str">
        <f t="shared" si="47"/>
        <v>&lt;Entry outShaftSpeed="5940.00" torque="405.00" electricPower="314420.00"/&gt;</v>
      </c>
    </row>
    <row r="1001" spans="1:15" x14ac:dyDescent="0.25">
      <c r="A1001" s="1">
        <v>5940</v>
      </c>
      <c r="B1001">
        <v>450</v>
      </c>
      <c r="C1001">
        <v>347.10300000000001</v>
      </c>
      <c r="L1001">
        <f t="shared" si="45"/>
        <v>5940</v>
      </c>
      <c r="M1001">
        <f t="shared" si="45"/>
        <v>450</v>
      </c>
      <c r="N1001">
        <f t="shared" si="46"/>
        <v>347103</v>
      </c>
      <c r="O1001" t="str">
        <f t="shared" si="47"/>
        <v>&lt;Entry outShaftSpeed="5940.00" torque="450.00" electricPower="347103.00"/&gt;</v>
      </c>
    </row>
    <row r="1002" spans="1:15" x14ac:dyDescent="0.25">
      <c r="A1002" s="1">
        <v>5940</v>
      </c>
      <c r="B1002">
        <v>495</v>
      </c>
      <c r="C1002">
        <v>380.15199999999999</v>
      </c>
      <c r="L1002">
        <f t="shared" si="45"/>
        <v>5940</v>
      </c>
      <c r="M1002">
        <f t="shared" si="45"/>
        <v>495</v>
      </c>
      <c r="N1002">
        <f t="shared" si="46"/>
        <v>380152</v>
      </c>
      <c r="O1002" t="str">
        <f t="shared" si="47"/>
        <v>&lt;Entry outShaftSpeed="5940.00" torque="495.00" electricPower="380152.00"/&gt;</v>
      </c>
    </row>
    <row r="1003" spans="1:15" x14ac:dyDescent="0.25">
      <c r="A1003" s="1">
        <v>5940</v>
      </c>
      <c r="B1003">
        <v>540</v>
      </c>
      <c r="C1003">
        <v>413.56700000000001</v>
      </c>
      <c r="L1003">
        <f t="shared" si="45"/>
        <v>5940</v>
      </c>
      <c r="M1003">
        <f t="shared" si="45"/>
        <v>540</v>
      </c>
      <c r="N1003">
        <f t="shared" si="46"/>
        <v>413567</v>
      </c>
      <c r="O1003" t="str">
        <f t="shared" si="47"/>
        <v>&lt;Entry outShaftSpeed="5940.00" torque="540.00" electricPower="413567.00"/&gt;</v>
      </c>
    </row>
    <row r="1004" spans="1:15" x14ac:dyDescent="0.25">
      <c r="A1004" s="1">
        <v>5940</v>
      </c>
      <c r="B1004">
        <v>585</v>
      </c>
      <c r="C1004">
        <v>447.34800000000001</v>
      </c>
      <c r="L1004">
        <f t="shared" si="45"/>
        <v>5940</v>
      </c>
      <c r="M1004">
        <f t="shared" si="45"/>
        <v>585</v>
      </c>
      <c r="N1004">
        <f t="shared" si="46"/>
        <v>447348</v>
      </c>
      <c r="O1004" t="str">
        <f t="shared" si="47"/>
        <v>&lt;Entry outShaftSpeed="5940.00" torque="585.00" electricPower="447348.00"/&gt;</v>
      </c>
    </row>
    <row r="1005" spans="1:15" x14ac:dyDescent="0.25">
      <c r="A1005" s="1">
        <v>5940</v>
      </c>
      <c r="B1005">
        <v>630</v>
      </c>
      <c r="C1005">
        <v>481.495</v>
      </c>
      <c r="L1005">
        <f t="shared" si="45"/>
        <v>5940</v>
      </c>
      <c r="M1005">
        <f t="shared" si="45"/>
        <v>630</v>
      </c>
      <c r="N1005">
        <f t="shared" si="46"/>
        <v>481495</v>
      </c>
      <c r="O1005" t="str">
        <f t="shared" si="47"/>
        <v>&lt;Entry outShaftSpeed="5940.00" torque="630.00" electricPower="481495.00"/&gt;</v>
      </c>
    </row>
    <row r="1006" spans="1:15" x14ac:dyDescent="0.25">
      <c r="A1006" s="1">
        <v>5940</v>
      </c>
      <c r="B1006">
        <v>675</v>
      </c>
      <c r="C1006">
        <v>516.00699999999995</v>
      </c>
      <c r="L1006">
        <f t="shared" si="45"/>
        <v>5940</v>
      </c>
      <c r="M1006">
        <f t="shared" si="45"/>
        <v>675</v>
      </c>
      <c r="N1006">
        <f t="shared" si="46"/>
        <v>516006.99999999994</v>
      </c>
      <c r="O1006" t="str">
        <f t="shared" si="47"/>
        <v>&lt;Entry outShaftSpeed="5940.00" torque="675.00" electricPower="516007.00"/&gt;</v>
      </c>
    </row>
    <row r="1007" spans="1:15" x14ac:dyDescent="0.25">
      <c r="A1007" s="1">
        <v>5940</v>
      </c>
      <c r="B1007">
        <v>720</v>
      </c>
      <c r="C1007">
        <v>550.88599999999997</v>
      </c>
      <c r="L1007">
        <f t="shared" si="45"/>
        <v>5940</v>
      </c>
      <c r="M1007">
        <f t="shared" si="45"/>
        <v>720</v>
      </c>
      <c r="N1007">
        <f t="shared" si="46"/>
        <v>550886</v>
      </c>
      <c r="O1007" t="str">
        <f t="shared" si="47"/>
        <v>&lt;Entry outShaftSpeed="5940.00" torque="720.00" electricPower="550886.00"/&gt;</v>
      </c>
    </row>
    <row r="1008" spans="1:15" x14ac:dyDescent="0.25">
      <c r="A1008" s="1">
        <v>5940</v>
      </c>
      <c r="B1008">
        <v>765</v>
      </c>
      <c r="C1008">
        <v>586.13099999999997</v>
      </c>
      <c r="L1008">
        <f t="shared" si="45"/>
        <v>5940</v>
      </c>
      <c r="M1008">
        <f t="shared" si="45"/>
        <v>765</v>
      </c>
      <c r="N1008">
        <f t="shared" si="46"/>
        <v>586131</v>
      </c>
      <c r="O1008" t="str">
        <f t="shared" si="47"/>
        <v>&lt;Entry outShaftSpeed="5940.00" torque="765.00" electricPower="586131.00"/&gt;</v>
      </c>
    </row>
    <row r="1009" spans="1:15" x14ac:dyDescent="0.25">
      <c r="A1009" s="1">
        <v>5940</v>
      </c>
      <c r="B1009">
        <v>810</v>
      </c>
      <c r="C1009">
        <v>621.74099999999999</v>
      </c>
      <c r="L1009">
        <f t="shared" si="45"/>
        <v>5940</v>
      </c>
      <c r="M1009">
        <f t="shared" si="45"/>
        <v>810</v>
      </c>
      <c r="N1009">
        <f t="shared" si="46"/>
        <v>621741</v>
      </c>
      <c r="O1009" t="str">
        <f t="shared" si="47"/>
        <v>&lt;Entry outShaftSpeed="5940.00" torque="810.00" electricPower="621741.00"/&gt;</v>
      </c>
    </row>
    <row r="1010" spans="1:15" x14ac:dyDescent="0.25">
      <c r="A1010" s="1">
        <v>5940</v>
      </c>
      <c r="B1010">
        <v>855</v>
      </c>
      <c r="C1010">
        <v>657.71799999999996</v>
      </c>
      <c r="L1010">
        <f t="shared" si="45"/>
        <v>5940</v>
      </c>
      <c r="M1010">
        <f t="shared" si="45"/>
        <v>855</v>
      </c>
      <c r="N1010">
        <f t="shared" si="46"/>
        <v>657718</v>
      </c>
      <c r="O1010" t="str">
        <f t="shared" si="47"/>
        <v>&lt;Entry outShaftSpeed="5940.00" torque="855.00" electricPower="657718.00"/&gt;</v>
      </c>
    </row>
    <row r="1011" spans="1:15" x14ac:dyDescent="0.25">
      <c r="A1011" s="1">
        <v>5940</v>
      </c>
      <c r="B1011">
        <v>900</v>
      </c>
      <c r="C1011">
        <v>694.06</v>
      </c>
      <c r="L1011">
        <f t="shared" si="45"/>
        <v>5940</v>
      </c>
      <c r="M1011">
        <f t="shared" si="45"/>
        <v>900</v>
      </c>
      <c r="N1011">
        <f t="shared" si="46"/>
        <v>694060</v>
      </c>
      <c r="O1011" t="str">
        <f t="shared" si="47"/>
        <v>&lt;Entry outShaftSpeed="5940.00" torque="900.00" electricPower="694060.00"/&gt;</v>
      </c>
    </row>
    <row r="1012" spans="1:15" x14ac:dyDescent="0.25">
      <c r="A1012" s="1">
        <v>5940</v>
      </c>
      <c r="B1012">
        <v>945</v>
      </c>
      <c r="C1012">
        <v>730.76900000000001</v>
      </c>
      <c r="L1012">
        <f t="shared" si="45"/>
        <v>5940</v>
      </c>
      <c r="M1012">
        <f t="shared" si="45"/>
        <v>945</v>
      </c>
      <c r="N1012">
        <f t="shared" si="46"/>
        <v>730769</v>
      </c>
      <c r="O1012" t="str">
        <f t="shared" si="47"/>
        <v>&lt;Entry outShaftSpeed="5940.00" torque="945.00" electricPower="730769.00"/&gt;</v>
      </c>
    </row>
    <row r="1013" spans="1:15" x14ac:dyDescent="0.25">
      <c r="A1013" s="1">
        <v>5940</v>
      </c>
      <c r="B1013">
        <v>990</v>
      </c>
      <c r="C1013">
        <v>767.84299999999996</v>
      </c>
      <c r="L1013">
        <f t="shared" si="45"/>
        <v>5940</v>
      </c>
      <c r="M1013">
        <f t="shared" si="45"/>
        <v>990</v>
      </c>
      <c r="N1013">
        <f t="shared" si="46"/>
        <v>767843</v>
      </c>
      <c r="O1013" t="str">
        <f t="shared" si="47"/>
        <v>&lt;Entry outShaftSpeed="5940.00" torque="990.00" electricPower="767843.00"/&gt;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Gear</vt:lpstr>
      <vt:lpstr>Gear (2)</vt:lpstr>
      <vt:lpstr>Gear (3)</vt:lpstr>
      <vt:lpstr>Gear (4)</vt:lpstr>
      <vt:lpstr>Gear (5)</vt:lpstr>
      <vt:lpstr>Gear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Martini Harald</dc:creator>
  <cp:lastModifiedBy>Martini Harald</cp:lastModifiedBy>
  <dcterms:created xsi:type="dcterms:W3CDTF">2023-01-31T15:02:16Z</dcterms:created>
  <dcterms:modified xsi:type="dcterms:W3CDTF">2023-01-31T15:19:11Z</dcterms:modified>
</cp:coreProperties>
</file>