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3"/>
  <workbookPr filterPrivacy="1"/>
  <xr:revisionPtr revIDLastSave="0" documentId="13_ncr:1_{A9BEB5AD-4269-48D5-A524-163C305CE5AE}" xr6:coauthVersionLast="36" xr6:coauthVersionMax="36" xr10:uidLastSave="{00000000-0000-0000-0000-000000000000}"/>
  <bookViews>
    <workbookView xWindow="0" yWindow="0" windowWidth="28800" windowHeight="14100" tabRatio="901" xr2:uid="{00000000-000D-0000-FFFF-FFFF00000000}"/>
  </bookViews>
  <sheets>
    <sheet name="Content" sheetId="43" r:id="rId1"/>
    <sheet name="Result matrix" sheetId="31" r:id="rId2"/>
    <sheet name="GenericData_VehicleOperation" sheetId="6" r:id="rId3"/>
    <sheet name="Usable_SOC" sheetId="38" r:id="rId4"/>
    <sheet name="BatteryData OVC-HEV" sheetId="16" r:id="rId5"/>
    <sheet name="Template_OVC-HEV" sheetId="36" r:id="rId6"/>
    <sheet name="BatteryData PEV" sheetId="37" r:id="rId7"/>
    <sheet name="Template_PEV" sheetId="18" r:id="rId8"/>
    <sheet name="BatteryData IMC_OVC-HEV" sheetId="39" r:id="rId9"/>
    <sheet name="Template IMC_OVC-HEV" sheetId="40" r:id="rId10"/>
    <sheet name="BatteryData IMC_PEV" sheetId="41" r:id="rId11"/>
    <sheet name="Template IMC_PEV" sheetId="42" r:id="rId1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31" i="40" l="1"/>
  <c r="D35" i="40"/>
  <c r="D36" i="40"/>
  <c r="D43" i="40"/>
  <c r="D33" i="40"/>
  <c r="D34" i="40"/>
  <c r="D41" i="40"/>
  <c r="D16" i="40"/>
  <c r="D15" i="40"/>
  <c r="D28" i="39"/>
  <c r="D7" i="39"/>
  <c r="D23" i="39" s="1"/>
  <c r="D8" i="41" l="1"/>
  <c r="D21" i="41" s="1"/>
  <c r="D33" i="41" s="1"/>
  <c r="D34" i="41" s="1"/>
  <c r="D22" i="41" s="1"/>
  <c r="D17" i="42"/>
  <c r="D21" i="42" s="1"/>
  <c r="D10" i="41" s="1"/>
  <c r="D19" i="42"/>
  <c r="D23" i="42" s="1"/>
  <c r="D11" i="41" s="1"/>
  <c r="D12" i="42"/>
  <c r="D13" i="42" s="1"/>
  <c r="D14" i="42" s="1"/>
  <c r="D23" i="41" l="1"/>
  <c r="D14" i="41" s="1"/>
  <c r="D8" i="39"/>
  <c r="D27" i="39" s="1"/>
  <c r="D42" i="39" s="1"/>
  <c r="D26" i="40"/>
  <c r="D23" i="40"/>
  <c r="D22" i="40"/>
  <c r="D21" i="40"/>
  <c r="D20" i="40"/>
  <c r="D39" i="39" s="1"/>
  <c r="D40" i="39" s="1"/>
  <c r="D17" i="40"/>
  <c r="D6" i="39"/>
  <c r="D19" i="39" s="1"/>
  <c r="D36" i="39" s="1"/>
  <c r="D37" i="39" s="1"/>
  <c r="D12" i="39" l="1"/>
  <c r="D24" i="39"/>
  <c r="D25" i="39" s="1"/>
  <c r="D20" i="39"/>
  <c r="D21" i="39" s="1"/>
  <c r="D14" i="39" s="1"/>
  <c r="D28" i="40"/>
  <c r="AN15" i="6"/>
  <c r="AM15" i="6"/>
  <c r="AN14" i="6"/>
  <c r="AM14" i="6"/>
  <c r="AN13" i="6"/>
  <c r="AM13" i="6"/>
  <c r="AN12" i="6"/>
  <c r="AM12" i="6"/>
  <c r="AN11" i="6"/>
  <c r="AM11" i="6"/>
  <c r="AN10" i="6"/>
  <c r="AM10" i="6"/>
  <c r="AN9" i="6"/>
  <c r="AN8" i="6"/>
  <c r="AM8" i="6"/>
  <c r="AN7" i="6"/>
  <c r="AN6" i="6"/>
  <c r="D18" i="42" l="1"/>
  <c r="D25" i="40"/>
  <c r="D29" i="40"/>
  <c r="D10" i="39" s="1"/>
  <c r="D15" i="39"/>
  <c r="D30" i="40" s="1"/>
  <c r="D43" i="39"/>
  <c r="D29" i="39" s="1"/>
  <c r="D16" i="39" s="1"/>
  <c r="AJ18" i="6"/>
  <c r="AJ20" i="6"/>
  <c r="AJ22" i="6"/>
  <c r="AJ24" i="6"/>
  <c r="AJ26" i="6"/>
  <c r="D11" i="39" l="1"/>
  <c r="D32" i="40"/>
  <c r="AI80" i="6"/>
  <c r="AI26" i="6" s="1"/>
  <c r="AI79" i="6"/>
  <c r="AI25" i="6" s="1"/>
  <c r="AH79" i="6"/>
  <c r="AH25" i="6" s="1"/>
  <c r="AG79" i="6"/>
  <c r="AG25" i="6" s="1"/>
  <c r="AF79" i="6"/>
  <c r="AF25" i="6" s="1"/>
  <c r="AI78" i="6"/>
  <c r="AI24" i="6" s="1"/>
  <c r="AI77" i="6"/>
  <c r="AI23" i="6" s="1"/>
  <c r="AH77" i="6"/>
  <c r="AH23" i="6" s="1"/>
  <c r="AG77" i="6"/>
  <c r="AG23" i="6" s="1"/>
  <c r="AF77" i="6"/>
  <c r="AF23" i="6" s="1"/>
  <c r="AI76" i="6"/>
  <c r="AI22" i="6" s="1"/>
  <c r="AI75" i="6"/>
  <c r="AI21" i="6" s="1"/>
  <c r="AH75" i="6"/>
  <c r="AH21" i="6" s="1"/>
  <c r="AG75" i="6"/>
  <c r="AG21" i="6" s="1"/>
  <c r="AF75" i="6"/>
  <c r="AF21" i="6" s="1"/>
  <c r="AI74" i="6"/>
  <c r="AI20" i="6" s="1"/>
  <c r="AI73" i="6"/>
  <c r="AI19" i="6" s="1"/>
  <c r="AH73" i="6"/>
  <c r="AH19" i="6" s="1"/>
  <c r="AG73" i="6"/>
  <c r="AG19" i="6" s="1"/>
  <c r="AF73" i="6"/>
  <c r="AF19" i="6" s="1"/>
  <c r="AI72" i="6"/>
  <c r="AI18" i="6" s="1"/>
  <c r="AI71" i="6"/>
  <c r="AI17" i="6" s="1"/>
  <c r="AH71" i="6"/>
  <c r="AH17" i="6" s="1"/>
  <c r="AG71" i="6"/>
  <c r="AG17" i="6" s="1"/>
  <c r="AF71" i="6"/>
  <c r="AF17" i="6" s="1"/>
  <c r="X26" i="6"/>
  <c r="W26" i="6"/>
  <c r="W25" i="6"/>
  <c r="V25" i="6"/>
  <c r="U25" i="6"/>
  <c r="T25" i="6"/>
  <c r="X24" i="6"/>
  <c r="W24" i="6"/>
  <c r="W23" i="6"/>
  <c r="V23" i="6"/>
  <c r="U23" i="6"/>
  <c r="T23" i="6"/>
  <c r="X22" i="6"/>
  <c r="W22" i="6"/>
  <c r="W21" i="6"/>
  <c r="V21" i="6"/>
  <c r="U21" i="6"/>
  <c r="T21" i="6"/>
  <c r="X20" i="6"/>
  <c r="W20" i="6"/>
  <c r="W19" i="6"/>
  <c r="V19" i="6"/>
  <c r="U19" i="6"/>
  <c r="T19" i="6"/>
  <c r="X18" i="6"/>
  <c r="W18" i="6"/>
  <c r="W17" i="6"/>
  <c r="V17" i="6"/>
  <c r="U17" i="6"/>
  <c r="T17" i="6"/>
  <c r="D4" i="39" l="1"/>
  <c r="D44" i="40" s="1"/>
  <c r="D48" i="40" s="1"/>
  <c r="D50" i="40" s="1"/>
  <c r="H10" i="38"/>
  <c r="K10" i="38" s="1"/>
  <c r="G10" i="38"/>
  <c r="H9" i="38"/>
  <c r="I9" i="38" s="1"/>
  <c r="J9" i="38" s="1"/>
  <c r="G9" i="38"/>
  <c r="H8" i="38"/>
  <c r="G8" i="38"/>
  <c r="K8" i="38" s="1"/>
  <c r="K9" i="38" l="1"/>
  <c r="L9" i="38" s="1"/>
  <c r="I8" i="38"/>
  <c r="J8" i="38" s="1"/>
  <c r="M9" i="38"/>
  <c r="M8" i="38"/>
  <c r="I10" i="38"/>
  <c r="J10" i="38" s="1"/>
  <c r="M10" i="38" s="1"/>
  <c r="L8" i="38"/>
  <c r="L10" i="38" l="1"/>
  <c r="D12" i="18" l="1"/>
  <c r="D6" i="16"/>
  <c r="D15" i="36"/>
  <c r="D24" i="36" l="1"/>
  <c r="D23" i="36"/>
  <c r="D22" i="36"/>
  <c r="D21" i="36"/>
  <c r="D20" i="36"/>
  <c r="D7" i="16" l="1"/>
  <c r="D7" i="41"/>
  <c r="D17" i="41" s="1"/>
  <c r="D30" i="41" s="1"/>
  <c r="D31" i="41" s="1"/>
  <c r="D18" i="41" s="1"/>
  <c r="D19" i="41" s="1"/>
  <c r="D13" i="41" s="1"/>
  <c r="D4" i="41" s="1"/>
  <c r="D29" i="42" s="1"/>
  <c r="D6" i="37"/>
  <c r="D13" i="37" s="1"/>
  <c r="D23" i="37" s="1"/>
  <c r="D24" i="37" s="1"/>
  <c r="D14" i="37" s="1"/>
  <c r="D15" i="37" s="1"/>
  <c r="D10" i="37" s="1"/>
  <c r="D3" i="37" s="1"/>
  <c r="D16" i="18" s="1"/>
  <c r="D17" i="18" s="1"/>
  <c r="D8" i="37"/>
  <c r="D9" i="16"/>
  <c r="D16" i="36"/>
  <c r="D17" i="36" s="1"/>
  <c r="D27" i="36"/>
  <c r="D16" i="16"/>
  <c r="D29" i="16" s="1"/>
  <c r="D30" i="16" s="1"/>
  <c r="D17" i="16" s="1"/>
  <c r="D20" i="16"/>
  <c r="D32" i="16" s="1"/>
  <c r="D33" i="16" s="1"/>
  <c r="D21" i="16" s="1"/>
  <c r="D22" i="16" s="1"/>
  <c r="D13" i="16" s="1"/>
  <c r="D28" i="36" s="1"/>
  <c r="D29" i="36" l="1"/>
  <c r="D10" i="16" s="1"/>
  <c r="D18" i="16"/>
  <c r="D12" i="16" s="1"/>
  <c r="AE16" i="6" l="1"/>
  <c r="AE15" i="6"/>
  <c r="AE14" i="6"/>
  <c r="AE13" i="6"/>
  <c r="AE12" i="6"/>
  <c r="AE11" i="6"/>
  <c r="AE10" i="6"/>
  <c r="AD14" i="6"/>
  <c r="AD12" i="6"/>
  <c r="AD10" i="6"/>
  <c r="AC11" i="6"/>
  <c r="AC10" i="6"/>
  <c r="AC9" i="6"/>
  <c r="AC8" i="6"/>
  <c r="AC7" i="6"/>
  <c r="AC6" i="6"/>
  <c r="AC5" i="6"/>
  <c r="AC4" i="6"/>
  <c r="AB15" i="6"/>
  <c r="AB14" i="6"/>
  <c r="AB13" i="6"/>
  <c r="AB12" i="6"/>
  <c r="AB11" i="6"/>
  <c r="AB10" i="6"/>
  <c r="AB9" i="6"/>
  <c r="AB8" i="6"/>
  <c r="AB7" i="6"/>
  <c r="AB6" i="6"/>
  <c r="AB5" i="6"/>
  <c r="AB4" i="6"/>
  <c r="AA15" i="6"/>
  <c r="AA14" i="6"/>
  <c r="AA13" i="6"/>
  <c r="AA12" i="6"/>
  <c r="AA11" i="6"/>
  <c r="AA10" i="6"/>
  <c r="AA8" i="6"/>
  <c r="D13" i="18" l="1"/>
  <c r="D14" i="18" s="1"/>
  <c r="S16" i="6" l="1"/>
  <c r="S15" i="6"/>
  <c r="P15" i="6"/>
  <c r="O15" i="6"/>
  <c r="S14" i="6"/>
  <c r="R14" i="6"/>
  <c r="P14" i="6"/>
  <c r="O14" i="6"/>
  <c r="S13" i="6"/>
  <c r="P13" i="6"/>
  <c r="O13" i="6"/>
  <c r="S12" i="6"/>
  <c r="R12" i="6"/>
  <c r="P12" i="6"/>
  <c r="O12" i="6"/>
  <c r="S11" i="6"/>
  <c r="Q11" i="6"/>
  <c r="P11" i="6"/>
  <c r="O11" i="6"/>
  <c r="S10" i="6"/>
  <c r="R10" i="6"/>
  <c r="Q10" i="6"/>
  <c r="P10" i="6"/>
  <c r="O10" i="6"/>
  <c r="Q9" i="6"/>
  <c r="P9" i="6"/>
  <c r="Q8" i="6"/>
  <c r="P8" i="6"/>
  <c r="O8" i="6"/>
  <c r="Q7" i="6"/>
  <c r="P7" i="6"/>
  <c r="Q6" i="6"/>
  <c r="P6" i="6"/>
  <c r="Q5" i="6"/>
  <c r="P5" i="6"/>
  <c r="Q4" i="6"/>
  <c r="P4" i="6"/>
  <c r="D16" i="42" l="1"/>
  <c r="D19" i="40"/>
  <c r="D19" i="36"/>
  <c r="D40" i="40" l="1"/>
  <c r="D25" i="42"/>
  <c r="D22" i="42"/>
  <c r="D3" i="16"/>
  <c r="D38" i="40" l="1"/>
  <c r="D53" i="40" s="1"/>
  <c r="D26" i="42"/>
  <c r="D28" i="42" s="1"/>
  <c r="D25" i="36"/>
  <c r="D45" i="40" l="1"/>
  <c r="D30" i="42"/>
  <c r="D33" i="42"/>
  <c r="D35" i="42" s="1"/>
  <c r="D34" i="36"/>
  <c r="D30" i="36"/>
  <c r="D32" i="36" s="1"/>
  <c r="D52" i="40" l="1"/>
  <c r="D36" i="36"/>
  <c r="D37" i="3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F9" authorId="0" shapeId="0" xr:uid="{00000000-0006-0000-0100-000001000000}">
      <text>
        <r>
          <rPr>
            <b/>
            <sz val="9"/>
            <color indexed="81"/>
            <rFont val="Segoe UI"/>
            <family val="2"/>
          </rPr>
          <t>Autor:</t>
        </r>
        <r>
          <rPr>
            <sz val="9"/>
            <color indexed="81"/>
            <rFont val="Segoe UI"/>
            <family val="2"/>
          </rPr>
          <t xml:space="preserve">
covers all units inkluding energy based results e.g. [MJ/km]</t>
        </r>
      </text>
    </comment>
    <comment ref="H9" authorId="0" shapeId="0" xr:uid="{00000000-0006-0000-0100-000002000000}">
      <text>
        <r>
          <rPr>
            <b/>
            <sz val="9"/>
            <color indexed="81"/>
            <rFont val="Segoe UI"/>
            <family val="2"/>
          </rPr>
          <t>Autor:</t>
        </r>
        <r>
          <rPr>
            <sz val="9"/>
            <color indexed="81"/>
            <rFont val="Segoe UI"/>
            <family val="2"/>
          </rPr>
          <t xml:space="preserve">
EC_el_final</t>
        </r>
      </text>
    </comment>
    <comment ref="B24" authorId="0" shapeId="0" xr:uid="{00000000-0006-0000-0100-000003000000}">
      <text>
        <r>
          <rPr>
            <b/>
            <sz val="9"/>
            <color indexed="81"/>
            <rFont val="Segoe UI"/>
            <family val="2"/>
          </rPr>
          <t>Author:</t>
        </r>
        <r>
          <rPr>
            <sz val="9"/>
            <color indexed="81"/>
            <rFont val="Segoe UI"/>
            <family val="2"/>
          </rPr>
          <t xml:space="preserve">
only in CIF</t>
        </r>
      </text>
    </comment>
    <comment ref="D33" authorId="0" shapeId="0" xr:uid="{00000000-0006-0000-0100-000004000000}">
      <text>
        <r>
          <rPr>
            <b/>
            <sz val="9"/>
            <color indexed="81"/>
            <rFont val="Segoe UI"/>
            <family val="2"/>
          </rPr>
          <t>Autor:</t>
        </r>
        <r>
          <rPr>
            <sz val="9"/>
            <color indexed="81"/>
            <rFont val="Segoe UI"/>
            <family val="2"/>
          </rPr>
          <t xml:space="preserve">
weighted result over CD and CS mode using the utility factor
for ranges different formulas apply!</t>
        </r>
      </text>
    </comment>
    <comment ref="N33" authorId="0" shapeId="0" xr:uid="{00000000-0006-0000-0100-000005000000}">
      <text>
        <r>
          <rPr>
            <b/>
            <sz val="9"/>
            <color indexed="81"/>
            <rFont val="Segoe UI"/>
            <family val="2"/>
          </rPr>
          <t>Autor:</t>
        </r>
        <r>
          <rPr>
            <sz val="9"/>
            <color indexed="81"/>
            <rFont val="Segoe UI"/>
            <family val="2"/>
          </rPr>
          <t xml:space="preserve">
only tool internal result, not in MRF and CIF</t>
        </r>
      </text>
    </comment>
    <comment ref="D36" authorId="0" shapeId="0" xr:uid="{00000000-0006-0000-0100-000006000000}">
      <text>
        <r>
          <rPr>
            <b/>
            <sz val="9"/>
            <color indexed="81"/>
            <rFont val="Segoe UI"/>
            <family val="2"/>
          </rPr>
          <t>Autor:</t>
        </r>
        <r>
          <rPr>
            <sz val="9"/>
            <color indexed="81"/>
            <rFont val="Segoe UI"/>
            <family val="2"/>
          </rPr>
          <t xml:space="preserve">
weighted result over CD and CS mode using the utility factor
for ranges different formulas apply!</t>
        </r>
      </text>
    </comment>
    <comment ref="N36" authorId="0" shapeId="0" xr:uid="{00000000-0006-0000-0100-000007000000}">
      <text>
        <r>
          <rPr>
            <b/>
            <sz val="9"/>
            <color indexed="81"/>
            <rFont val="Segoe UI"/>
            <family val="2"/>
          </rPr>
          <t>Autor:</t>
        </r>
        <r>
          <rPr>
            <sz val="9"/>
            <color indexed="81"/>
            <rFont val="Segoe UI"/>
            <family val="2"/>
          </rPr>
          <t xml:space="preserve">
only tool internal result, not in MRF and CIF</t>
        </r>
      </text>
    </comment>
    <comment ref="D39" authorId="0" shapeId="0" xr:uid="{00000000-0006-0000-0100-000008000000}">
      <text>
        <r>
          <rPr>
            <b/>
            <sz val="9"/>
            <color indexed="81"/>
            <rFont val="Segoe UI"/>
            <family val="2"/>
          </rPr>
          <t>Autor:</t>
        </r>
        <r>
          <rPr>
            <sz val="9"/>
            <color indexed="81"/>
            <rFont val="Segoe UI"/>
            <family val="2"/>
          </rPr>
          <t xml:space="preserve">
weighted result over CD and CS mode using the utility factor
for ranges different formulas apply!</t>
        </r>
      </text>
    </comment>
    <comment ref="N39" authorId="0" shapeId="0" xr:uid="{00000000-0006-0000-0100-000009000000}">
      <text>
        <r>
          <rPr>
            <b/>
            <sz val="9"/>
            <color indexed="81"/>
            <rFont val="Segoe UI"/>
            <family val="2"/>
          </rPr>
          <t>Autor:</t>
        </r>
        <r>
          <rPr>
            <sz val="9"/>
            <color indexed="81"/>
            <rFont val="Segoe UI"/>
            <family val="2"/>
          </rPr>
          <t xml:space="preserve">
only tool internal result, not in MRF and CIF</t>
        </r>
      </text>
    </comment>
    <comment ref="D42" authorId="0" shapeId="0" xr:uid="{00000000-0006-0000-0100-00000A000000}">
      <text>
        <r>
          <rPr>
            <b/>
            <sz val="9"/>
            <color indexed="81"/>
            <rFont val="Segoe UI"/>
            <family val="2"/>
          </rPr>
          <t>Autor:</t>
        </r>
        <r>
          <rPr>
            <sz val="9"/>
            <color indexed="81"/>
            <rFont val="Segoe UI"/>
            <family val="2"/>
          </rPr>
          <t xml:space="preserve">
weighted result over CD and CS mode using the utility factor
for ranges different formulas apply!</t>
        </r>
      </text>
    </comment>
    <comment ref="N42" authorId="0" shapeId="0" xr:uid="{00000000-0006-0000-0100-00000B000000}">
      <text>
        <r>
          <rPr>
            <b/>
            <sz val="9"/>
            <color indexed="81"/>
            <rFont val="Segoe UI"/>
            <family val="2"/>
          </rPr>
          <t>Autor:</t>
        </r>
        <r>
          <rPr>
            <sz val="9"/>
            <color indexed="81"/>
            <rFont val="Segoe UI"/>
            <family val="2"/>
          </rPr>
          <t xml:space="preserve">
only tool internal result, not in MRF and CIF</t>
        </r>
      </text>
    </comment>
    <comment ref="B44" authorId="0" shapeId="0" xr:uid="{00000000-0006-0000-0100-00000C000000}">
      <text>
        <r>
          <rPr>
            <b/>
            <sz val="9"/>
            <color indexed="81"/>
            <rFont val="Segoe UI"/>
            <family val="2"/>
          </rPr>
          <t>Author:</t>
        </r>
        <r>
          <rPr>
            <sz val="9"/>
            <color indexed="81"/>
            <rFont val="Segoe UI"/>
            <family val="2"/>
          </rPr>
          <t xml:space="preserve">
only in CIF</t>
        </r>
      </text>
    </comment>
    <comment ref="B64" authorId="0" shapeId="0" xr:uid="{00000000-0006-0000-0100-00000D000000}">
      <text>
        <r>
          <rPr>
            <b/>
            <sz val="9"/>
            <color indexed="81"/>
            <rFont val="Segoe UI"/>
            <family val="2"/>
          </rPr>
          <t>Author:</t>
        </r>
        <r>
          <rPr>
            <sz val="9"/>
            <color indexed="81"/>
            <rFont val="Segoe UI"/>
            <family val="2"/>
          </rPr>
          <t xml:space="preserve">
only in CIF</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Y3" authorId="0" shapeId="0" xr:uid="{00000000-0006-0000-0200-000001000000}">
      <text>
        <r>
          <rPr>
            <b/>
            <sz val="9"/>
            <color indexed="81"/>
            <rFont val="Segoe UI"/>
            <family val="2"/>
          </rPr>
          <t>Autor:</t>
        </r>
        <r>
          <rPr>
            <sz val="9"/>
            <color indexed="81"/>
            <rFont val="Segoe UI"/>
            <family val="2"/>
          </rPr>
          <t xml:space="preserve">
No stationary charging during mission for IMC vehicles!</t>
        </r>
      </text>
    </comment>
    <comment ref="AZ3" authorId="0" shapeId="0" xr:uid="{00000000-0006-0000-0200-000002000000}">
      <text>
        <r>
          <rPr>
            <b/>
            <sz val="9"/>
            <color indexed="81"/>
            <rFont val="Segoe UI"/>
            <family val="2"/>
          </rPr>
          <t>Autor:</t>
        </r>
        <r>
          <rPr>
            <sz val="9"/>
            <color indexed="81"/>
            <rFont val="Segoe UI"/>
            <family val="2"/>
          </rPr>
          <t xml:space="preserve">
Assumption: vehicle enters catenary line with 50% used SOC and leaves it with full bat.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C2" authorId="0" shapeId="0" xr:uid="{CEC3D09C-2808-446D-B298-C42A8BDFCAA2}">
      <text>
        <r>
          <rPr>
            <b/>
            <sz val="9"/>
            <color indexed="81"/>
            <rFont val="Segoe UI"/>
            <charset val="1"/>
          </rPr>
          <t>Autor:</t>
        </r>
        <r>
          <rPr>
            <sz val="9"/>
            <color indexed="81"/>
            <rFont val="Segoe UI"/>
            <charset val="1"/>
          </rPr>
          <t xml:space="preserve">
Does not depend on the vehicle group (because Interurban cycle) - HU, U, SU use 30kW, all other cycles use 100kW</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D24" authorId="0" shapeId="0" xr:uid="{00000000-0006-0000-0900-000001000000}">
      <text>
        <r>
          <rPr>
            <b/>
            <sz val="9"/>
            <color indexed="81"/>
            <rFont val="Segoe UI"/>
            <family val="2"/>
          </rPr>
          <t>Autor:</t>
        </r>
        <r>
          <rPr>
            <sz val="9"/>
            <color indexed="81"/>
            <rFont val="Segoe UI"/>
            <family val="2"/>
          </rPr>
          <t xml:space="preserve">
No stationary charging during mission for IMC vehicles!</t>
        </r>
      </text>
    </comment>
  </commentList>
</comments>
</file>

<file path=xl/sharedStrings.xml><?xml version="1.0" encoding="utf-8"?>
<sst xmlns="http://schemas.openxmlformats.org/spreadsheetml/2006/main" count="2753" uniqueCount="215">
  <si>
    <t>Vehicle group</t>
  </si>
  <si>
    <t>1s</t>
  </si>
  <si>
    <t>---</t>
  </si>
  <si>
    <t>Long haul</t>
  </si>
  <si>
    <t>Regional delivery</t>
  </si>
  <si>
    <t>Urban delivery</t>
  </si>
  <si>
    <t>Municipal delivery</t>
  </si>
  <si>
    <t>Con-struction</t>
  </si>
  <si>
    <t>Working days p.a.</t>
  </si>
  <si>
    <t>Stationary charging max power from infrastructure [kW]</t>
  </si>
  <si>
    <t>[km/d]</t>
  </si>
  <si>
    <t>[kW]</t>
  </si>
  <si>
    <t>[h]</t>
  </si>
  <si>
    <t>[-]</t>
  </si>
  <si>
    <t>Stationary charging during mission [kWh]</t>
  </si>
  <si>
    <t>[kWh]</t>
  </si>
  <si>
    <t>[kWh/km]</t>
  </si>
  <si>
    <t>low</t>
  </si>
  <si>
    <t>X</t>
  </si>
  <si>
    <t>rep.</t>
  </si>
  <si>
    <t>v_average</t>
  </si>
  <si>
    <t>Mission profile</t>
  </si>
  <si>
    <t>#1</t>
  </si>
  <si>
    <t>#2</t>
  </si>
  <si>
    <t>UF</t>
  </si>
  <si>
    <t>[km]</t>
  </si>
  <si>
    <t>Daily mission specific mileage [km/d]</t>
  </si>
  <si>
    <t>Daily specific mileage</t>
  </si>
  <si>
    <t>weighted</t>
  </si>
  <si>
    <t>Electric range for UF from stat charging during mission</t>
  </si>
  <si>
    <t>Electric energy consumption weighted CD + CS</t>
  </si>
  <si>
    <t>Fuel consumption weighted CD + CS</t>
  </si>
  <si>
    <t>Real world factor usage charge during mission</t>
  </si>
  <si>
    <t>declared in vehicle input</t>
  </si>
  <si>
    <t>Stationary charging during mission max. power from infrastructure</t>
  </si>
  <si>
    <t>Electric range for UF from start SOC (stat charging at depot)</t>
  </si>
  <si>
    <t>Electric energy charged during mission from stat infrastructure</t>
  </si>
  <si>
    <r>
      <t>Actual charge depleting range R</t>
    </r>
    <r>
      <rPr>
        <b/>
        <vertAlign val="subscript"/>
        <sz val="11"/>
        <color theme="1"/>
        <rFont val="Calibri"/>
        <family val="2"/>
        <scheme val="minor"/>
      </rPr>
      <t>CDA</t>
    </r>
  </si>
  <si>
    <t>cannot be &gt;1</t>
  </si>
  <si>
    <t>Real world usage factors</t>
  </si>
  <si>
    <t>Real world factor usage start SOC (part of max useable)</t>
  </si>
  <si>
    <t>[km/h]</t>
  </si>
  <si>
    <t>Stationary charging duration per event [h]</t>
  </si>
  <si>
    <t>Stationary charging during mission - average duration per event</t>
  </si>
  <si>
    <t>Stationary charging during mission - number of events</t>
  </si>
  <si>
    <t>Municipal</t>
  </si>
  <si>
    <t>Electric range for UF</t>
  </si>
  <si>
    <t>#3</t>
  </si>
  <si>
    <t>...</t>
  </si>
  <si>
    <t>Equivalent all electric range (EAER)</t>
  </si>
  <si>
    <t>Number of charging events during mission [#/day]</t>
  </si>
  <si>
    <t>Zero CO2 emissions range</t>
  </si>
  <si>
    <t>Battery charging efficiency</t>
  </si>
  <si>
    <t>from generic data</t>
  </si>
  <si>
    <t>Colour code</t>
  </si>
  <si>
    <t>from VECTO input / simulation (numerical value as input to this consideration)</t>
  </si>
  <si>
    <t>as to be calculated for OVC vehicles in post-processing (There is a formula to look at here!)</t>
  </si>
  <si>
    <t>Charging efficiency battery</t>
  </si>
  <si>
    <t>Example: group 5 full hybrid in long haul cycle (OVC HEV, but no IMC)</t>
  </si>
  <si>
    <t>result from VECTO refering to battery internal (SOC related) electric energy</t>
  </si>
  <si>
    <t>Max stat. charging power</t>
  </si>
  <si>
    <t>considers limitation in max charging power from vehicle, battery capacity and number of charging events; real world usage factor applied to downscale number of events (and not charging power)</t>
  </si>
  <si>
    <t>Example: group 5 PEV in long haul cycle (no IMC)</t>
  </si>
  <si>
    <t>Payload</t>
  </si>
  <si>
    <t>[l/100km]</t>
  </si>
  <si>
    <t>PEV</t>
  </si>
  <si>
    <t>Electric energy consumption CD mode (battery internal, SOC)</t>
  </si>
  <si>
    <t xml:space="preserve">reference = battery terminals, thus battery charging losses to be added </t>
  </si>
  <si>
    <t>Result level</t>
  </si>
  <si>
    <t>Fuel consumption per fuel type</t>
  </si>
  <si>
    <t>CO2 emissions</t>
  </si>
  <si>
    <t>Electric energy consumption</t>
  </si>
  <si>
    <t>FC_ZEV_AuxHeater</t>
  </si>
  <si>
    <t>CO2_ZEV_AuxHeater</t>
  </si>
  <si>
    <t>[lit/100km] ...</t>
  </si>
  <si>
    <t>[g/km] ...</t>
  </si>
  <si>
    <t>[kWh/km] ...</t>
  </si>
  <si>
    <t>OVC mode CD</t>
  </si>
  <si>
    <t>OVC mode CS</t>
  </si>
  <si>
    <t>Total</t>
  </si>
  <si>
    <t>(X)</t>
  </si>
  <si>
    <r>
      <t>Actual charge depleting range (R</t>
    </r>
    <r>
      <rPr>
        <b/>
        <vertAlign val="subscript"/>
        <sz val="11"/>
        <color rgb="FF0070C0"/>
        <rFont val="Calibri"/>
        <family val="2"/>
        <scheme val="minor"/>
      </rPr>
      <t>CDA</t>
    </r>
    <r>
      <rPr>
        <b/>
        <sz val="11"/>
        <color rgb="FF0070C0"/>
        <rFont val="Calibri"/>
        <family val="2"/>
        <scheme val="minor"/>
      </rPr>
      <t>)</t>
    </r>
  </si>
  <si>
    <t>Useable battery capacity</t>
  </si>
  <si>
    <t>Battery charging efficiency DEPOT</t>
  </si>
  <si>
    <t>Battery charging efficiency STATIONARY DURING MISSION</t>
  </si>
  <si>
    <t>Charging power DEPOT</t>
  </si>
  <si>
    <t>Charging power STATIONARY DURING MISSION</t>
  </si>
  <si>
    <t>Charged energy DEPOT</t>
  </si>
  <si>
    <t>Charged energy STATIONARY DURING MISSION</t>
  </si>
  <si>
    <t>Annual mileage [km/a]</t>
  </si>
  <si>
    <t>Charging efficiency battery for stationary charging during mission</t>
  </si>
  <si>
    <t>Current charging Depot</t>
  </si>
  <si>
    <t>P_loss charging Depot</t>
  </si>
  <si>
    <t>Current charging Mission</t>
  </si>
  <si>
    <t>P_loss charging Mission</t>
  </si>
  <si>
    <t>-</t>
  </si>
  <si>
    <t>FC CD mode</t>
  </si>
  <si>
    <t>FC CS mode</t>
  </si>
  <si>
    <t>Construction</t>
  </si>
  <si>
    <t>weighted result produced by weighted averaging from CS and CD</t>
  </si>
  <si>
    <t>post-processing result from above (i.e. grey X) given as output in total results element</t>
  </si>
  <si>
    <t>individual result simulated in specific mode (i.e. CS or CD)</t>
  </si>
  <si>
    <t>result from specific mode (i.e. CS or CD) without direct output but relevant for total results</t>
  </si>
  <si>
    <t>U_i @ SOC_center</t>
  </si>
  <si>
    <t>R_i @ SOC_center</t>
  </si>
  <si>
    <t>certified capacity cut by generic or declared upper/lower limits and generic deterioration factor</t>
  </si>
  <si>
    <t>EC_el_final CD</t>
  </si>
  <si>
    <t>Charging efficiency Depot</t>
  </si>
  <si>
    <t>Charging efficiency during Mission</t>
  </si>
  <si>
    <t>Battery charging efficiency weighted average</t>
  </si>
  <si>
    <t>result from VECTO - HERE AS INPUT REQUIRED!</t>
  </si>
  <si>
    <t>Calculations for battery component</t>
  </si>
  <si>
    <t>Charging power Depot</t>
  </si>
  <si>
    <t>Loss power charging Depot</t>
  </si>
  <si>
    <t>Charging power during Mission</t>
  </si>
  <si>
    <t>Loss power charging during Mission</t>
  </si>
  <si>
    <t>Charging efficiency battery (weighted average)</t>
  </si>
  <si>
    <t>[V]</t>
  </si>
  <si>
    <t>[Ohm]</t>
  </si>
  <si>
    <t>[A]</t>
  </si>
  <si>
    <t xml:space="preserve">generic deterioration </t>
  </si>
  <si>
    <t>new vehicle</t>
  </si>
  <si>
    <t>half of lifetime</t>
  </si>
  <si>
    <t>generic SOC min</t>
  </si>
  <si>
    <t>generic SOC max</t>
  </si>
  <si>
    <t>declared SOC min</t>
  </si>
  <si>
    <t>declared SOC max</t>
  </si>
  <si>
    <t>actual SOC min</t>
  </si>
  <si>
    <t>actual SOC max</t>
  </si>
  <si>
    <t>useable SOC range</t>
  </si>
  <si>
    <r>
      <t>average of SOC range ("SOC</t>
    </r>
    <r>
      <rPr>
        <b/>
        <vertAlign val="subscript"/>
        <sz val="11"/>
        <rFont val="Calibri"/>
        <family val="2"/>
        <scheme val="minor"/>
      </rPr>
      <t>CENTER</t>
    </r>
    <r>
      <rPr>
        <b/>
        <sz val="11"/>
        <rFont val="Calibri"/>
        <family val="2"/>
        <scheme val="minor"/>
      </rPr>
      <t>")</t>
    </r>
  </si>
  <si>
    <t>Remarks:</t>
  </si>
  <si>
    <t>Declaration of useable SOC range assumed to refer to new vehicle, otherwise  it cannot be combined with declared deterioration (what is the vision for the future?)</t>
  </si>
  <si>
    <t>Heavy Urban</t>
  </si>
  <si>
    <t>Urban</t>
  </si>
  <si>
    <t>Suburban</t>
  </si>
  <si>
    <t>Interurban</t>
  </si>
  <si>
    <t>Coach</t>
  </si>
  <si>
    <t>Share of distance of total mission where in-motion charging infrastructure is available
OVERHEAD CATENARY</t>
  </si>
  <si>
    <t>Share of distance of total mission where in-motion charging infrastructure is available
TROLLEY</t>
  </si>
  <si>
    <t>Stationary charging during mission
RF_StatCharge</t>
  </si>
  <si>
    <t>Start SOC before mission (depot)
RF_StartSOC</t>
  </si>
  <si>
    <t>Real world factor in-motion charging during mission (lift in % of useable SOC)
RF_IM_SOCLift</t>
  </si>
  <si>
    <t>declared in vehicle input (not of relevance here as no charge during mission)</t>
  </si>
  <si>
    <t>Share of distance where in-motion charging infrastructure is available</t>
  </si>
  <si>
    <t>Real world factor in-motion charging during mission
(lift in % of useable SOC)</t>
  </si>
  <si>
    <t>Electric range for UF from in-motion charging (only direct feed)</t>
  </si>
  <si>
    <t>Electric energy  direct feed</t>
  </si>
  <si>
    <t>Electric energy charged during mission from in-motion infrastructure (SOC lift)</t>
  </si>
  <si>
    <t>Electric range for UF from in-motion charging during mission (SOC lift)</t>
  </si>
  <si>
    <t>Share electric energy from grid first charged into battery</t>
  </si>
  <si>
    <t>Share electric energy from grid direct feed</t>
  </si>
  <si>
    <t>Correction factor EC_SOC as simulated by VECTO to EC_terminal</t>
  </si>
  <si>
    <t>Electric energy  from start SOC (stat charging at depot)</t>
  </si>
  <si>
    <t>Average charging efficiency battery during external charging (η_bat(1))</t>
  </si>
  <si>
    <t>Average discharging efficiency battery during mission (η_bat(2))</t>
  </si>
  <si>
    <t>Charging power IN-MOTION CHARGING SOC LIFT</t>
  </si>
  <si>
    <t>Charged energy IN-MOTION CHARGING SOC LIFT</t>
  </si>
  <si>
    <t>Battery charging efficiency IN-MOTION CHARGING SOC LIFT</t>
  </si>
  <si>
    <t>Charging power during IMC SOC lift</t>
  </si>
  <si>
    <t>Loss power charging during IMC SOC lift</t>
  </si>
  <si>
    <t>Charging efficiency during IMC SOC lift</t>
  </si>
  <si>
    <t>Vehicle type is city bus?</t>
  </si>
  <si>
    <t>Yes</t>
  </si>
  <si>
    <t>No</t>
  </si>
  <si>
    <t>Current charging IMC SOC lift</t>
  </si>
  <si>
    <t>P_loss charging IMC SOC lift</t>
  </si>
  <si>
    <t>result from VECTO, here required as input</t>
  </si>
  <si>
    <t>Share of distance of total mission where in-motion charging infrastructure is available
Ground rail and wireless</t>
  </si>
  <si>
    <t>Electric energy required for daily specific mileage</t>
  </si>
  <si>
    <t>Limitation of electric energy charged into the battery</t>
  </si>
  <si>
    <t>Electric energy provided by direct feed is always used completely!</t>
  </si>
  <si>
    <t>Example: group 5 full hybrid in long haul cycle with IMC</t>
  </si>
  <si>
    <t>Example: group 5 PEV in long haul cycle with IMC</t>
  </si>
  <si>
    <t>Result matrix</t>
  </si>
  <si>
    <t>GenericData_VehicleOperation</t>
  </si>
  <si>
    <t>Usable_SOC</t>
  </si>
  <si>
    <t>BatteryData OVC-HEV</t>
  </si>
  <si>
    <t>BatteryData PEV</t>
  </si>
  <si>
    <t>BatteryData IMC_OVC-HEV</t>
  </si>
  <si>
    <t>BatteryData IMC_PEV</t>
  </si>
  <si>
    <t>Sheet name</t>
  </si>
  <si>
    <t>Content</t>
  </si>
  <si>
    <t>Pure ICE vehicles, non-OVC HEVs and non-OVC FCHVs</t>
  </si>
  <si>
    <t>Hydrogen range (H2R)</t>
  </si>
  <si>
    <r>
      <t>(X)</t>
    </r>
    <r>
      <rPr>
        <b/>
        <vertAlign val="superscript"/>
        <sz val="11"/>
        <color theme="0" tint="-0.499984740745262"/>
        <rFont val="Calibri"/>
        <family val="2"/>
        <scheme val="minor"/>
      </rPr>
      <t>1</t>
    </r>
  </si>
  <si>
    <r>
      <t>X</t>
    </r>
    <r>
      <rPr>
        <b/>
        <vertAlign val="superscript"/>
        <sz val="11"/>
        <color rgb="FF006100"/>
        <rFont val="Calibri"/>
        <family val="2"/>
        <scheme val="minor"/>
      </rPr>
      <t>1</t>
    </r>
  </si>
  <si>
    <r>
      <t>X</t>
    </r>
    <r>
      <rPr>
        <b/>
        <vertAlign val="superscript"/>
        <sz val="14"/>
        <color rgb="FF006100"/>
        <rFont val="Calibri"/>
        <family val="2"/>
        <scheme val="minor"/>
      </rPr>
      <t>1</t>
    </r>
  </si>
  <si>
    <t>OVC HEV and OVC-FCHV</t>
  </si>
  <si>
    <r>
      <t>X</t>
    </r>
    <r>
      <rPr>
        <b/>
        <vertAlign val="superscript"/>
        <sz val="14"/>
        <color rgb="FF006100"/>
        <rFont val="Calibri"/>
        <family val="2"/>
        <scheme val="minor"/>
      </rPr>
      <t>2</t>
    </r>
  </si>
  <si>
    <r>
      <rPr>
        <b/>
        <vertAlign val="superscript"/>
        <sz val="11"/>
        <color theme="1"/>
        <rFont val="Calibri"/>
        <family val="2"/>
        <scheme val="minor"/>
      </rPr>
      <t>1</t>
    </r>
    <r>
      <rPr>
        <b/>
        <sz val="11"/>
        <color theme="1"/>
        <rFont val="Calibri"/>
        <family val="2"/>
        <scheme val="minor"/>
      </rPr>
      <t xml:space="preserve"> ... </t>
    </r>
    <r>
      <rPr>
        <b/>
        <u/>
        <sz val="11"/>
        <color theme="1"/>
        <rFont val="Calibri"/>
        <family val="2"/>
        <scheme val="minor"/>
      </rPr>
      <t>Only</t>
    </r>
    <r>
      <rPr>
        <b/>
        <sz val="11"/>
        <color theme="1"/>
        <rFont val="Calibri"/>
        <family val="2"/>
        <scheme val="minor"/>
      </rPr>
      <t xml:space="preserve"> for H2 propulsion vehicles (ICE and FCHV)</t>
    </r>
  </si>
  <si>
    <r>
      <rPr>
        <b/>
        <vertAlign val="superscript"/>
        <sz val="11"/>
        <color theme="1"/>
        <rFont val="Calibri"/>
        <family val="2"/>
        <scheme val="minor"/>
      </rPr>
      <t>2</t>
    </r>
    <r>
      <rPr>
        <b/>
        <sz val="11"/>
        <color theme="1"/>
        <rFont val="Calibri"/>
        <family val="2"/>
        <scheme val="minor"/>
      </rPr>
      <t xml:space="preserve"> ... </t>
    </r>
    <r>
      <rPr>
        <b/>
        <u/>
        <sz val="11"/>
        <color theme="1"/>
        <rFont val="Calibri"/>
        <family val="2"/>
        <scheme val="minor"/>
      </rPr>
      <t>Not</t>
    </r>
    <r>
      <rPr>
        <b/>
        <sz val="11"/>
        <color theme="1"/>
        <rFont val="Calibri"/>
        <family val="2"/>
        <scheme val="minor"/>
      </rPr>
      <t xml:space="preserve"> for H2 propulsion vehicles (ICE and FCHV)</t>
    </r>
  </si>
  <si>
    <r>
      <t>X</t>
    </r>
    <r>
      <rPr>
        <vertAlign val="superscript"/>
        <sz val="11"/>
        <color theme="1" tint="0.499984740745262"/>
        <rFont val="Calibri"/>
        <family val="2"/>
        <scheme val="minor"/>
      </rPr>
      <t>2</t>
    </r>
  </si>
  <si>
    <r>
      <t>X</t>
    </r>
    <r>
      <rPr>
        <vertAlign val="superscript"/>
        <sz val="11"/>
        <rFont val="Calibri"/>
        <family val="2"/>
        <scheme val="minor"/>
      </rPr>
      <t>2</t>
    </r>
  </si>
  <si>
    <r>
      <t>X</t>
    </r>
    <r>
      <rPr>
        <vertAlign val="superscript"/>
        <sz val="9"/>
        <color rgb="FF006100"/>
        <rFont val="Calibri"/>
        <family val="2"/>
        <scheme val="minor"/>
      </rPr>
      <t>1</t>
    </r>
  </si>
  <si>
    <r>
      <t>X</t>
    </r>
    <r>
      <rPr>
        <vertAlign val="superscript"/>
        <sz val="11"/>
        <color theme="0"/>
        <rFont val="Calibri"/>
        <family val="2"/>
        <scheme val="minor"/>
      </rPr>
      <t>2</t>
    </r>
  </si>
  <si>
    <t>Matrices for results of VECTO in the MRF and CIF according to the individual propulsion technologies. "Weighted" results are only relevant for the CIF</t>
  </si>
  <si>
    <t>Tables with generic data</t>
  </si>
  <si>
    <t>Calculation of the usable SOC range for the different xEV concepts</t>
  </si>
  <si>
    <t>OVC-HEV and OVC_FCHV</t>
  </si>
  <si>
    <t>NOVC-HEV and NOVC-FCHV</t>
  </si>
  <si>
    <t>Template_OVC-HEV</t>
  </si>
  <si>
    <t>Template_PEV</t>
  </si>
  <si>
    <t>Template IMC_OVC-HEV</t>
  </si>
  <si>
    <t>Template IMC_PEV</t>
  </si>
  <si>
    <t>Calculation example for all post-processing elements regarding fuel consumption, electrical energy consumption as well as CO2 emissions</t>
  </si>
  <si>
    <t>Relevant propulsion technologies</t>
  </si>
  <si>
    <t>all</t>
  </si>
  <si>
    <t>all xEV (HEV, PEV, FCHV)</t>
  </si>
  <si>
    <t>all OVC-xEV (HEV, PEV, FCHV)</t>
  </si>
  <si>
    <t>Calculation of battery charging efficiency for external ("OVC") charging event(s)</t>
  </si>
  <si>
    <t>OVC HEV and OVC FCHV</t>
  </si>
  <si>
    <t>OVC HEV and OVC FCHV with additional IMC feature</t>
  </si>
  <si>
    <t>PEV with additional IMC feature</t>
  </si>
  <si>
    <t>Depending on the vehicle group and IMC technology, the correct generic parameters need to be used for all generic parameters!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</si>
</sst>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0.0"/>
    <numFmt numFmtId="165" formatCode="_-* #,##0_-;\-* #,##0_-;_-* &quot;-&quot;??_-;_-@_-"/>
    <numFmt numFmtId="166" formatCode="0.000"/>
    <numFmt numFmtId="167" formatCode="0.0000"/>
    <numFmt numFmtId="168" formatCode="0.00000"/>
    <numFmt numFmtId="169" formatCode="0.0%"/>
    <numFmt numFmtId="170" formatCode="#,##0.00_ ;\-#,##0.00\ "/>
  </numFmts>
  <fonts count="49" x14ac:knownFonts="1">
    <font>
      <sz val="11"/>
      <color theme="1"/>
      <name val="Calibri"/>
      <family val="2"/>
      <scheme val="minor"/>
    </font>
    <font>
      <sz val="11"/>
      <color rgb="FFFF0000"/>
      <name val="Calibri"/>
      <family val="2"/>
      <scheme val="minor"/>
    </font>
    <font>
      <b/>
      <sz val="11"/>
      <color theme="1"/>
      <name val="Calibri"/>
      <family val="2"/>
      <scheme val="minor"/>
    </font>
    <font>
      <sz val="9"/>
      <color indexed="81"/>
      <name val="Segoe UI"/>
      <family val="2"/>
    </font>
    <font>
      <b/>
      <sz val="9"/>
      <color indexed="81"/>
      <name val="Segoe UI"/>
      <family val="2"/>
    </font>
    <font>
      <sz val="11"/>
      <color theme="1"/>
      <name val="Calibri"/>
      <family val="2"/>
      <scheme val="minor"/>
    </font>
    <font>
      <sz val="11"/>
      <color rgb="FF006100"/>
      <name val="Calibri"/>
      <family val="2"/>
      <scheme val="minor"/>
    </font>
    <font>
      <sz val="11"/>
      <color rgb="FF3F3F76"/>
      <name val="Calibri"/>
      <family val="2"/>
      <scheme val="minor"/>
    </font>
    <font>
      <sz val="11"/>
      <name val="Calibri"/>
      <family val="2"/>
      <scheme val="minor"/>
    </font>
    <font>
      <b/>
      <sz val="11"/>
      <name val="Calibri"/>
      <family val="2"/>
      <scheme val="minor"/>
    </font>
    <font>
      <b/>
      <sz val="11"/>
      <color theme="0" tint="-0.499984740745262"/>
      <name val="Calibri"/>
      <family val="2"/>
      <scheme val="minor"/>
    </font>
    <font>
      <sz val="11"/>
      <color theme="0" tint="-0.499984740745262"/>
      <name val="Calibri"/>
      <family val="2"/>
      <scheme val="minor"/>
    </font>
    <font>
      <sz val="11"/>
      <color rgb="FF0070C0"/>
      <name val="Calibri"/>
      <family val="2"/>
      <scheme val="minor"/>
    </font>
    <font>
      <b/>
      <sz val="11"/>
      <color rgb="FF0070C0"/>
      <name val="Calibri"/>
      <family val="2"/>
      <scheme val="minor"/>
    </font>
    <font>
      <b/>
      <vertAlign val="subscript"/>
      <sz val="11"/>
      <color rgb="FF0070C0"/>
      <name val="Calibri"/>
      <family val="2"/>
      <scheme val="minor"/>
    </font>
    <font>
      <b/>
      <sz val="11"/>
      <color theme="0"/>
      <name val="Calibri"/>
      <family val="2"/>
      <scheme val="minor"/>
    </font>
    <font>
      <b/>
      <vertAlign val="subscript"/>
      <sz val="11"/>
      <color theme="1"/>
      <name val="Calibri"/>
      <family val="2"/>
      <scheme val="minor"/>
    </font>
    <font>
      <sz val="11"/>
      <color rgb="FF000000"/>
      <name val="Calibri"/>
      <family val="2"/>
    </font>
    <font>
      <b/>
      <u/>
      <sz val="14"/>
      <color theme="1"/>
      <name val="Calibri"/>
      <family val="2"/>
      <scheme val="minor"/>
    </font>
    <font>
      <b/>
      <sz val="11"/>
      <color rgb="FF006100"/>
      <name val="Calibri"/>
      <family val="2"/>
      <scheme val="minor"/>
    </font>
    <font>
      <sz val="9"/>
      <color rgb="FF006100"/>
      <name val="Calibri"/>
      <family val="2"/>
      <scheme val="minor"/>
    </font>
    <font>
      <b/>
      <sz val="14"/>
      <color rgb="FF006100"/>
      <name val="Calibri"/>
      <family val="2"/>
      <scheme val="minor"/>
    </font>
    <font>
      <b/>
      <i/>
      <sz val="11"/>
      <color theme="1"/>
      <name val="Calibri"/>
      <family val="2"/>
      <scheme val="minor"/>
    </font>
    <font>
      <i/>
      <sz val="11"/>
      <color theme="1"/>
      <name val="Calibri"/>
      <family val="2"/>
      <scheme val="minor"/>
    </font>
    <font>
      <i/>
      <sz val="11"/>
      <color theme="0" tint="-0.499984740745262"/>
      <name val="Calibri"/>
      <family val="2"/>
      <scheme val="minor"/>
    </font>
    <font>
      <i/>
      <sz val="11"/>
      <color rgb="FF3F3F76"/>
      <name val="Calibri"/>
      <family val="2"/>
      <scheme val="minor"/>
    </font>
    <font>
      <i/>
      <sz val="11"/>
      <color rgb="FF0070C0"/>
      <name val="Calibri"/>
      <family val="2"/>
      <scheme val="minor"/>
    </font>
    <font>
      <b/>
      <sz val="11"/>
      <color theme="9" tint="-0.249977111117893"/>
      <name val="Calibri"/>
      <family val="2"/>
      <scheme val="minor"/>
    </font>
    <font>
      <sz val="11"/>
      <color theme="1" tint="0.499984740745262"/>
      <name val="Calibri"/>
      <family val="2"/>
      <scheme val="minor"/>
    </font>
    <font>
      <sz val="11"/>
      <color theme="0"/>
      <name val="Calibri"/>
      <family val="2"/>
      <scheme val="minor"/>
    </font>
    <font>
      <b/>
      <sz val="11"/>
      <color rgb="FFFA7D00"/>
      <name val="Calibri"/>
      <family val="2"/>
      <scheme val="minor"/>
    </font>
    <font>
      <b/>
      <u/>
      <sz val="11"/>
      <color theme="1"/>
      <name val="Calibri"/>
      <family val="2"/>
      <scheme val="minor"/>
    </font>
    <font>
      <b/>
      <vertAlign val="subscript"/>
      <sz val="11"/>
      <name val="Calibri"/>
      <family val="2"/>
      <scheme val="minor"/>
    </font>
    <font>
      <sz val="11"/>
      <color theme="9" tint="-0.249977111117893"/>
      <name val="Calibri"/>
      <family val="2"/>
      <scheme val="minor"/>
    </font>
    <font>
      <b/>
      <sz val="11"/>
      <color rgb="FF7030A0"/>
      <name val="Calibri"/>
      <family val="2"/>
      <scheme val="minor"/>
    </font>
    <font>
      <b/>
      <i/>
      <sz val="11"/>
      <color theme="0" tint="-0.34998626667073579"/>
      <name val="Calibri"/>
      <family val="2"/>
      <scheme val="minor"/>
    </font>
    <font>
      <i/>
      <sz val="11"/>
      <color theme="0" tint="-0.34998626667073579"/>
      <name val="Calibri"/>
      <family val="2"/>
      <scheme val="minor"/>
    </font>
    <font>
      <b/>
      <sz val="11"/>
      <color rgb="FFFF65FF"/>
      <name val="Calibri"/>
      <family val="2"/>
      <scheme val="minor"/>
    </font>
    <font>
      <b/>
      <vertAlign val="superscript"/>
      <sz val="11"/>
      <color theme="0" tint="-0.499984740745262"/>
      <name val="Calibri"/>
      <family val="2"/>
      <scheme val="minor"/>
    </font>
    <font>
      <b/>
      <vertAlign val="superscript"/>
      <sz val="11"/>
      <color rgb="FF006100"/>
      <name val="Calibri"/>
      <family val="2"/>
      <scheme val="minor"/>
    </font>
    <font>
      <b/>
      <vertAlign val="superscript"/>
      <sz val="14"/>
      <color rgb="FF006100"/>
      <name val="Calibri"/>
      <family val="2"/>
      <scheme val="minor"/>
    </font>
    <font>
      <b/>
      <vertAlign val="superscript"/>
      <sz val="11"/>
      <color theme="1"/>
      <name val="Calibri"/>
      <family val="2"/>
      <scheme val="minor"/>
    </font>
    <font>
      <vertAlign val="superscript"/>
      <sz val="11"/>
      <color theme="1" tint="0.499984740745262"/>
      <name val="Calibri"/>
      <family val="2"/>
      <scheme val="minor"/>
    </font>
    <font>
      <vertAlign val="superscript"/>
      <sz val="11"/>
      <name val="Calibri"/>
      <family val="2"/>
      <scheme val="minor"/>
    </font>
    <font>
      <vertAlign val="superscript"/>
      <sz val="9"/>
      <color rgb="FF006100"/>
      <name val="Calibri"/>
      <family val="2"/>
      <scheme val="minor"/>
    </font>
    <font>
      <vertAlign val="superscript"/>
      <sz val="11"/>
      <color theme="0"/>
      <name val="Calibri"/>
      <family val="2"/>
      <scheme val="minor"/>
    </font>
    <font>
      <b/>
      <sz val="12"/>
      <color theme="1"/>
      <name val="Calibri"/>
      <family val="2"/>
      <scheme val="minor"/>
    </font>
    <font>
      <sz val="9"/>
      <color indexed="81"/>
      <name val="Segoe UI"/>
      <charset val="1"/>
    </font>
    <font>
      <b/>
      <sz val="9"/>
      <color indexed="81"/>
      <name val="Segoe UI"/>
      <charset val="1"/>
    </font>
  </fonts>
  <fills count="27">
    <fill>
      <patternFill patternType="none"/>
    </fill>
    <fill>
      <patternFill patternType="gray125"/>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rgb="FFC6EFCE"/>
      </patternFill>
    </fill>
    <fill>
      <patternFill patternType="solid">
        <fgColor rgb="FFFFCC99"/>
      </patternFill>
    </fill>
    <fill>
      <patternFill patternType="solid">
        <fgColor rgb="FFFFFFCC"/>
        <bgColor indexed="64"/>
      </patternFill>
    </fill>
    <fill>
      <patternFill patternType="solid">
        <fgColor theme="4" tint="0.79998168889431442"/>
        <bgColor indexed="64"/>
      </patternFill>
    </fill>
    <fill>
      <patternFill patternType="solid">
        <fgColor theme="8" tint="0.59999389629810485"/>
        <bgColor indexed="64"/>
      </patternFill>
    </fill>
    <fill>
      <patternFill patternType="solid">
        <fgColor theme="4" tint="0.59999389629810485"/>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5" tint="-0.499984740745262"/>
        <bgColor indexed="64"/>
      </patternFill>
    </fill>
    <fill>
      <patternFill patternType="solid">
        <fgColor theme="0"/>
        <bgColor indexed="64"/>
      </patternFill>
    </fill>
    <fill>
      <patternFill patternType="solid">
        <fgColor rgb="FFE1F7E5"/>
        <bgColor indexed="64"/>
      </patternFill>
    </fill>
    <fill>
      <patternFill patternType="solid">
        <fgColor rgb="FFF2F2F2"/>
      </patternFill>
    </fill>
    <fill>
      <patternFill patternType="solid">
        <fgColor theme="4"/>
      </patternFill>
    </fill>
    <fill>
      <patternFill patternType="solid">
        <fgColor rgb="FFFFD1FF"/>
        <bgColor indexed="64"/>
      </patternFill>
    </fill>
    <fill>
      <patternFill patternType="solid">
        <fgColor rgb="FFFF99FF"/>
        <bgColor indexed="64"/>
      </patternFill>
    </fill>
    <fill>
      <patternFill patternType="solid">
        <fgColor rgb="FFFF65FF"/>
        <bgColor indexed="64"/>
      </patternFill>
    </fill>
    <fill>
      <patternFill patternType="solid">
        <fgColor rgb="FFFFB219"/>
        <bgColor indexed="64"/>
      </patternFill>
    </fill>
    <fill>
      <patternFill patternType="solid">
        <fgColor rgb="FFB87B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double">
        <color indexed="64"/>
      </bottom>
      <diagonal/>
    </border>
    <border>
      <left/>
      <right style="thin">
        <color indexed="64"/>
      </right>
      <top/>
      <bottom/>
      <diagonal/>
    </border>
    <border>
      <left/>
      <right style="thin">
        <color rgb="FF7F7F7F"/>
      </right>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style="medium">
        <color indexed="64"/>
      </right>
      <top/>
      <bottom style="double">
        <color indexed="64"/>
      </bottom>
      <diagonal/>
    </border>
    <border>
      <left/>
      <right style="thin">
        <color indexed="64"/>
      </right>
      <top/>
      <bottom style="double">
        <color indexed="64"/>
      </bottom>
      <diagonal/>
    </border>
    <border>
      <left style="thin">
        <color indexed="64"/>
      </left>
      <right style="thin">
        <color indexed="64"/>
      </right>
      <top style="medium">
        <color indexed="64"/>
      </top>
      <bottom style="double">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thin">
        <color rgb="FF7F7F7F"/>
      </left>
      <right style="medium">
        <color indexed="64"/>
      </right>
      <top style="medium">
        <color indexed="64"/>
      </top>
      <bottom style="thin">
        <color rgb="FF7F7F7F"/>
      </bottom>
      <diagonal/>
    </border>
    <border>
      <left style="thin">
        <color rgb="FF7F7F7F"/>
      </left>
      <right style="medium">
        <color indexed="64"/>
      </right>
      <top/>
      <bottom style="thin">
        <color rgb="FF7F7F7F"/>
      </bottom>
      <diagonal/>
    </border>
    <border>
      <left style="thin">
        <color rgb="FF7F7F7F"/>
      </left>
      <right style="medium">
        <color indexed="64"/>
      </right>
      <top style="thin">
        <color rgb="FF7F7F7F"/>
      </top>
      <bottom style="thin">
        <color rgb="FF7F7F7F"/>
      </bottom>
      <diagonal/>
    </border>
    <border>
      <left style="thin">
        <color rgb="FF7F7F7F"/>
      </left>
      <right style="medium">
        <color indexed="64"/>
      </right>
      <top style="thin">
        <color rgb="FF7F7F7F"/>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bottom style="medium">
        <color indexed="64"/>
      </bottom>
      <diagonal/>
    </border>
  </borders>
  <cellStyleXfs count="8">
    <xf numFmtId="0" fontId="0" fillId="0" borderId="0"/>
    <xf numFmtId="43" fontId="5" fillId="0" borderId="0" applyFont="0" applyFill="0" applyBorder="0" applyAlignment="0" applyProtection="0"/>
    <xf numFmtId="0" fontId="6" fillId="8" borderId="0" applyNumberFormat="0" applyBorder="0" applyAlignment="0" applyProtection="0"/>
    <xf numFmtId="0" fontId="7" fillId="9" borderId="3" applyNumberFormat="0" applyAlignment="0" applyProtection="0"/>
    <xf numFmtId="9" fontId="5" fillId="0" borderId="0" applyFont="0" applyFill="0" applyBorder="0" applyAlignment="0" applyProtection="0"/>
    <xf numFmtId="0" fontId="17" fillId="0" borderId="0"/>
    <xf numFmtId="0" fontId="30" fillId="20" borderId="3" applyNumberFormat="0" applyAlignment="0" applyProtection="0"/>
    <xf numFmtId="0" fontId="29" fillId="21" borderId="0" applyNumberFormat="0" applyBorder="0" applyAlignment="0" applyProtection="0"/>
  </cellStyleXfs>
  <cellXfs count="270">
    <xf numFmtId="0" fontId="0" fillId="0" borderId="0" xfId="0"/>
    <xf numFmtId="0" fontId="0" fillId="0" borderId="0" xfId="0" applyAlignment="1">
      <alignment horizontal="center"/>
    </xf>
    <xf numFmtId="0" fontId="2" fillId="0" borderId="0" xfId="0" applyFont="1" applyAlignment="1">
      <alignment horizontal="center" wrapText="1"/>
    </xf>
    <xf numFmtId="0" fontId="2" fillId="3" borderId="1" xfId="0" applyFont="1" applyFill="1" applyBorder="1" applyAlignment="1">
      <alignment horizontal="center"/>
    </xf>
    <xf numFmtId="0" fontId="2" fillId="4" borderId="1" xfId="0" applyFont="1" applyFill="1" applyBorder="1" applyAlignment="1">
      <alignment horizontal="center"/>
    </xf>
    <xf numFmtId="0" fontId="8" fillId="10" borderId="1" xfId="0" applyFont="1" applyFill="1" applyBorder="1" applyAlignment="1">
      <alignment horizontal="center" wrapText="1"/>
    </xf>
    <xf numFmtId="0" fontId="8" fillId="6" borderId="1" xfId="0" applyFont="1" applyFill="1" applyBorder="1" applyAlignment="1">
      <alignment horizontal="center" wrapText="1"/>
    </xf>
    <xf numFmtId="0" fontId="8" fillId="4" borderId="1" xfId="0" applyFont="1" applyFill="1" applyBorder="1" applyAlignment="1">
      <alignment horizontal="center" wrapText="1"/>
    </xf>
    <xf numFmtId="0" fontId="8" fillId="12" borderId="1" xfId="0" applyFont="1" applyFill="1" applyBorder="1" applyAlignment="1">
      <alignment horizontal="center" wrapText="1"/>
    </xf>
    <xf numFmtId="0" fontId="8" fillId="7" borderId="1" xfId="0" applyFont="1" applyFill="1" applyBorder="1" applyAlignment="1">
      <alignment horizontal="center" wrapText="1"/>
    </xf>
    <xf numFmtId="0" fontId="8" fillId="0" borderId="1" xfId="0" quotePrefix="1" applyFont="1" applyBorder="1" applyAlignment="1">
      <alignment horizontal="center"/>
    </xf>
    <xf numFmtId="165" fontId="8" fillId="0" borderId="1" xfId="1" quotePrefix="1" applyNumberFormat="1" applyFont="1" applyBorder="1" applyAlignment="1">
      <alignment horizontal="center"/>
    </xf>
    <xf numFmtId="0" fontId="8" fillId="2" borderId="1" xfId="0" applyFont="1" applyFill="1" applyBorder="1" applyAlignment="1">
      <alignment horizontal="center"/>
    </xf>
    <xf numFmtId="0" fontId="12" fillId="2" borderId="1" xfId="0" applyFont="1" applyFill="1" applyBorder="1" applyAlignment="1">
      <alignment horizontal="center"/>
    </xf>
    <xf numFmtId="0" fontId="11" fillId="2" borderId="1" xfId="0" quotePrefix="1" applyFont="1" applyFill="1" applyBorder="1" applyAlignment="1">
      <alignment horizontal="center"/>
    </xf>
    <xf numFmtId="0" fontId="13" fillId="2" borderId="1" xfId="0" applyFont="1" applyFill="1" applyBorder="1" applyAlignment="1">
      <alignment horizontal="left" wrapText="1"/>
    </xf>
    <xf numFmtId="0" fontId="0" fillId="0" borderId="0" xfId="0" applyAlignment="1">
      <alignment horizontal="left"/>
    </xf>
    <xf numFmtId="0" fontId="0" fillId="14" borderId="1" xfId="0" applyFill="1" applyBorder="1"/>
    <xf numFmtId="0" fontId="0" fillId="15" borderId="1" xfId="0" applyFill="1" applyBorder="1"/>
    <xf numFmtId="0" fontId="2" fillId="2" borderId="2" xfId="0" applyFont="1" applyFill="1" applyBorder="1" applyAlignment="1">
      <alignment horizontal="center" wrapText="1"/>
    </xf>
    <xf numFmtId="0" fontId="13" fillId="0" borderId="0" xfId="0" applyFont="1" applyAlignment="1">
      <alignment horizontal="center" wrapText="1"/>
    </xf>
    <xf numFmtId="0" fontId="13" fillId="0" borderId="0" xfId="0" applyFont="1"/>
    <xf numFmtId="0" fontId="10" fillId="2" borderId="1" xfId="0" applyFont="1" applyFill="1" applyBorder="1" applyAlignment="1">
      <alignment horizontal="center"/>
    </xf>
    <xf numFmtId="0" fontId="10" fillId="2" borderId="1" xfId="0" applyFont="1" applyFill="1" applyBorder="1" applyAlignment="1">
      <alignment horizontal="center" wrapText="1"/>
    </xf>
    <xf numFmtId="0" fontId="11" fillId="2" borderId="2" xfId="0" quotePrefix="1" applyFont="1" applyFill="1" applyBorder="1" applyAlignment="1">
      <alignment horizontal="center"/>
    </xf>
    <xf numFmtId="0" fontId="11" fillId="2" borderId="5" xfId="0" quotePrefix="1" applyFont="1" applyFill="1" applyBorder="1" applyAlignment="1">
      <alignment horizontal="center"/>
    </xf>
    <xf numFmtId="0" fontId="0" fillId="18" borderId="0" xfId="0" applyFill="1"/>
    <xf numFmtId="0" fontId="11" fillId="2" borderId="1" xfId="0" applyFont="1" applyFill="1" applyBorder="1" applyAlignment="1">
      <alignment horizontal="center" wrapText="1"/>
    </xf>
    <xf numFmtId="0" fontId="11" fillId="2" borderId="1" xfId="0" applyFont="1" applyFill="1" applyBorder="1" applyAlignment="1">
      <alignment horizontal="center"/>
    </xf>
    <xf numFmtId="0" fontId="0" fillId="15" borderId="4" xfId="0" applyFill="1" applyBorder="1"/>
    <xf numFmtId="0" fontId="20" fillId="19" borderId="1" xfId="2" applyFont="1" applyFill="1" applyBorder="1" applyAlignment="1">
      <alignment horizontal="center"/>
    </xf>
    <xf numFmtId="0" fontId="2" fillId="18" borderId="0" xfId="0" applyFont="1" applyFill="1"/>
    <xf numFmtId="0" fontId="10" fillId="2" borderId="1" xfId="0" quotePrefix="1" applyFont="1" applyFill="1" applyBorder="1" applyAlignment="1">
      <alignment horizontal="center"/>
    </xf>
    <xf numFmtId="0" fontId="0" fillId="18" borderId="0" xfId="0" applyFont="1" applyFill="1"/>
    <xf numFmtId="0" fontId="8" fillId="0" borderId="1" xfId="0" applyFont="1" applyBorder="1"/>
    <xf numFmtId="0" fontId="22" fillId="0" borderId="0" xfId="0" applyFont="1"/>
    <xf numFmtId="0" fontId="23" fillId="0" borderId="0" xfId="0" applyFont="1"/>
    <xf numFmtId="0" fontId="24" fillId="0" borderId="1" xfId="0" applyFont="1" applyBorder="1"/>
    <xf numFmtId="0" fontId="25" fillId="9" borderId="3" xfId="3" applyFont="1"/>
    <xf numFmtId="0" fontId="26" fillId="0" borderId="1" xfId="0" applyFont="1" applyBorder="1"/>
    <xf numFmtId="0" fontId="11" fillId="0" borderId="1" xfId="0" quotePrefix="1" applyFont="1" applyBorder="1" applyAlignment="1">
      <alignment horizontal="center"/>
    </xf>
    <xf numFmtId="165" fontId="11" fillId="0" borderId="1" xfId="1" quotePrefix="1" applyNumberFormat="1" applyFont="1" applyBorder="1" applyAlignment="1">
      <alignment horizontal="center"/>
    </xf>
    <xf numFmtId="0" fontId="2" fillId="0" borderId="0" xfId="0" applyFont="1"/>
    <xf numFmtId="164" fontId="0" fillId="0" borderId="0" xfId="0" applyNumberFormat="1"/>
    <xf numFmtId="2" fontId="0" fillId="0" borderId="0" xfId="0" applyNumberFormat="1"/>
    <xf numFmtId="0" fontId="18" fillId="0" borderId="0" xfId="0" applyFont="1"/>
    <xf numFmtId="0" fontId="2" fillId="2" borderId="12" xfId="0" applyFont="1" applyFill="1" applyBorder="1" applyAlignment="1">
      <alignment horizontal="center"/>
    </xf>
    <xf numFmtId="0" fontId="2" fillId="2" borderId="13" xfId="0" applyFont="1" applyFill="1" applyBorder="1" applyAlignment="1">
      <alignment horizontal="center" wrapText="1"/>
    </xf>
    <xf numFmtId="0" fontId="2" fillId="2" borderId="14" xfId="0" applyFont="1" applyFill="1" applyBorder="1" applyAlignment="1">
      <alignment horizontal="center" wrapText="1"/>
    </xf>
    <xf numFmtId="0" fontId="9" fillId="2" borderId="15" xfId="0" applyFont="1" applyFill="1" applyBorder="1" applyAlignment="1">
      <alignment horizontal="center" wrapText="1"/>
    </xf>
    <xf numFmtId="0" fontId="2" fillId="2" borderId="16" xfId="0" applyFont="1" applyFill="1" applyBorder="1" applyAlignment="1">
      <alignment horizontal="center" wrapText="1"/>
    </xf>
    <xf numFmtId="0" fontId="2" fillId="2" borderId="15" xfId="0" applyFont="1" applyFill="1" applyBorder="1" applyAlignment="1">
      <alignment horizontal="center" wrapText="1"/>
    </xf>
    <xf numFmtId="0" fontId="0" fillId="2" borderId="19" xfId="0" applyFont="1" applyFill="1" applyBorder="1" applyAlignment="1">
      <alignment horizontal="center"/>
    </xf>
    <xf numFmtId="0" fontId="0" fillId="2" borderId="4" xfId="0" applyFont="1" applyFill="1" applyBorder="1" applyAlignment="1">
      <alignment horizontal="center"/>
    </xf>
    <xf numFmtId="0" fontId="0" fillId="2" borderId="4" xfId="0" applyFont="1" applyFill="1" applyBorder="1" applyAlignment="1">
      <alignment horizontal="center" wrapText="1"/>
    </xf>
    <xf numFmtId="0" fontId="0" fillId="2" borderId="20" xfId="0" applyFont="1" applyFill="1" applyBorder="1" applyAlignment="1">
      <alignment horizontal="center" wrapText="1"/>
    </xf>
    <xf numFmtId="0" fontId="0" fillId="2" borderId="21" xfId="0" applyFont="1" applyFill="1" applyBorder="1" applyAlignment="1">
      <alignment horizontal="center"/>
    </xf>
    <xf numFmtId="0" fontId="0" fillId="2" borderId="22" xfId="0" applyFont="1" applyFill="1" applyBorder="1" applyAlignment="1">
      <alignment horizontal="center"/>
    </xf>
    <xf numFmtId="0" fontId="0" fillId="11" borderId="16" xfId="0" applyFill="1" applyBorder="1"/>
    <xf numFmtId="0" fontId="0" fillId="14" borderId="14" xfId="0" applyFill="1" applyBorder="1"/>
    <xf numFmtId="0" fontId="0" fillId="3" borderId="15" xfId="0" applyFill="1" applyBorder="1"/>
    <xf numFmtId="0" fontId="11" fillId="2" borderId="16" xfId="0" quotePrefix="1" applyFont="1" applyFill="1" applyBorder="1" applyAlignment="1">
      <alignment horizontal="center"/>
    </xf>
    <xf numFmtId="0" fontId="11" fillId="2" borderId="14" xfId="0" quotePrefix="1" applyFont="1" applyFill="1" applyBorder="1" applyAlignment="1">
      <alignment horizontal="center"/>
    </xf>
    <xf numFmtId="0" fontId="11" fillId="2" borderId="15" xfId="0" quotePrefix="1" applyFont="1" applyFill="1" applyBorder="1" applyAlignment="1">
      <alignment horizontal="center"/>
    </xf>
    <xf numFmtId="0" fontId="0" fillId="11" borderId="23" xfId="0" applyFill="1" applyBorder="1"/>
    <xf numFmtId="0" fontId="0" fillId="7" borderId="24" xfId="0" applyFill="1" applyBorder="1"/>
    <xf numFmtId="0" fontId="10" fillId="2" borderId="23" xfId="0" quotePrefix="1" applyFont="1" applyFill="1" applyBorder="1" applyAlignment="1">
      <alignment horizontal="center"/>
    </xf>
    <xf numFmtId="0" fontId="10" fillId="2" borderId="24" xfId="0" quotePrefix="1" applyFont="1" applyFill="1" applyBorder="1" applyAlignment="1">
      <alignment horizontal="center"/>
    </xf>
    <xf numFmtId="0" fontId="2" fillId="11" borderId="21" xfId="0" applyFont="1" applyFill="1" applyBorder="1"/>
    <xf numFmtId="0" fontId="2" fillId="14" borderId="25" xfId="0" applyFont="1" applyFill="1" applyBorder="1"/>
    <xf numFmtId="0" fontId="2" fillId="16" borderId="22" xfId="0" applyFont="1" applyFill="1" applyBorder="1"/>
    <xf numFmtId="0" fontId="19" fillId="8" borderId="21" xfId="2" applyFont="1" applyBorder="1" applyAlignment="1">
      <alignment horizontal="center"/>
    </xf>
    <xf numFmtId="0" fontId="19" fillId="8" borderId="25" xfId="2" applyFont="1" applyBorder="1" applyAlignment="1">
      <alignment horizontal="center"/>
    </xf>
    <xf numFmtId="0" fontId="10" fillId="2" borderId="25" xfId="0" quotePrefix="1" applyFont="1" applyFill="1" applyBorder="1" applyAlignment="1">
      <alignment horizontal="center"/>
    </xf>
    <xf numFmtId="0" fontId="19" fillId="8" borderId="22" xfId="2" applyFont="1" applyBorder="1" applyAlignment="1">
      <alignment horizontal="center"/>
    </xf>
    <xf numFmtId="0" fontId="0" fillId="15" borderId="14" xfId="0" applyFill="1" applyBorder="1"/>
    <xf numFmtId="0" fontId="2" fillId="15" borderId="25" xfId="0" applyFont="1" applyFill="1" applyBorder="1"/>
    <xf numFmtId="0" fontId="0" fillId="13" borderId="16" xfId="0" applyFill="1" applyBorder="1"/>
    <xf numFmtId="0" fontId="0" fillId="13" borderId="23" xfId="0" applyFill="1" applyBorder="1"/>
    <xf numFmtId="0" fontId="2" fillId="13" borderId="21" xfId="0" applyFont="1" applyFill="1" applyBorder="1"/>
    <xf numFmtId="0" fontId="0" fillId="13" borderId="26" xfId="0" applyFill="1" applyBorder="1"/>
    <xf numFmtId="0" fontId="0" fillId="11" borderId="27" xfId="0" applyFill="1" applyBorder="1"/>
    <xf numFmtId="0" fontId="0" fillId="14" borderId="28" xfId="0" applyFill="1" applyBorder="1"/>
    <xf numFmtId="0" fontId="11" fillId="2" borderId="29" xfId="0" quotePrefix="1" applyFont="1" applyFill="1" applyBorder="1" applyAlignment="1">
      <alignment horizontal="center"/>
    </xf>
    <xf numFmtId="0" fontId="6" fillId="8" borderId="30" xfId="2" applyFont="1" applyBorder="1" applyAlignment="1">
      <alignment horizontal="center"/>
    </xf>
    <xf numFmtId="0" fontId="6" fillId="8" borderId="28" xfId="2" applyFont="1" applyBorder="1" applyAlignment="1">
      <alignment horizontal="center"/>
    </xf>
    <xf numFmtId="0" fontId="10" fillId="2" borderId="31" xfId="0" quotePrefix="1" applyFont="1" applyFill="1" applyBorder="1" applyAlignment="1">
      <alignment horizontal="center"/>
    </xf>
    <xf numFmtId="0" fontId="20" fillId="19" borderId="12" xfId="2" applyFont="1" applyFill="1" applyBorder="1" applyAlignment="1">
      <alignment horizontal="center"/>
    </xf>
    <xf numFmtId="0" fontId="20" fillId="19" borderId="14" xfId="2" applyFont="1" applyFill="1" applyBorder="1" applyAlignment="1">
      <alignment horizontal="center"/>
    </xf>
    <xf numFmtId="0" fontId="20" fillId="19" borderId="16" xfId="2" applyFont="1" applyFill="1" applyBorder="1" applyAlignment="1">
      <alignment horizontal="center"/>
    </xf>
    <xf numFmtId="0" fontId="20" fillId="19" borderId="35" xfId="2" applyFont="1" applyFill="1" applyBorder="1" applyAlignment="1">
      <alignment horizontal="center"/>
    </xf>
    <xf numFmtId="0" fontId="20" fillId="19" borderId="23" xfId="2" applyFont="1" applyFill="1" applyBorder="1" applyAlignment="1">
      <alignment horizontal="center"/>
    </xf>
    <xf numFmtId="0" fontId="9" fillId="2" borderId="16" xfId="0" applyFont="1" applyFill="1" applyBorder="1" applyAlignment="1">
      <alignment horizontal="center" wrapText="1"/>
    </xf>
    <xf numFmtId="0" fontId="9" fillId="2" borderId="15" xfId="0" applyFont="1" applyFill="1" applyBorder="1" applyAlignment="1">
      <alignment horizontal="center"/>
    </xf>
    <xf numFmtId="0" fontId="8" fillId="2" borderId="21" xfId="0" applyFont="1" applyFill="1" applyBorder="1" applyAlignment="1">
      <alignment horizontal="center" wrapText="1"/>
    </xf>
    <xf numFmtId="0" fontId="8" fillId="2" borderId="22" xfId="0" applyFont="1" applyFill="1" applyBorder="1" applyAlignment="1">
      <alignment horizontal="center"/>
    </xf>
    <xf numFmtId="0" fontId="8" fillId="2" borderId="15" xfId="0" quotePrefix="1" applyFont="1" applyFill="1" applyBorder="1" applyAlignment="1">
      <alignment horizontal="center"/>
    </xf>
    <xf numFmtId="0" fontId="8" fillId="2" borderId="24" xfId="0" quotePrefix="1" applyFont="1" applyFill="1" applyBorder="1" applyAlignment="1">
      <alignment horizontal="center"/>
    </xf>
    <xf numFmtId="0" fontId="8" fillId="8" borderId="22" xfId="2" applyFont="1" applyBorder="1" applyAlignment="1">
      <alignment horizontal="center"/>
    </xf>
    <xf numFmtId="0" fontId="28" fillId="2" borderId="16" xfId="0" quotePrefix="1" applyFont="1" applyFill="1" applyBorder="1" applyAlignment="1">
      <alignment horizontal="center"/>
    </xf>
    <xf numFmtId="0" fontId="28" fillId="2" borderId="23" xfId="0" quotePrefix="1" applyFont="1" applyFill="1" applyBorder="1" applyAlignment="1">
      <alignment horizontal="center"/>
    </xf>
    <xf numFmtId="0" fontId="28" fillId="8" borderId="21" xfId="2" applyFont="1" applyBorder="1" applyAlignment="1">
      <alignment horizontal="center"/>
    </xf>
    <xf numFmtId="2" fontId="12" fillId="0" borderId="1" xfId="0" applyNumberFormat="1" applyFont="1" applyFill="1" applyBorder="1" applyAlignment="1">
      <alignment horizontal="center"/>
    </xf>
    <xf numFmtId="0" fontId="12" fillId="18" borderId="1" xfId="0" quotePrefix="1" applyFont="1" applyFill="1" applyBorder="1" applyAlignment="1">
      <alignment horizontal="center"/>
    </xf>
    <xf numFmtId="165" fontId="12" fillId="18" borderId="1" xfId="1" quotePrefix="1" applyNumberFormat="1" applyFont="1" applyFill="1" applyBorder="1" applyAlignment="1">
      <alignment horizontal="center"/>
    </xf>
    <xf numFmtId="43" fontId="12" fillId="18" borderId="1" xfId="1" quotePrefix="1" applyNumberFormat="1" applyFont="1" applyFill="1" applyBorder="1" applyAlignment="1"/>
    <xf numFmtId="1" fontId="12" fillId="18" borderId="1" xfId="0" quotePrefix="1" applyNumberFormat="1" applyFont="1" applyFill="1" applyBorder="1" applyAlignment="1">
      <alignment horizontal="center"/>
    </xf>
    <xf numFmtId="1" fontId="12" fillId="18" borderId="1" xfId="1" quotePrefix="1" applyNumberFormat="1" applyFont="1" applyFill="1" applyBorder="1" applyAlignment="1">
      <alignment horizontal="center"/>
    </xf>
    <xf numFmtId="0" fontId="13" fillId="2" borderId="16" xfId="0" applyFont="1" applyFill="1" applyBorder="1" applyAlignment="1">
      <alignment horizontal="left" wrapText="1"/>
    </xf>
    <xf numFmtId="0" fontId="12" fillId="2" borderId="14" xfId="0" applyFont="1" applyFill="1" applyBorder="1" applyAlignment="1">
      <alignment horizontal="center"/>
    </xf>
    <xf numFmtId="0" fontId="7" fillId="9" borderId="36" xfId="3" applyBorder="1"/>
    <xf numFmtId="0" fontId="13" fillId="2" borderId="23" xfId="0" applyFont="1" applyFill="1" applyBorder="1" applyAlignment="1">
      <alignment horizontal="left" wrapText="1"/>
    </xf>
    <xf numFmtId="164" fontId="7" fillId="9" borderId="37" xfId="3" applyNumberFormat="1" applyBorder="1"/>
    <xf numFmtId="166" fontId="7" fillId="9" borderId="38" xfId="3" applyNumberFormat="1" applyBorder="1"/>
    <xf numFmtId="0" fontId="13" fillId="2" borderId="21" xfId="0" applyFont="1" applyFill="1" applyBorder="1" applyAlignment="1">
      <alignment horizontal="left" wrapText="1"/>
    </xf>
    <xf numFmtId="0" fontId="12" fillId="2" borderId="25" xfId="0" applyFont="1" applyFill="1" applyBorder="1" applyAlignment="1">
      <alignment horizontal="center"/>
    </xf>
    <xf numFmtId="166" fontId="7" fillId="9" borderId="39" xfId="3" applyNumberFormat="1" applyBorder="1"/>
    <xf numFmtId="164" fontId="12" fillId="0" borderId="15" xfId="0" applyNumberFormat="1" applyFont="1" applyBorder="1"/>
    <xf numFmtId="164" fontId="12" fillId="0" borderId="24" xfId="0" applyNumberFormat="1" applyFont="1" applyBorder="1"/>
    <xf numFmtId="164" fontId="12" fillId="0" borderId="22" xfId="0" applyNumberFormat="1" applyFont="1" applyBorder="1"/>
    <xf numFmtId="0" fontId="9" fillId="2" borderId="16" xfId="0" applyFont="1" applyFill="1" applyBorder="1" applyAlignment="1">
      <alignment horizontal="left" wrapText="1"/>
    </xf>
    <xf numFmtId="0" fontId="8" fillId="2" borderId="14" xfId="0" applyFont="1" applyFill="1" applyBorder="1" applyAlignment="1">
      <alignment horizontal="center"/>
    </xf>
    <xf numFmtId="0" fontId="11" fillId="0" borderId="15" xfId="0" applyFont="1" applyBorder="1"/>
    <xf numFmtId="0" fontId="9" fillId="2" borderId="23" xfId="0" applyFont="1" applyFill="1" applyBorder="1" applyAlignment="1">
      <alignment horizontal="left" wrapText="1"/>
    </xf>
    <xf numFmtId="0" fontId="11" fillId="0" borderId="24" xfId="0" applyFont="1" applyBorder="1"/>
    <xf numFmtId="2" fontId="11" fillId="0" borderId="24" xfId="0" applyNumberFormat="1" applyFont="1" applyBorder="1"/>
    <xf numFmtId="0" fontId="9" fillId="2" borderId="21" xfId="0" applyFont="1" applyFill="1" applyBorder="1" applyAlignment="1">
      <alignment horizontal="left" wrapText="1"/>
    </xf>
    <xf numFmtId="0" fontId="8" fillId="2" borderId="25" xfId="0" applyFont="1" applyFill="1" applyBorder="1" applyAlignment="1">
      <alignment horizontal="center"/>
    </xf>
    <xf numFmtId="0" fontId="13" fillId="2" borderId="40" xfId="0" applyFont="1" applyFill="1" applyBorder="1" applyAlignment="1">
      <alignment horizontal="left" wrapText="1"/>
    </xf>
    <xf numFmtId="0" fontId="12" fillId="2" borderId="41" xfId="0" applyFont="1" applyFill="1" applyBorder="1" applyAlignment="1">
      <alignment horizontal="center"/>
    </xf>
    <xf numFmtId="166" fontId="13" fillId="0" borderId="42" xfId="0" applyNumberFormat="1" applyFont="1" applyBorder="1"/>
    <xf numFmtId="166" fontId="13" fillId="0" borderId="22" xfId="0" applyNumberFormat="1" applyFont="1" applyBorder="1"/>
    <xf numFmtId="166" fontId="13" fillId="0" borderId="15" xfId="0" applyNumberFormat="1" applyFont="1" applyBorder="1"/>
    <xf numFmtId="0" fontId="13" fillId="2" borderId="1" xfId="0" applyFont="1" applyFill="1" applyBorder="1" applyAlignment="1">
      <alignment horizontal="center" wrapText="1"/>
    </xf>
    <xf numFmtId="2" fontId="13" fillId="2" borderId="1" xfId="0" applyNumberFormat="1" applyFont="1" applyFill="1" applyBorder="1" applyAlignment="1">
      <alignment horizontal="right" wrapText="1"/>
    </xf>
    <xf numFmtId="0" fontId="10" fillId="2" borderId="14" xfId="0" quotePrefix="1" applyFont="1" applyFill="1" applyBorder="1" applyAlignment="1">
      <alignment horizontal="center"/>
    </xf>
    <xf numFmtId="167" fontId="13" fillId="2" borderId="1" xfId="0" applyNumberFormat="1" applyFont="1" applyFill="1" applyBorder="1" applyAlignment="1">
      <alignment horizontal="right" wrapText="1"/>
    </xf>
    <xf numFmtId="168" fontId="13" fillId="2" borderId="1" xfId="0" applyNumberFormat="1" applyFont="1" applyFill="1" applyBorder="1" applyAlignment="1">
      <alignment horizontal="right" wrapText="1"/>
    </xf>
    <xf numFmtId="167" fontId="0" fillId="0" borderId="0" xfId="0" applyNumberFormat="1"/>
    <xf numFmtId="0" fontId="0" fillId="0" borderId="0" xfId="0" applyAlignment="1">
      <alignment horizontal="center" vertical="center"/>
    </xf>
    <xf numFmtId="167" fontId="30" fillId="20" borderId="3" xfId="6" applyNumberFormat="1"/>
    <xf numFmtId="0" fontId="2" fillId="2" borderId="1" xfId="0" applyFont="1" applyFill="1" applyBorder="1" applyAlignment="1">
      <alignment horizontal="center" wrapText="1"/>
    </xf>
    <xf numFmtId="0" fontId="2" fillId="2" borderId="1" xfId="0" applyFont="1" applyFill="1" applyBorder="1" applyAlignment="1">
      <alignment horizontal="center"/>
    </xf>
    <xf numFmtId="0" fontId="9" fillId="2" borderId="1" xfId="0" applyFont="1" applyFill="1" applyBorder="1" applyAlignment="1">
      <alignment horizontal="center" wrapText="1"/>
    </xf>
    <xf numFmtId="0" fontId="8" fillId="10" borderId="1" xfId="0" applyFont="1" applyFill="1" applyBorder="1" applyAlignment="1">
      <alignment horizontal="center" textRotation="90" wrapText="1"/>
    </xf>
    <xf numFmtId="0" fontId="8" fillId="6" borderId="1" xfId="0" applyFont="1" applyFill="1" applyBorder="1" applyAlignment="1">
      <alignment horizontal="center" textRotation="90" wrapText="1"/>
    </xf>
    <xf numFmtId="0" fontId="8" fillId="4" borderId="1" xfId="0" applyFont="1" applyFill="1" applyBorder="1" applyAlignment="1">
      <alignment horizontal="center" textRotation="90" wrapText="1"/>
    </xf>
    <xf numFmtId="0" fontId="8" fillId="12" borderId="1" xfId="0" applyFont="1" applyFill="1" applyBorder="1" applyAlignment="1">
      <alignment horizontal="center" textRotation="90" wrapText="1"/>
    </xf>
    <xf numFmtId="0" fontId="8" fillId="7" borderId="1" xfId="0" applyFont="1" applyFill="1" applyBorder="1" applyAlignment="1">
      <alignment horizontal="center" textRotation="90" wrapText="1"/>
    </xf>
    <xf numFmtId="0" fontId="10" fillId="2" borderId="15" xfId="0" quotePrefix="1" applyFont="1" applyFill="1" applyBorder="1" applyAlignment="1">
      <alignment horizontal="center"/>
    </xf>
    <xf numFmtId="0" fontId="29" fillId="21" borderId="25" xfId="7" applyBorder="1" applyAlignment="1">
      <alignment horizontal="center"/>
    </xf>
    <xf numFmtId="0" fontId="10" fillId="2" borderId="16" xfId="0" quotePrefix="1" applyFont="1" applyFill="1" applyBorder="1" applyAlignment="1">
      <alignment horizontal="center"/>
    </xf>
    <xf numFmtId="167" fontId="11" fillId="0" borderId="22" xfId="0" applyNumberFormat="1" applyFont="1" applyBorder="1"/>
    <xf numFmtId="0" fontId="12" fillId="2" borderId="1" xfId="0" applyFont="1" applyFill="1" applyBorder="1" applyAlignment="1">
      <alignment horizontal="center" wrapText="1"/>
    </xf>
    <xf numFmtId="167" fontId="12" fillId="0" borderId="43" xfId="0" applyNumberFormat="1" applyFont="1" applyBorder="1"/>
    <xf numFmtId="164" fontId="7" fillId="9" borderId="36" xfId="3" applyNumberFormat="1" applyBorder="1"/>
    <xf numFmtId="0" fontId="0" fillId="0" borderId="44" xfId="0" applyBorder="1"/>
    <xf numFmtId="0" fontId="0" fillId="0" borderId="45" xfId="0" applyBorder="1" applyAlignment="1">
      <alignment horizontal="center" vertical="center"/>
    </xf>
    <xf numFmtId="0" fontId="0" fillId="0" borderId="46" xfId="0" applyBorder="1"/>
    <xf numFmtId="0" fontId="0" fillId="0" borderId="0" xfId="0" applyBorder="1" applyAlignment="1">
      <alignment horizontal="center" vertical="center"/>
    </xf>
    <xf numFmtId="0" fontId="7" fillId="9" borderId="38" xfId="3" applyBorder="1"/>
    <xf numFmtId="0" fontId="0" fillId="0" borderId="47" xfId="0" applyBorder="1"/>
    <xf numFmtId="2" fontId="30" fillId="20" borderId="38" xfId="6" applyNumberFormat="1" applyBorder="1"/>
    <xf numFmtId="0" fontId="0" fillId="0" borderId="48" xfId="0" applyBorder="1"/>
    <xf numFmtId="0" fontId="0" fillId="0" borderId="49" xfId="0" applyBorder="1" applyAlignment="1">
      <alignment horizontal="center" vertical="center"/>
    </xf>
    <xf numFmtId="2" fontId="30" fillId="20" borderId="39" xfId="6" applyNumberFormat="1" applyBorder="1"/>
    <xf numFmtId="167" fontId="12" fillId="0" borderId="15" xfId="0" applyNumberFormat="1" applyFont="1" applyBorder="1"/>
    <xf numFmtId="0" fontId="27" fillId="2" borderId="1" xfId="0" applyFont="1" applyFill="1" applyBorder="1" applyAlignment="1">
      <alignment horizontal="center" wrapText="1"/>
    </xf>
    <xf numFmtId="9" fontId="27" fillId="0" borderId="1" xfId="0" applyNumberFormat="1" applyFont="1" applyBorder="1" applyAlignment="1">
      <alignment horizontal="center"/>
    </xf>
    <xf numFmtId="0" fontId="31" fillId="0" borderId="0" xfId="0" applyFont="1"/>
    <xf numFmtId="0" fontId="0" fillId="0" borderId="0" xfId="0" applyAlignment="1">
      <alignment wrapText="1"/>
    </xf>
    <xf numFmtId="0" fontId="0" fillId="5" borderId="0" xfId="0" applyFill="1" applyAlignment="1">
      <alignment horizontal="center" wrapText="1"/>
    </xf>
    <xf numFmtId="0" fontId="0" fillId="14" borderId="0" xfId="0" applyFill="1" applyAlignment="1">
      <alignment horizontal="center" wrapText="1"/>
    </xf>
    <xf numFmtId="0" fontId="0" fillId="0" borderId="1" xfId="0" applyBorder="1"/>
    <xf numFmtId="9" fontId="33" fillId="0" borderId="1" xfId="0" applyNumberFormat="1" applyFont="1" applyBorder="1" applyAlignment="1">
      <alignment horizontal="center"/>
    </xf>
    <xf numFmtId="9" fontId="7" fillId="9" borderId="3" xfId="4" applyFont="1" applyFill="1" applyBorder="1" applyAlignment="1">
      <alignment horizontal="center"/>
    </xf>
    <xf numFmtId="9" fontId="0" fillId="0" borderId="1" xfId="0" applyNumberFormat="1" applyBorder="1" applyAlignment="1">
      <alignment horizontal="center"/>
    </xf>
    <xf numFmtId="10" fontId="0" fillId="0" borderId="1" xfId="0" applyNumberFormat="1" applyBorder="1" applyAlignment="1">
      <alignment horizontal="center"/>
    </xf>
    <xf numFmtId="169" fontId="8" fillId="0" borderId="1" xfId="0" applyNumberFormat="1" applyFont="1" applyBorder="1" applyAlignment="1">
      <alignment horizontal="center"/>
    </xf>
    <xf numFmtId="10" fontId="2" fillId="0" borderId="1" xfId="0" applyNumberFormat="1" applyFont="1" applyBorder="1" applyAlignment="1">
      <alignment horizontal="center"/>
    </xf>
    <xf numFmtId="0" fontId="1" fillId="0" borderId="0" xfId="0" applyFont="1"/>
    <xf numFmtId="0" fontId="8" fillId="22" borderId="1" xfId="0" applyFont="1" applyFill="1" applyBorder="1" applyAlignment="1">
      <alignment horizontal="center" wrapText="1"/>
    </xf>
    <xf numFmtId="0" fontId="8" fillId="23" borderId="1" xfId="0" applyFont="1" applyFill="1" applyBorder="1" applyAlignment="1">
      <alignment horizontal="center" wrapText="1"/>
    </xf>
    <xf numFmtId="0" fontId="8" fillId="24" borderId="1" xfId="0" applyFont="1" applyFill="1" applyBorder="1" applyAlignment="1">
      <alignment horizontal="center" wrapText="1"/>
    </xf>
    <xf numFmtId="0" fontId="8" fillId="25" borderId="1" xfId="0" applyFont="1" applyFill="1" applyBorder="1" applyAlignment="1">
      <alignment horizontal="center" wrapText="1"/>
    </xf>
    <xf numFmtId="0" fontId="8" fillId="26" borderId="1" xfId="0" applyFont="1" applyFill="1" applyBorder="1" applyAlignment="1">
      <alignment horizontal="center" wrapText="1"/>
    </xf>
    <xf numFmtId="0" fontId="2" fillId="6" borderId="1" xfId="0" applyFont="1" applyFill="1" applyBorder="1" applyAlignment="1">
      <alignment horizontal="center"/>
    </xf>
    <xf numFmtId="0" fontId="2" fillId="5" borderId="1" xfId="0" applyFont="1" applyFill="1" applyBorder="1" applyAlignment="1">
      <alignment horizontal="center"/>
    </xf>
    <xf numFmtId="0" fontId="0" fillId="0" borderId="0" xfId="0" applyAlignment="1"/>
    <xf numFmtId="1" fontId="8" fillId="18" borderId="1" xfId="0" quotePrefix="1" applyNumberFormat="1" applyFont="1" applyFill="1" applyBorder="1" applyAlignment="1">
      <alignment horizontal="center"/>
    </xf>
    <xf numFmtId="1" fontId="12" fillId="0" borderId="1" xfId="1" quotePrefix="1" applyNumberFormat="1" applyFont="1" applyFill="1" applyBorder="1" applyAlignment="1">
      <alignment horizontal="center"/>
    </xf>
    <xf numFmtId="1" fontId="8" fillId="0" borderId="1" xfId="0" quotePrefix="1" applyNumberFormat="1" applyFont="1" applyFill="1" applyBorder="1" applyAlignment="1">
      <alignment horizontal="center"/>
    </xf>
    <xf numFmtId="1" fontId="12" fillId="0" borderId="1" xfId="0" quotePrefix="1" applyNumberFormat="1" applyFont="1" applyFill="1" applyBorder="1" applyAlignment="1">
      <alignment horizontal="center"/>
    </xf>
    <xf numFmtId="0" fontId="2" fillId="2" borderId="1" xfId="0" applyFont="1" applyFill="1" applyBorder="1" applyAlignment="1">
      <alignment horizontal="center" wrapText="1"/>
    </xf>
    <xf numFmtId="170" fontId="11" fillId="18" borderId="1" xfId="1" quotePrefix="1" applyNumberFormat="1" applyFont="1" applyFill="1" applyBorder="1" applyAlignment="1">
      <alignment horizontal="center"/>
    </xf>
    <xf numFmtId="170" fontId="11" fillId="0" borderId="1" xfId="1" quotePrefix="1" applyNumberFormat="1" applyFont="1" applyFill="1" applyBorder="1" applyAlignment="1">
      <alignment horizontal="center"/>
    </xf>
    <xf numFmtId="170" fontId="34" fillId="0" borderId="1" xfId="1" quotePrefix="1" applyNumberFormat="1" applyFont="1" applyFill="1" applyBorder="1" applyAlignment="1">
      <alignment horizontal="center"/>
    </xf>
    <xf numFmtId="0" fontId="35" fillId="2" borderId="16" xfId="0" applyFont="1" applyFill="1" applyBorder="1" applyAlignment="1">
      <alignment horizontal="left" wrapText="1"/>
    </xf>
    <xf numFmtId="0" fontId="36" fillId="2" borderId="14" xfId="0" applyFont="1" applyFill="1" applyBorder="1" applyAlignment="1">
      <alignment horizontal="center"/>
    </xf>
    <xf numFmtId="0" fontId="36" fillId="2" borderId="36" xfId="3" applyFont="1" applyFill="1" applyBorder="1"/>
    <xf numFmtId="0" fontId="9" fillId="2" borderId="26" xfId="0" applyFont="1" applyFill="1" applyBorder="1" applyAlignment="1">
      <alignment horizontal="left" wrapText="1"/>
    </xf>
    <xf numFmtId="0" fontId="8" fillId="2" borderId="4" xfId="0" applyFont="1" applyFill="1" applyBorder="1" applyAlignment="1">
      <alignment horizontal="center"/>
    </xf>
    <xf numFmtId="2" fontId="11" fillId="0" borderId="20" xfId="0" applyNumberFormat="1" applyFont="1" applyBorder="1"/>
    <xf numFmtId="0" fontId="35" fillId="2" borderId="23" xfId="0" applyFont="1" applyFill="1" applyBorder="1" applyAlignment="1">
      <alignment horizontal="left" wrapText="1"/>
    </xf>
    <xf numFmtId="0" fontId="36" fillId="2" borderId="1" xfId="0" applyFont="1" applyFill="1" applyBorder="1" applyAlignment="1">
      <alignment horizontal="center"/>
    </xf>
    <xf numFmtId="0" fontId="36" fillId="2" borderId="24" xfId="0" applyFont="1" applyFill="1" applyBorder="1"/>
    <xf numFmtId="2" fontId="36" fillId="2" borderId="24" xfId="0" applyNumberFormat="1" applyFont="1" applyFill="1" applyBorder="1"/>
    <xf numFmtId="0" fontId="12" fillId="2" borderId="16" xfId="0" applyFont="1" applyFill="1" applyBorder="1" applyAlignment="1">
      <alignment horizontal="left" wrapText="1"/>
    </xf>
    <xf numFmtId="166" fontId="12" fillId="0" borderId="15" xfId="0" applyNumberFormat="1" applyFont="1" applyBorder="1"/>
    <xf numFmtId="0" fontId="12" fillId="2" borderId="21" xfId="0" applyFont="1" applyFill="1" applyBorder="1" applyAlignment="1">
      <alignment horizontal="left" wrapText="1"/>
    </xf>
    <xf numFmtId="0" fontId="0" fillId="0" borderId="0" xfId="0" applyFont="1"/>
    <xf numFmtId="0" fontId="12" fillId="2" borderId="40" xfId="0" applyFont="1" applyFill="1" applyBorder="1" applyAlignment="1">
      <alignment horizontal="left" wrapText="1"/>
    </xf>
    <xf numFmtId="166" fontId="12" fillId="0" borderId="42" xfId="0" applyNumberFormat="1" applyFont="1" applyBorder="1"/>
    <xf numFmtId="2" fontId="11" fillId="0" borderId="22" xfId="0" applyNumberFormat="1" applyFont="1" applyBorder="1"/>
    <xf numFmtId="167" fontId="12" fillId="0" borderId="24" xfId="0" applyNumberFormat="1" applyFont="1" applyBorder="1"/>
    <xf numFmtId="0" fontId="12" fillId="2" borderId="23" xfId="0" applyFont="1" applyFill="1" applyBorder="1" applyAlignment="1">
      <alignment horizontal="left" wrapText="1"/>
    </xf>
    <xf numFmtId="166" fontId="12" fillId="0" borderId="24" xfId="0" applyNumberFormat="1" applyFont="1" applyBorder="1"/>
    <xf numFmtId="0" fontId="0" fillId="0" borderId="0" xfId="0" applyBorder="1"/>
    <xf numFmtId="168" fontId="12" fillId="0" borderId="24" xfId="0" applyNumberFormat="1" applyFont="1" applyBorder="1"/>
    <xf numFmtId="168" fontId="7" fillId="9" borderId="39" xfId="3" applyNumberFormat="1" applyBorder="1"/>
    <xf numFmtId="2" fontId="37" fillId="2" borderId="24" xfId="0" applyNumberFormat="1" applyFont="1" applyFill="1" applyBorder="1"/>
    <xf numFmtId="0" fontId="7" fillId="9" borderId="1" xfId="3" applyBorder="1" applyAlignment="1">
      <alignment horizontal="center"/>
    </xf>
    <xf numFmtId="170" fontId="27" fillId="18" borderId="1" xfId="1" quotePrefix="1" applyNumberFormat="1" applyFont="1" applyFill="1" applyBorder="1" applyAlignment="1">
      <alignment horizontal="center"/>
    </xf>
    <xf numFmtId="167" fontId="12" fillId="0" borderId="42" xfId="0" applyNumberFormat="1" applyFont="1" applyBorder="1"/>
    <xf numFmtId="164" fontId="23" fillId="0" borderId="0" xfId="0" applyNumberFormat="1" applyFont="1"/>
    <xf numFmtId="0" fontId="2" fillId="0" borderId="0" xfId="0" quotePrefix="1" applyFont="1"/>
    <xf numFmtId="0" fontId="0" fillId="2" borderId="26" xfId="0" applyFont="1" applyFill="1" applyBorder="1" applyAlignment="1">
      <alignment horizontal="center"/>
    </xf>
    <xf numFmtId="0" fontId="0" fillId="2" borderId="20" xfId="0" applyFont="1" applyFill="1" applyBorder="1" applyAlignment="1">
      <alignment horizontal="center"/>
    </xf>
    <xf numFmtId="0" fontId="20" fillId="19" borderId="15" xfId="2" applyFont="1" applyFill="1" applyBorder="1" applyAlignment="1">
      <alignment horizontal="center"/>
    </xf>
    <xf numFmtId="0" fontId="20" fillId="19" borderId="24" xfId="2" applyFont="1" applyFill="1" applyBorder="1" applyAlignment="1">
      <alignment horizontal="center"/>
    </xf>
    <xf numFmtId="0" fontId="29" fillId="21" borderId="21" xfId="7" applyBorder="1" applyAlignment="1">
      <alignment horizontal="center"/>
    </xf>
    <xf numFmtId="0" fontId="29" fillId="21" borderId="22" xfId="7" applyBorder="1" applyAlignment="1">
      <alignment horizontal="center"/>
    </xf>
    <xf numFmtId="0" fontId="0" fillId="0" borderId="1" xfId="0" applyBorder="1" applyAlignment="1">
      <alignment wrapText="1"/>
    </xf>
    <xf numFmtId="0" fontId="2" fillId="2" borderId="1" xfId="0" applyFont="1" applyFill="1" applyBorder="1"/>
    <xf numFmtId="0" fontId="46" fillId="2" borderId="1" xfId="0" applyFont="1" applyFill="1" applyBorder="1"/>
    <xf numFmtId="0" fontId="6" fillId="8" borderId="29" xfId="2" applyFont="1" applyBorder="1" applyAlignment="1">
      <alignment horizontal="center"/>
    </xf>
    <xf numFmtId="0" fontId="11" fillId="2" borderId="52" xfId="0" quotePrefix="1" applyFont="1" applyFill="1" applyBorder="1" applyAlignment="1">
      <alignment horizontal="center"/>
    </xf>
    <xf numFmtId="0" fontId="21" fillId="8" borderId="33" xfId="2" applyFont="1" applyBorder="1" applyAlignment="1">
      <alignment horizontal="center"/>
    </xf>
    <xf numFmtId="0" fontId="21" fillId="8" borderId="34" xfId="2" applyFont="1" applyBorder="1" applyAlignment="1">
      <alignment horizontal="center"/>
    </xf>
    <xf numFmtId="0" fontId="6" fillId="8" borderId="27" xfId="2" applyFont="1" applyBorder="1" applyAlignment="1">
      <alignment horizontal="center"/>
    </xf>
    <xf numFmtId="0" fontId="21" fillId="8" borderId="32" xfId="2" applyFont="1" applyBorder="1" applyAlignment="1">
      <alignment horizontal="center"/>
    </xf>
    <xf numFmtId="0" fontId="28" fillId="2" borderId="32" xfId="0" quotePrefix="1" applyFont="1" applyFill="1" applyBorder="1" applyAlignment="1">
      <alignment horizontal="center"/>
    </xf>
    <xf numFmtId="0" fontId="8" fillId="2" borderId="34" xfId="0" quotePrefix="1" applyFont="1" applyFill="1" applyBorder="1" applyAlignment="1">
      <alignment horizontal="center"/>
    </xf>
    <xf numFmtId="0" fontId="28" fillId="8" borderId="27" xfId="2" applyFont="1" applyBorder="1" applyAlignment="1">
      <alignment horizontal="center"/>
    </xf>
    <xf numFmtId="0" fontId="8" fillId="8" borderId="29" xfId="2" applyFont="1" applyBorder="1" applyAlignment="1">
      <alignment horizontal="center"/>
    </xf>
    <xf numFmtId="0" fontId="0" fillId="0" borderId="4" xfId="0" applyBorder="1" applyAlignment="1">
      <alignment horizontal="left" vertical="center"/>
    </xf>
    <xf numFmtId="0" fontId="0" fillId="0" borderId="2" xfId="0" applyBorder="1" applyAlignment="1">
      <alignment horizontal="left" vertical="center"/>
    </xf>
    <xf numFmtId="0" fontId="0" fillId="0" borderId="4" xfId="0" applyBorder="1" applyAlignment="1">
      <alignment horizontal="left" vertical="center" wrapText="1"/>
    </xf>
    <xf numFmtId="0" fontId="0" fillId="0" borderId="2" xfId="0" applyBorder="1" applyAlignment="1">
      <alignment horizontal="left" vertical="center" wrapText="1"/>
    </xf>
    <xf numFmtId="0" fontId="15" fillId="17" borderId="32" xfId="0" applyFont="1" applyFill="1" applyBorder="1" applyAlignment="1">
      <alignment horizontal="left"/>
    </xf>
    <xf numFmtId="0" fontId="15" fillId="17" borderId="33" xfId="0" applyFont="1" applyFill="1" applyBorder="1" applyAlignment="1">
      <alignment horizontal="left"/>
    </xf>
    <xf numFmtId="0" fontId="15" fillId="17" borderId="34" xfId="0" applyFont="1" applyFill="1" applyBorder="1" applyAlignment="1">
      <alignment horizontal="left"/>
    </xf>
    <xf numFmtId="0" fontId="2" fillId="2" borderId="9" xfId="0" applyFont="1" applyFill="1" applyBorder="1" applyAlignment="1">
      <alignment horizontal="center"/>
    </xf>
    <xf numFmtId="0" fontId="2" fillId="2" borderId="17" xfId="0" applyFont="1" applyFill="1" applyBorder="1" applyAlignment="1">
      <alignment horizontal="center"/>
    </xf>
    <xf numFmtId="0" fontId="2" fillId="2" borderId="10" xfId="0" applyFont="1" applyFill="1" applyBorder="1" applyAlignment="1">
      <alignment horizontal="center"/>
    </xf>
    <xf numFmtId="0" fontId="2" fillId="2" borderId="8" xfId="0" applyFont="1" applyFill="1" applyBorder="1" applyAlignment="1">
      <alignment horizontal="center"/>
    </xf>
    <xf numFmtId="0" fontId="2" fillId="2" borderId="11" xfId="0" applyFont="1" applyFill="1" applyBorder="1" applyAlignment="1">
      <alignment horizontal="center"/>
    </xf>
    <xf numFmtId="0" fontId="2" fillId="2" borderId="18" xfId="0" applyFont="1" applyFill="1" applyBorder="1" applyAlignment="1">
      <alignment horizontal="center"/>
    </xf>
    <xf numFmtId="0" fontId="9" fillId="2" borderId="1" xfId="0" applyFont="1" applyFill="1" applyBorder="1" applyAlignment="1">
      <alignment horizontal="center" wrapText="1"/>
    </xf>
    <xf numFmtId="0" fontId="9" fillId="2" borderId="1" xfId="0" applyFont="1" applyFill="1" applyBorder="1" applyAlignment="1">
      <alignment horizontal="center"/>
    </xf>
    <xf numFmtId="0" fontId="2" fillId="2" borderId="1" xfId="0" applyFont="1" applyFill="1" applyBorder="1" applyAlignment="1">
      <alignment horizontal="center" wrapText="1"/>
    </xf>
    <xf numFmtId="0" fontId="9"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9" fillId="2" borderId="50" xfId="0" applyFont="1" applyFill="1" applyBorder="1" applyAlignment="1">
      <alignment horizontal="center" vertical="center"/>
    </xf>
    <xf numFmtId="0" fontId="9" fillId="2" borderId="51" xfId="0" applyFont="1" applyFill="1" applyBorder="1" applyAlignment="1">
      <alignment horizontal="center" vertical="center"/>
    </xf>
    <xf numFmtId="0" fontId="9" fillId="2" borderId="35" xfId="0" applyFont="1" applyFill="1" applyBorder="1" applyAlignment="1">
      <alignment horizontal="center" vertical="center"/>
    </xf>
    <xf numFmtId="0" fontId="23" fillId="0" borderId="0" xfId="0" applyFont="1" applyAlignment="1">
      <alignment horizontal="right"/>
    </xf>
    <xf numFmtId="0" fontId="23" fillId="0" borderId="6" xfId="0" applyFont="1" applyBorder="1" applyAlignment="1">
      <alignment horizontal="right"/>
    </xf>
    <xf numFmtId="0" fontId="23" fillId="0" borderId="7" xfId="0" applyFont="1" applyBorder="1" applyAlignment="1">
      <alignment horizontal="right"/>
    </xf>
    <xf numFmtId="0" fontId="0" fillId="0" borderId="0" xfId="0" applyAlignment="1">
      <alignment vertical="top"/>
    </xf>
  </cellXfs>
  <cellStyles count="8">
    <cellStyle name="Akzent1" xfId="7" builtinId="29"/>
    <cellStyle name="Berechnung" xfId="6" builtinId="22"/>
    <cellStyle name="Eingabe" xfId="3" builtinId="20"/>
    <cellStyle name="Gut" xfId="2" builtinId="26"/>
    <cellStyle name="Komma" xfId="1" builtinId="3"/>
    <cellStyle name="Prozent" xfId="4" builtinId="5"/>
    <cellStyle name="Standard" xfId="0" builtinId="0"/>
    <cellStyle name="Standard 2" xfId="5" xr:uid="{00000000-0005-0000-0000-000007000000}"/>
  </cellStyles>
  <dxfs count="0"/>
  <tableStyles count="0" defaultTableStyle="TableStyleMedium2" defaultPivotStyle="PivotStyleLight16"/>
  <colors>
    <mruColors>
      <color rgb="FFFF65FF"/>
      <color rgb="FFE1F7E5"/>
      <color rgb="FFFFB219"/>
      <color rgb="FFB87B00"/>
      <color rgb="FF996600"/>
      <color rgb="FFFFD1FF"/>
      <color rgb="FFFFC1FF"/>
      <color rgb="FFFF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16</xdr:col>
      <xdr:colOff>83653</xdr:colOff>
      <xdr:row>0</xdr:row>
      <xdr:rowOff>74959</xdr:rowOff>
    </xdr:from>
    <xdr:to>
      <xdr:col>27</xdr:col>
      <xdr:colOff>47624</xdr:colOff>
      <xdr:row>7</xdr:row>
      <xdr:rowOff>209551</xdr:rowOff>
    </xdr:to>
    <xdr:sp macro="" textlink="">
      <xdr:nvSpPr>
        <xdr:cNvPr id="2" name="Textfeld 1">
          <a:extLst>
            <a:ext uri="{FF2B5EF4-FFF2-40B4-BE49-F238E27FC236}">
              <a16:creationId xmlns:a16="http://schemas.microsoft.com/office/drawing/2014/main" id="{00000000-0008-0000-0100-000002000000}"/>
            </a:ext>
          </a:extLst>
        </xdr:cNvPr>
        <xdr:cNvSpPr txBox="1"/>
      </xdr:nvSpPr>
      <xdr:spPr>
        <a:xfrm>
          <a:off x="12818578" y="74959"/>
          <a:ext cx="8517421" cy="14871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100" b="1"/>
            <a:t>Separate results</a:t>
          </a:r>
          <a:r>
            <a:rPr lang="de-AT" sz="1100" b="1" baseline="0"/>
            <a:t> for Fueled Aux Heater as described below are only provided in case of ZEV buses equipped with such a feature.</a:t>
          </a:r>
          <a:endParaRPr lang="de-AT" sz="1100" b="1"/>
        </a:p>
        <a:p>
          <a:endParaRPr lang="de-AT" sz="1100" b="1"/>
        </a:p>
        <a:p>
          <a:r>
            <a:rPr lang="de-AT" sz="1100" b="1"/>
            <a:t>Assignement</a:t>
          </a:r>
          <a:r>
            <a:rPr lang="de-AT" sz="1100" b="1" baseline="0"/>
            <a:t> of </a:t>
          </a:r>
          <a:r>
            <a:rPr lang="de-AT" sz="1100" b="1"/>
            <a:t>Aux heater fuel:</a:t>
          </a:r>
        </a:p>
        <a:p>
          <a:r>
            <a:rPr lang="de-AT" sz="1100" b="0"/>
            <a:t>1) If Diesel on board --&gt; Diesel </a:t>
          </a:r>
        </a:p>
        <a:p>
          <a:r>
            <a:rPr lang="de-AT" sz="1100" b="0"/>
            <a:t>2) If dual-fuel ICE then fuel with C-content</a:t>
          </a:r>
        </a:p>
        <a:p>
          <a:r>
            <a:rPr lang="de-AT" sz="1100" b="0"/>
            <a:t>3) If only H2 ICE then Diesel</a:t>
          </a:r>
        </a:p>
        <a:p>
          <a:r>
            <a:rPr lang="de-AT" sz="1100" b="0"/>
            <a:t>4) PEV then diesel</a:t>
          </a:r>
        </a:p>
        <a:p>
          <a:r>
            <a:rPr lang="de-AT" sz="1100" b="0"/>
            <a:t>5) Otherwise take the fuel that is available ...</a:t>
          </a:r>
          <a:endParaRPr lang="de-AT" sz="1100" b="0" baseline="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26</xdr:col>
      <xdr:colOff>57150</xdr:colOff>
      <xdr:row>2</xdr:row>
      <xdr:rowOff>38100</xdr:rowOff>
    </xdr:from>
    <xdr:to>
      <xdr:col>35</xdr:col>
      <xdr:colOff>628650</xdr:colOff>
      <xdr:row>2</xdr:row>
      <xdr:rowOff>790576</xdr:rowOff>
    </xdr:to>
    <xdr:sp macro="" textlink="">
      <xdr:nvSpPr>
        <xdr:cNvPr id="6" name="Textfeld 5">
          <a:extLst>
            <a:ext uri="{FF2B5EF4-FFF2-40B4-BE49-F238E27FC236}">
              <a16:creationId xmlns:a16="http://schemas.microsoft.com/office/drawing/2014/main" id="{00000000-0008-0000-0200-000006000000}"/>
            </a:ext>
          </a:extLst>
        </xdr:cNvPr>
        <xdr:cNvSpPr txBox="1"/>
      </xdr:nvSpPr>
      <xdr:spPr>
        <a:xfrm>
          <a:off x="17211675" y="419100"/>
          <a:ext cx="7000875" cy="7524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de-AT" sz="1100">
              <a:solidFill>
                <a:schemeClr val="bg1">
                  <a:lumMod val="50000"/>
                </a:schemeClr>
              </a:solidFill>
            </a:rPr>
            <a:t>These values are for overview purposes only. The calculation is based on the number of charging processes and the max. charging power in order to take into account limitations on the vehicle side (max. charging power, battery size).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409575</xdr:colOff>
      <xdr:row>5</xdr:row>
      <xdr:rowOff>85725</xdr:rowOff>
    </xdr:from>
    <xdr:to>
      <xdr:col>11</xdr:col>
      <xdr:colOff>36009</xdr:colOff>
      <xdr:row>11</xdr:row>
      <xdr:rowOff>71156</xdr:rowOff>
    </xdr:to>
    <xdr:sp macro="" textlink="">
      <xdr:nvSpPr>
        <xdr:cNvPr id="2" name="Textfeld 6">
          <a:extLst>
            <a:ext uri="{FF2B5EF4-FFF2-40B4-BE49-F238E27FC236}">
              <a16:creationId xmlns:a16="http://schemas.microsoft.com/office/drawing/2014/main" id="{00000000-0008-0000-0400-000002000000}"/>
            </a:ext>
          </a:extLst>
        </xdr:cNvPr>
        <xdr:cNvSpPr txBox="1"/>
      </xdr:nvSpPr>
      <xdr:spPr>
        <a:xfrm>
          <a:off x="7810500" y="1609725"/>
          <a:ext cx="4960434" cy="1128431"/>
        </a:xfrm>
        <a:prstGeom prst="rect">
          <a:avLst/>
        </a:prstGeom>
        <a:solidFill>
          <a:schemeClr val="accent6">
            <a:lumMod val="40000"/>
            <a:lumOff val="60000"/>
          </a:schemeClr>
        </a:solidFill>
      </xdr:spPr>
      <xdr:txBody>
        <a:bodyPr wrap="square" rtlCol="0">
          <a:spAutoFit/>
        </a:bodyPr>
        <a:lstStyle>
          <a:defPPr>
            <a:defRPr lang="de-DE"/>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180975" lvl="2">
            <a:spcBef>
              <a:spcPts val="600"/>
            </a:spcBef>
          </a:pPr>
          <a:r>
            <a:rPr lang="en-US" sz="1200" b="1"/>
            <a:t>OVC-HEV:</a:t>
          </a:r>
        </a:p>
        <a:p>
          <a:pPr marL="357188" lvl="2" indent="-176213">
            <a:spcBef>
              <a:spcPts val="600"/>
            </a:spcBef>
            <a:buFont typeface="+mj-lt"/>
            <a:buAutoNum type="alphaLcParenR"/>
          </a:pPr>
          <a:r>
            <a:rPr lang="en-US" sz="1200"/>
            <a:t>Type “Depot”: kW = max (10, (usable kWh with deterioration) / 6h)</a:t>
          </a:r>
        </a:p>
        <a:p>
          <a:pPr marL="357188" lvl="2" indent="-176213">
            <a:spcBef>
              <a:spcPts val="600"/>
            </a:spcBef>
            <a:buFont typeface="+mj-lt"/>
            <a:buAutoNum type="alphaLcParenR"/>
          </a:pPr>
          <a:r>
            <a:rPr lang="en-US" sz="1200"/>
            <a:t>Type “Stationary during mission”: Take kW matrix as already defined for UF calculation (function of vehicle group and mission profile) + limit with max. stationary charging power as in VECTO input for OVC-HEV</a:t>
          </a:r>
          <a:endParaRPr lang="en-US" sz="1200">
            <a:solidFill>
              <a:srgbClr val="FF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381000</xdr:colOff>
      <xdr:row>5</xdr:row>
      <xdr:rowOff>38100</xdr:rowOff>
    </xdr:from>
    <xdr:to>
      <xdr:col>11</xdr:col>
      <xdr:colOff>7434</xdr:colOff>
      <xdr:row>9</xdr:row>
      <xdr:rowOff>180975</xdr:rowOff>
    </xdr:to>
    <xdr:sp macro="" textlink="">
      <xdr:nvSpPr>
        <xdr:cNvPr id="3" name="Textfeld 6">
          <a:extLst>
            <a:ext uri="{FF2B5EF4-FFF2-40B4-BE49-F238E27FC236}">
              <a16:creationId xmlns:a16="http://schemas.microsoft.com/office/drawing/2014/main" id="{00000000-0008-0000-0600-000003000000}"/>
            </a:ext>
          </a:extLst>
        </xdr:cNvPr>
        <xdr:cNvSpPr txBox="1"/>
      </xdr:nvSpPr>
      <xdr:spPr>
        <a:xfrm>
          <a:off x="7781925" y="1562100"/>
          <a:ext cx="4960434" cy="904875"/>
        </a:xfrm>
        <a:prstGeom prst="rect">
          <a:avLst/>
        </a:prstGeom>
        <a:solidFill>
          <a:schemeClr val="accent6">
            <a:lumMod val="40000"/>
            <a:lumOff val="60000"/>
          </a:schemeClr>
        </a:solidFill>
      </xdr:spPr>
      <xdr:txBody>
        <a:bodyPr wrap="square" rtlCol="0">
          <a:noAutofit/>
        </a:bodyPr>
        <a:lstStyle>
          <a:defPPr>
            <a:defRPr lang="de-DE"/>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180975" lvl="2">
            <a:spcBef>
              <a:spcPts val="600"/>
            </a:spcBef>
          </a:pPr>
          <a:r>
            <a:rPr lang="en-US" sz="1200" b="1"/>
            <a:t>PEV:</a:t>
          </a:r>
        </a:p>
        <a:p>
          <a:pPr marL="357188" lvl="2" indent="-176213">
            <a:spcBef>
              <a:spcPts val="600"/>
            </a:spcBef>
            <a:buFont typeface="+mj-lt"/>
            <a:buAutoNum type="alphaLcParenR"/>
          </a:pPr>
          <a:r>
            <a:rPr lang="en-US" sz="1200"/>
            <a:t>For</a:t>
          </a:r>
          <a:r>
            <a:rPr lang="en-US" sz="1200" baseline="0"/>
            <a:t> Charging-Losses only like </a:t>
          </a:r>
          <a:r>
            <a:rPr lang="en-US" sz="1200"/>
            <a:t>Type “Depot”: kW = max (10, (usable SOC in kWh) / 6h)</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409575</xdr:colOff>
      <xdr:row>5</xdr:row>
      <xdr:rowOff>85725</xdr:rowOff>
    </xdr:from>
    <xdr:to>
      <xdr:col>11</xdr:col>
      <xdr:colOff>36009</xdr:colOff>
      <xdr:row>15</xdr:row>
      <xdr:rowOff>19050</xdr:rowOff>
    </xdr:to>
    <xdr:sp macro="" textlink="">
      <xdr:nvSpPr>
        <xdr:cNvPr id="2" name="Textfeld 6">
          <a:extLst>
            <a:ext uri="{FF2B5EF4-FFF2-40B4-BE49-F238E27FC236}">
              <a16:creationId xmlns:a16="http://schemas.microsoft.com/office/drawing/2014/main" id="{00000000-0008-0000-0800-000002000000}"/>
            </a:ext>
          </a:extLst>
        </xdr:cNvPr>
        <xdr:cNvSpPr txBox="1"/>
      </xdr:nvSpPr>
      <xdr:spPr>
        <a:xfrm>
          <a:off x="7810500" y="466725"/>
          <a:ext cx="4960434" cy="1838325"/>
        </a:xfrm>
        <a:prstGeom prst="rect">
          <a:avLst/>
        </a:prstGeom>
        <a:solidFill>
          <a:schemeClr val="accent6">
            <a:lumMod val="40000"/>
            <a:lumOff val="60000"/>
          </a:schemeClr>
        </a:solidFill>
      </xdr:spPr>
      <xdr:txBody>
        <a:bodyPr wrap="square" rtlCol="0">
          <a:noAutofit/>
        </a:bodyPr>
        <a:lstStyle>
          <a:defPPr>
            <a:defRPr lang="de-DE"/>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180975" lvl="2">
            <a:spcBef>
              <a:spcPts val="600"/>
            </a:spcBef>
          </a:pPr>
          <a:r>
            <a:rPr lang="en-US" sz="1200" b="1"/>
            <a:t>IMC OVC-HEV:</a:t>
          </a:r>
        </a:p>
        <a:p>
          <a:pPr marL="357188" lvl="2" indent="-176213">
            <a:spcBef>
              <a:spcPts val="600"/>
            </a:spcBef>
            <a:buFont typeface="+mj-lt"/>
            <a:buAutoNum type="alphaLcParenR"/>
          </a:pPr>
          <a:r>
            <a:rPr lang="en-US" sz="1200"/>
            <a:t>Type “Depot”: kW = max (10, (usable kWh with deterioration) / 6h)</a:t>
          </a:r>
        </a:p>
        <a:p>
          <a:pPr marL="357188" lvl="2" indent="-176213">
            <a:spcBef>
              <a:spcPts val="600"/>
            </a:spcBef>
            <a:buFont typeface="+mj-lt"/>
            <a:buAutoNum type="alphaLcParenR"/>
          </a:pPr>
          <a:r>
            <a:rPr lang="en-US" sz="1200"/>
            <a:t>Type “Stationary during mission”: Take kW matrix as already defined for UF calculation (function of vehicle group and mission profile) + limit with max. stationary charging power as in VECTO input for OVC-HEV</a:t>
          </a:r>
        </a:p>
        <a:p>
          <a:pPr marL="357188" lvl="2" indent="-176213">
            <a:spcBef>
              <a:spcPts val="600"/>
            </a:spcBef>
            <a:buFont typeface="+mj-lt"/>
            <a:buAutoNum type="alphaLcParenR"/>
          </a:pPr>
          <a:r>
            <a:rPr lang="en-US" sz="1200">
              <a:solidFill>
                <a:sysClr val="windowText" lastClr="000000"/>
              </a:solidFill>
            </a:rPr>
            <a:t>IMC SOC lift: 100 kW for heavy lorries and coaches,</a:t>
          </a:r>
          <a:r>
            <a:rPr lang="en-US" sz="1200" baseline="0">
              <a:solidFill>
                <a:sysClr val="windowText" lastClr="000000"/>
              </a:solidFill>
            </a:rPr>
            <a:t> 30 kW for city buses</a:t>
          </a:r>
          <a:endParaRPr lang="en-US" sz="1200">
            <a:solidFill>
              <a:sysClr val="windowText" lastClr="000000"/>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381000</xdr:colOff>
      <xdr:row>6</xdr:row>
      <xdr:rowOff>38100</xdr:rowOff>
    </xdr:from>
    <xdr:to>
      <xdr:col>11</xdr:col>
      <xdr:colOff>152400</xdr:colOff>
      <xdr:row>13</xdr:row>
      <xdr:rowOff>123825</xdr:rowOff>
    </xdr:to>
    <xdr:sp macro="" textlink="">
      <xdr:nvSpPr>
        <xdr:cNvPr id="2" name="Textfeld 6">
          <a:extLst>
            <a:ext uri="{FF2B5EF4-FFF2-40B4-BE49-F238E27FC236}">
              <a16:creationId xmlns:a16="http://schemas.microsoft.com/office/drawing/2014/main" id="{00000000-0008-0000-0A00-000002000000}"/>
            </a:ext>
          </a:extLst>
        </xdr:cNvPr>
        <xdr:cNvSpPr txBox="1"/>
      </xdr:nvSpPr>
      <xdr:spPr>
        <a:xfrm>
          <a:off x="7781925" y="1181100"/>
          <a:ext cx="5105400" cy="1419225"/>
        </a:xfrm>
        <a:prstGeom prst="rect">
          <a:avLst/>
        </a:prstGeom>
        <a:solidFill>
          <a:schemeClr val="accent6">
            <a:lumMod val="40000"/>
            <a:lumOff val="60000"/>
          </a:schemeClr>
        </a:solidFill>
      </xdr:spPr>
      <xdr:txBody>
        <a:bodyPr wrap="square" rtlCol="0">
          <a:noAutofit/>
        </a:bodyPr>
        <a:lstStyle>
          <a:defPPr>
            <a:defRPr lang="de-DE"/>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180975" lvl="2">
            <a:spcBef>
              <a:spcPts val="600"/>
            </a:spcBef>
          </a:pPr>
          <a:r>
            <a:rPr lang="en-US" sz="1200" b="1"/>
            <a:t>IMC PEV:</a:t>
          </a:r>
        </a:p>
        <a:p>
          <a:pPr marL="357188" lvl="2" indent="-176213">
            <a:spcBef>
              <a:spcPts val="600"/>
            </a:spcBef>
            <a:buFont typeface="+mj-lt"/>
            <a:buAutoNum type="alphaLcParenR"/>
          </a:pPr>
          <a:r>
            <a:rPr lang="en-US" sz="1200"/>
            <a:t>For</a:t>
          </a:r>
          <a:r>
            <a:rPr lang="en-US" sz="1200" baseline="0"/>
            <a:t> Charging-Losses only like </a:t>
          </a:r>
          <a:r>
            <a:rPr lang="en-US" sz="1200"/>
            <a:t>Type “Depot”: kW = max (10, (usable SOC in kWh) / 6h)</a:t>
          </a:r>
        </a:p>
        <a:p>
          <a:pPr marL="357188" lvl="2" indent="-176213">
            <a:spcBef>
              <a:spcPts val="600"/>
            </a:spcBef>
            <a:buFont typeface="+mj-lt"/>
            <a:buAutoNum type="alphaLcParenR"/>
          </a:pPr>
          <a:r>
            <a:rPr lang="en-US" sz="1200"/>
            <a:t>IMC SOC lift: 100 kW for heavy lorries and coaches, 30 kW for city buses</a:t>
          </a: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9.bin"/><Relationship Id="rId4"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13"/>
  <sheetViews>
    <sheetView tabSelected="1" workbookViewId="0">
      <selection activeCell="C42" sqref="C42"/>
    </sheetView>
  </sheetViews>
  <sheetFormatPr baseColWidth="10" defaultRowHeight="15" x14ac:dyDescent="0.25"/>
  <cols>
    <col min="1" max="1" width="4.7109375" customWidth="1"/>
    <col min="2" max="2" width="29" bestFit="1" customWidth="1"/>
    <col min="3" max="3" width="114.5703125" customWidth="1"/>
    <col min="4" max="4" width="36.28515625" customWidth="1"/>
  </cols>
  <sheetData>
    <row r="2" spans="2:4" ht="15.75" x14ac:dyDescent="0.25">
      <c r="B2" s="234" t="s">
        <v>181</v>
      </c>
      <c r="C2" s="234" t="s">
        <v>182</v>
      </c>
      <c r="D2" s="234" t="s">
        <v>206</v>
      </c>
    </row>
    <row r="3" spans="2:4" ht="30" x14ac:dyDescent="0.25">
      <c r="B3" s="233" t="s">
        <v>174</v>
      </c>
      <c r="C3" s="232" t="s">
        <v>196</v>
      </c>
      <c r="D3" s="173" t="s">
        <v>207</v>
      </c>
    </row>
    <row r="4" spans="2:4" x14ac:dyDescent="0.25">
      <c r="B4" s="233" t="s">
        <v>175</v>
      </c>
      <c r="C4" s="232" t="s">
        <v>197</v>
      </c>
      <c r="D4" s="173" t="s">
        <v>208</v>
      </c>
    </row>
    <row r="5" spans="2:4" x14ac:dyDescent="0.25">
      <c r="B5" s="233" t="s">
        <v>176</v>
      </c>
      <c r="C5" s="232" t="s">
        <v>198</v>
      </c>
      <c r="D5" s="173" t="s">
        <v>209</v>
      </c>
    </row>
    <row r="6" spans="2:4" x14ac:dyDescent="0.25">
      <c r="B6" s="233" t="s">
        <v>177</v>
      </c>
      <c r="C6" s="232" t="s">
        <v>210</v>
      </c>
      <c r="D6" s="245" t="s">
        <v>211</v>
      </c>
    </row>
    <row r="7" spans="2:4" ht="30" x14ac:dyDescent="0.25">
      <c r="B7" s="233" t="s">
        <v>201</v>
      </c>
      <c r="C7" s="232" t="s">
        <v>205</v>
      </c>
      <c r="D7" s="246"/>
    </row>
    <row r="8" spans="2:4" x14ac:dyDescent="0.25">
      <c r="B8" s="233" t="s">
        <v>178</v>
      </c>
      <c r="C8" s="232" t="s">
        <v>210</v>
      </c>
      <c r="D8" s="245" t="s">
        <v>65</v>
      </c>
    </row>
    <row r="9" spans="2:4" ht="30" x14ac:dyDescent="0.25">
      <c r="B9" s="233" t="s">
        <v>202</v>
      </c>
      <c r="C9" s="232" t="s">
        <v>205</v>
      </c>
      <c r="D9" s="246"/>
    </row>
    <row r="10" spans="2:4" x14ac:dyDescent="0.25">
      <c r="B10" s="233" t="s">
        <v>179</v>
      </c>
      <c r="C10" s="232" t="s">
        <v>210</v>
      </c>
      <c r="D10" s="247" t="s">
        <v>212</v>
      </c>
    </row>
    <row r="11" spans="2:4" ht="30" x14ac:dyDescent="0.25">
      <c r="B11" s="233" t="s">
        <v>203</v>
      </c>
      <c r="C11" s="232" t="s">
        <v>205</v>
      </c>
      <c r="D11" s="248"/>
    </row>
    <row r="12" spans="2:4" x14ac:dyDescent="0.25">
      <c r="B12" s="233" t="s">
        <v>180</v>
      </c>
      <c r="C12" s="232" t="s">
        <v>210</v>
      </c>
      <c r="D12" s="245" t="s">
        <v>213</v>
      </c>
    </row>
    <row r="13" spans="2:4" ht="30" x14ac:dyDescent="0.25">
      <c r="B13" s="233" t="s">
        <v>204</v>
      </c>
      <c r="C13" s="232" t="s">
        <v>205</v>
      </c>
      <c r="D13" s="246"/>
    </row>
  </sheetData>
  <mergeCells count="4">
    <mergeCell ref="D6:D7"/>
    <mergeCell ref="D8:D9"/>
    <mergeCell ref="D10:D11"/>
    <mergeCell ref="D12:D13"/>
  </mergeCell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sheetPr>
  <dimension ref="B2:R65"/>
  <sheetViews>
    <sheetView workbookViewId="0">
      <selection activeCell="A5" sqref="A5"/>
    </sheetView>
  </sheetViews>
  <sheetFormatPr baseColWidth="10" defaultRowHeight="15" x14ac:dyDescent="0.25"/>
  <cols>
    <col min="2" max="2" width="17.42578125" customWidth="1"/>
    <col min="4" max="4" width="20.7109375" bestFit="1" customWidth="1"/>
    <col min="5" max="12" width="12.7109375" customWidth="1"/>
    <col min="13" max="13" width="2.7109375" customWidth="1"/>
    <col min="16" max="16" width="2.7109375" customWidth="1"/>
    <col min="17" max="18" width="12.7109375" customWidth="1"/>
    <col min="19" max="20" width="11.42578125" customWidth="1"/>
  </cols>
  <sheetData>
    <row r="2" spans="2:18" x14ac:dyDescent="0.25">
      <c r="C2" s="30" t="s">
        <v>18</v>
      </c>
      <c r="D2" t="s">
        <v>101</v>
      </c>
    </row>
    <row r="3" spans="2:18" x14ac:dyDescent="0.25">
      <c r="C3" s="32" t="s">
        <v>80</v>
      </c>
      <c r="D3" t="s">
        <v>102</v>
      </c>
    </row>
    <row r="4" spans="2:18" ht="15.75" thickBot="1" x14ac:dyDescent="0.3">
      <c r="C4" s="72" t="s">
        <v>18</v>
      </c>
      <c r="D4" t="s">
        <v>100</v>
      </c>
    </row>
    <row r="5" spans="2:18" ht="15.75" thickBot="1" x14ac:dyDescent="0.3">
      <c r="C5" s="150" t="s">
        <v>18</v>
      </c>
      <c r="D5" t="s">
        <v>99</v>
      </c>
    </row>
    <row r="8" spans="2:18" ht="19.5" thickBot="1" x14ac:dyDescent="0.35">
      <c r="B8" s="45" t="s">
        <v>183</v>
      </c>
    </row>
    <row r="9" spans="2:18" ht="63" x14ac:dyDescent="0.35">
      <c r="B9" s="252" t="s">
        <v>21</v>
      </c>
      <c r="C9" s="254" t="s">
        <v>63</v>
      </c>
      <c r="D9" s="256" t="s">
        <v>68</v>
      </c>
      <c r="E9" s="46" t="s">
        <v>20</v>
      </c>
      <c r="F9" s="47" t="s">
        <v>69</v>
      </c>
      <c r="G9" s="48" t="s">
        <v>70</v>
      </c>
      <c r="H9" s="48" t="s">
        <v>71</v>
      </c>
      <c r="I9" s="48" t="s">
        <v>37</v>
      </c>
      <c r="J9" s="48" t="s">
        <v>49</v>
      </c>
      <c r="K9" s="47" t="s">
        <v>184</v>
      </c>
      <c r="L9" s="49" t="s">
        <v>51</v>
      </c>
      <c r="M9" s="26"/>
      <c r="N9" s="23" t="s">
        <v>46</v>
      </c>
      <c r="O9" s="22" t="s">
        <v>24</v>
      </c>
      <c r="Q9" s="50" t="s">
        <v>72</v>
      </c>
      <c r="R9" s="51" t="s">
        <v>73</v>
      </c>
    </row>
    <row r="10" spans="2:18" ht="15.75" thickBot="1" x14ac:dyDescent="0.3">
      <c r="B10" s="253"/>
      <c r="C10" s="255"/>
      <c r="D10" s="257"/>
      <c r="E10" s="52" t="s">
        <v>41</v>
      </c>
      <c r="F10" s="53" t="s">
        <v>74</v>
      </c>
      <c r="G10" s="53" t="s">
        <v>75</v>
      </c>
      <c r="H10" s="53" t="s">
        <v>76</v>
      </c>
      <c r="I10" s="54" t="s">
        <v>25</v>
      </c>
      <c r="J10" s="54" t="s">
        <v>25</v>
      </c>
      <c r="K10" s="54" t="s">
        <v>25</v>
      </c>
      <c r="L10" s="55" t="s">
        <v>25</v>
      </c>
      <c r="M10" s="26"/>
      <c r="N10" s="27" t="s">
        <v>25</v>
      </c>
      <c r="O10" s="28" t="s">
        <v>13</v>
      </c>
      <c r="Q10" s="56" t="s">
        <v>74</v>
      </c>
      <c r="R10" s="57" t="s">
        <v>75</v>
      </c>
    </row>
    <row r="11" spans="2:18" x14ac:dyDescent="0.25">
      <c r="B11" s="58" t="s">
        <v>22</v>
      </c>
      <c r="C11" s="59" t="s">
        <v>17</v>
      </c>
      <c r="D11" s="60" t="s">
        <v>77</v>
      </c>
      <c r="E11" s="61" t="s">
        <v>2</v>
      </c>
      <c r="F11" s="62" t="s">
        <v>2</v>
      </c>
      <c r="G11" s="62" t="s">
        <v>2</v>
      </c>
      <c r="H11" s="62" t="s">
        <v>2</v>
      </c>
      <c r="I11" s="62" t="s">
        <v>2</v>
      </c>
      <c r="J11" s="62" t="s">
        <v>2</v>
      </c>
      <c r="K11" s="62" t="s">
        <v>2</v>
      </c>
      <c r="L11" s="63" t="s">
        <v>2</v>
      </c>
      <c r="M11" s="33"/>
      <c r="N11" s="14" t="s">
        <v>2</v>
      </c>
      <c r="O11" s="14" t="s">
        <v>2</v>
      </c>
      <c r="Q11" s="61" t="s">
        <v>2</v>
      </c>
      <c r="R11" s="63" t="s">
        <v>2</v>
      </c>
    </row>
    <row r="12" spans="2:18" ht="17.25" x14ac:dyDescent="0.25">
      <c r="B12" s="64" t="s">
        <v>22</v>
      </c>
      <c r="C12" s="17" t="s">
        <v>17</v>
      </c>
      <c r="D12" s="65" t="s">
        <v>78</v>
      </c>
      <c r="E12" s="66" t="s">
        <v>80</v>
      </c>
      <c r="F12" s="32" t="s">
        <v>80</v>
      </c>
      <c r="G12" s="32" t="s">
        <v>80</v>
      </c>
      <c r="H12" s="32" t="s">
        <v>2</v>
      </c>
      <c r="I12" s="32" t="s">
        <v>2</v>
      </c>
      <c r="J12" s="32" t="s">
        <v>2</v>
      </c>
      <c r="K12" s="32" t="s">
        <v>185</v>
      </c>
      <c r="L12" s="67" t="s">
        <v>185</v>
      </c>
      <c r="M12" s="33"/>
      <c r="N12" s="14" t="s">
        <v>2</v>
      </c>
      <c r="O12" s="14" t="s">
        <v>2</v>
      </c>
      <c r="Q12" s="66" t="s">
        <v>185</v>
      </c>
      <c r="R12" s="67" t="s">
        <v>185</v>
      </c>
    </row>
    <row r="13" spans="2:18" ht="18" thickBot="1" x14ac:dyDescent="0.3">
      <c r="B13" s="68" t="s">
        <v>22</v>
      </c>
      <c r="C13" s="69" t="s">
        <v>17</v>
      </c>
      <c r="D13" s="70" t="s">
        <v>79</v>
      </c>
      <c r="E13" s="71" t="s">
        <v>18</v>
      </c>
      <c r="F13" s="72" t="s">
        <v>18</v>
      </c>
      <c r="G13" s="72" t="s">
        <v>18</v>
      </c>
      <c r="H13" s="73" t="s">
        <v>2</v>
      </c>
      <c r="I13" s="73" t="s">
        <v>2</v>
      </c>
      <c r="J13" s="73" t="s">
        <v>2</v>
      </c>
      <c r="K13" s="72" t="s">
        <v>186</v>
      </c>
      <c r="L13" s="74" t="s">
        <v>186</v>
      </c>
      <c r="M13" s="31"/>
      <c r="N13" s="14" t="s">
        <v>2</v>
      </c>
      <c r="O13" s="14" t="s">
        <v>2</v>
      </c>
      <c r="Q13" s="71" t="s">
        <v>186</v>
      </c>
      <c r="R13" s="74" t="s">
        <v>186</v>
      </c>
    </row>
    <row r="14" spans="2:18" x14ac:dyDescent="0.25">
      <c r="B14" s="58" t="s">
        <v>22</v>
      </c>
      <c r="C14" s="75" t="s">
        <v>19</v>
      </c>
      <c r="D14" s="60" t="s">
        <v>77</v>
      </c>
      <c r="E14" s="61" t="s">
        <v>2</v>
      </c>
      <c r="F14" s="62" t="s">
        <v>2</v>
      </c>
      <c r="G14" s="62" t="s">
        <v>2</v>
      </c>
      <c r="H14" s="62" t="s">
        <v>2</v>
      </c>
      <c r="I14" s="62" t="s">
        <v>2</v>
      </c>
      <c r="J14" s="62" t="s">
        <v>2</v>
      </c>
      <c r="K14" s="62" t="s">
        <v>2</v>
      </c>
      <c r="L14" s="63" t="s">
        <v>2</v>
      </c>
      <c r="M14" s="33"/>
      <c r="N14" s="14" t="s">
        <v>2</v>
      </c>
      <c r="O14" s="14" t="s">
        <v>2</v>
      </c>
      <c r="Q14" s="61" t="s">
        <v>2</v>
      </c>
      <c r="R14" s="63" t="s">
        <v>2</v>
      </c>
    </row>
    <row r="15" spans="2:18" ht="17.25" x14ac:dyDescent="0.25">
      <c r="B15" s="64" t="s">
        <v>22</v>
      </c>
      <c r="C15" s="18" t="s">
        <v>19</v>
      </c>
      <c r="D15" s="65" t="s">
        <v>78</v>
      </c>
      <c r="E15" s="32" t="s">
        <v>80</v>
      </c>
      <c r="F15" s="32" t="s">
        <v>80</v>
      </c>
      <c r="G15" s="32" t="s">
        <v>80</v>
      </c>
      <c r="H15" s="32" t="s">
        <v>2</v>
      </c>
      <c r="I15" s="32" t="s">
        <v>2</v>
      </c>
      <c r="J15" s="32" t="s">
        <v>2</v>
      </c>
      <c r="K15" s="32" t="s">
        <v>185</v>
      </c>
      <c r="L15" s="67" t="s">
        <v>185</v>
      </c>
      <c r="M15" s="33"/>
      <c r="N15" s="14" t="s">
        <v>2</v>
      </c>
      <c r="O15" s="14" t="s">
        <v>2</v>
      </c>
      <c r="Q15" s="66" t="s">
        <v>185</v>
      </c>
      <c r="R15" s="67" t="s">
        <v>185</v>
      </c>
    </row>
    <row r="16" spans="2:18" ht="18" thickBot="1" x14ac:dyDescent="0.3">
      <c r="B16" s="68" t="s">
        <v>22</v>
      </c>
      <c r="C16" s="76" t="s">
        <v>19</v>
      </c>
      <c r="D16" s="70" t="s">
        <v>79</v>
      </c>
      <c r="E16" s="71" t="s">
        <v>18</v>
      </c>
      <c r="F16" s="72" t="s">
        <v>18</v>
      </c>
      <c r="G16" s="72" t="s">
        <v>18</v>
      </c>
      <c r="H16" s="73" t="s">
        <v>2</v>
      </c>
      <c r="I16" s="73" t="s">
        <v>2</v>
      </c>
      <c r="J16" s="73" t="s">
        <v>2</v>
      </c>
      <c r="K16" s="72" t="s">
        <v>186</v>
      </c>
      <c r="L16" s="74" t="s">
        <v>186</v>
      </c>
      <c r="M16" s="31"/>
      <c r="N16" s="14" t="s">
        <v>2</v>
      </c>
      <c r="O16" s="14" t="s">
        <v>2</v>
      </c>
      <c r="Q16" s="71" t="s">
        <v>186</v>
      </c>
      <c r="R16" s="74" t="s">
        <v>186</v>
      </c>
    </row>
    <row r="17" spans="2:18" x14ac:dyDescent="0.25">
      <c r="B17" s="77" t="s">
        <v>23</v>
      </c>
      <c r="C17" s="59" t="s">
        <v>17</v>
      </c>
      <c r="D17" s="60" t="s">
        <v>77</v>
      </c>
      <c r="E17" s="61" t="s">
        <v>2</v>
      </c>
      <c r="F17" s="62" t="s">
        <v>2</v>
      </c>
      <c r="G17" s="62" t="s">
        <v>2</v>
      </c>
      <c r="H17" s="62" t="s">
        <v>2</v>
      </c>
      <c r="I17" s="62" t="s">
        <v>2</v>
      </c>
      <c r="J17" s="62" t="s">
        <v>2</v>
      </c>
      <c r="K17" s="62" t="s">
        <v>2</v>
      </c>
      <c r="L17" s="63" t="s">
        <v>2</v>
      </c>
      <c r="M17" s="33"/>
      <c r="N17" s="14" t="s">
        <v>2</v>
      </c>
      <c r="O17" s="14" t="s">
        <v>2</v>
      </c>
      <c r="Q17" s="61" t="s">
        <v>2</v>
      </c>
      <c r="R17" s="63" t="s">
        <v>2</v>
      </c>
    </row>
    <row r="18" spans="2:18" ht="17.25" x14ac:dyDescent="0.25">
      <c r="B18" s="78" t="s">
        <v>23</v>
      </c>
      <c r="C18" s="17" t="s">
        <v>17</v>
      </c>
      <c r="D18" s="65" t="s">
        <v>78</v>
      </c>
      <c r="E18" s="32" t="s">
        <v>80</v>
      </c>
      <c r="F18" s="32" t="s">
        <v>80</v>
      </c>
      <c r="G18" s="32" t="s">
        <v>80</v>
      </c>
      <c r="H18" s="32" t="s">
        <v>2</v>
      </c>
      <c r="I18" s="32" t="s">
        <v>2</v>
      </c>
      <c r="J18" s="32" t="s">
        <v>2</v>
      </c>
      <c r="K18" s="32" t="s">
        <v>185</v>
      </c>
      <c r="L18" s="67" t="s">
        <v>185</v>
      </c>
      <c r="M18" s="33"/>
      <c r="N18" s="14" t="s">
        <v>2</v>
      </c>
      <c r="O18" s="14" t="s">
        <v>2</v>
      </c>
      <c r="Q18" s="66" t="s">
        <v>185</v>
      </c>
      <c r="R18" s="67" t="s">
        <v>185</v>
      </c>
    </row>
    <row r="19" spans="2:18" ht="18" thickBot="1" x14ac:dyDescent="0.3">
      <c r="B19" s="79" t="s">
        <v>23</v>
      </c>
      <c r="C19" s="69" t="s">
        <v>17</v>
      </c>
      <c r="D19" s="70" t="s">
        <v>79</v>
      </c>
      <c r="E19" s="71" t="s">
        <v>18</v>
      </c>
      <c r="F19" s="72" t="s">
        <v>18</v>
      </c>
      <c r="G19" s="72" t="s">
        <v>18</v>
      </c>
      <c r="H19" s="73" t="s">
        <v>2</v>
      </c>
      <c r="I19" s="73" t="s">
        <v>2</v>
      </c>
      <c r="J19" s="73" t="s">
        <v>2</v>
      </c>
      <c r="K19" s="72" t="s">
        <v>186</v>
      </c>
      <c r="L19" s="74" t="s">
        <v>186</v>
      </c>
      <c r="M19" s="31"/>
      <c r="N19" s="14" t="s">
        <v>2</v>
      </c>
      <c r="O19" s="14" t="s">
        <v>2</v>
      </c>
      <c r="Q19" s="71" t="s">
        <v>186</v>
      </c>
      <c r="R19" s="74" t="s">
        <v>186</v>
      </c>
    </row>
    <row r="20" spans="2:18" x14ac:dyDescent="0.25">
      <c r="B20" s="77" t="s">
        <v>23</v>
      </c>
      <c r="C20" s="75" t="s">
        <v>19</v>
      </c>
      <c r="D20" s="60" t="s">
        <v>77</v>
      </c>
      <c r="E20" s="61" t="s">
        <v>2</v>
      </c>
      <c r="F20" s="62" t="s">
        <v>2</v>
      </c>
      <c r="G20" s="62" t="s">
        <v>2</v>
      </c>
      <c r="H20" s="62" t="s">
        <v>2</v>
      </c>
      <c r="I20" s="62" t="s">
        <v>2</v>
      </c>
      <c r="J20" s="62" t="s">
        <v>2</v>
      </c>
      <c r="K20" s="62" t="s">
        <v>2</v>
      </c>
      <c r="L20" s="63" t="s">
        <v>2</v>
      </c>
      <c r="M20" s="33"/>
      <c r="N20" s="14" t="s">
        <v>2</v>
      </c>
      <c r="O20" s="14" t="s">
        <v>2</v>
      </c>
      <c r="Q20" s="61" t="s">
        <v>2</v>
      </c>
      <c r="R20" s="63" t="s">
        <v>2</v>
      </c>
    </row>
    <row r="21" spans="2:18" ht="17.25" x14ac:dyDescent="0.25">
      <c r="B21" s="80" t="s">
        <v>23</v>
      </c>
      <c r="C21" s="29" t="s">
        <v>19</v>
      </c>
      <c r="D21" s="65" t="s">
        <v>78</v>
      </c>
      <c r="E21" s="32" t="s">
        <v>80</v>
      </c>
      <c r="F21" s="32" t="s">
        <v>80</v>
      </c>
      <c r="G21" s="32" t="s">
        <v>80</v>
      </c>
      <c r="H21" s="32" t="s">
        <v>2</v>
      </c>
      <c r="I21" s="32" t="s">
        <v>2</v>
      </c>
      <c r="J21" s="32" t="s">
        <v>2</v>
      </c>
      <c r="K21" s="32" t="s">
        <v>185</v>
      </c>
      <c r="L21" s="67" t="s">
        <v>185</v>
      </c>
      <c r="M21" s="33"/>
      <c r="N21" s="14" t="s">
        <v>2</v>
      </c>
      <c r="O21" s="14" t="s">
        <v>2</v>
      </c>
      <c r="Q21" s="66" t="s">
        <v>185</v>
      </c>
      <c r="R21" s="67" t="s">
        <v>185</v>
      </c>
    </row>
    <row r="22" spans="2:18" ht="18" thickBot="1" x14ac:dyDescent="0.3">
      <c r="B22" s="79" t="s">
        <v>23</v>
      </c>
      <c r="C22" s="76" t="s">
        <v>19</v>
      </c>
      <c r="D22" s="70" t="s">
        <v>79</v>
      </c>
      <c r="E22" s="71" t="s">
        <v>18</v>
      </c>
      <c r="F22" s="72" t="s">
        <v>18</v>
      </c>
      <c r="G22" s="72" t="s">
        <v>18</v>
      </c>
      <c r="H22" s="73" t="s">
        <v>2</v>
      </c>
      <c r="I22" s="73" t="s">
        <v>2</v>
      </c>
      <c r="J22" s="73" t="s">
        <v>2</v>
      </c>
      <c r="K22" s="72" t="s">
        <v>186</v>
      </c>
      <c r="L22" s="74" t="s">
        <v>186</v>
      </c>
      <c r="M22" s="31"/>
      <c r="N22" s="14" t="s">
        <v>2</v>
      </c>
      <c r="O22" s="14" t="s">
        <v>2</v>
      </c>
      <c r="Q22" s="71" t="s">
        <v>186</v>
      </c>
      <c r="R22" s="74" t="s">
        <v>186</v>
      </c>
    </row>
    <row r="23" spans="2:18" ht="15.75" thickBot="1" x14ac:dyDescent="0.3">
      <c r="B23" s="81" t="s">
        <v>47</v>
      </c>
      <c r="C23" s="82" t="s">
        <v>48</v>
      </c>
      <c r="D23" s="83" t="s">
        <v>48</v>
      </c>
      <c r="E23" s="84" t="s">
        <v>48</v>
      </c>
      <c r="F23" s="85" t="s">
        <v>48</v>
      </c>
      <c r="G23" s="85" t="s">
        <v>48</v>
      </c>
      <c r="H23" s="86" t="s">
        <v>2</v>
      </c>
      <c r="I23" s="86" t="s">
        <v>2</v>
      </c>
      <c r="J23" s="86" t="s">
        <v>2</v>
      </c>
      <c r="K23" s="85" t="s">
        <v>48</v>
      </c>
      <c r="L23" s="235" t="s">
        <v>48</v>
      </c>
      <c r="M23" s="33"/>
      <c r="N23" s="25" t="s">
        <v>2</v>
      </c>
      <c r="O23" s="25" t="s">
        <v>2</v>
      </c>
      <c r="Q23" s="239" t="s">
        <v>48</v>
      </c>
      <c r="R23" s="235" t="s">
        <v>48</v>
      </c>
    </row>
    <row r="24" spans="2:18" ht="22.5" thickTop="1" thickBot="1" x14ac:dyDescent="0.35">
      <c r="B24" s="249" t="s">
        <v>28</v>
      </c>
      <c r="C24" s="250"/>
      <c r="D24" s="251"/>
      <c r="E24" s="236" t="s">
        <v>2</v>
      </c>
      <c r="F24" s="237" t="s">
        <v>18</v>
      </c>
      <c r="G24" s="237" t="s">
        <v>18</v>
      </c>
      <c r="H24" s="236" t="s">
        <v>2</v>
      </c>
      <c r="I24" s="236" t="s">
        <v>2</v>
      </c>
      <c r="J24" s="236" t="s">
        <v>2</v>
      </c>
      <c r="K24" s="237" t="s">
        <v>187</v>
      </c>
      <c r="L24" s="238" t="s">
        <v>187</v>
      </c>
      <c r="M24" s="33"/>
      <c r="N24" s="24" t="s">
        <v>2</v>
      </c>
      <c r="O24" s="24" t="s">
        <v>2</v>
      </c>
      <c r="Q24" s="240" t="s">
        <v>187</v>
      </c>
      <c r="R24" s="238" t="s">
        <v>187</v>
      </c>
    </row>
    <row r="25" spans="2:18" ht="17.25" x14ac:dyDescent="0.25">
      <c r="B25" s="225" t="s">
        <v>190</v>
      </c>
    </row>
    <row r="26" spans="2:18" ht="17.25" x14ac:dyDescent="0.25">
      <c r="B26" s="225" t="s">
        <v>191</v>
      </c>
    </row>
    <row r="28" spans="2:18" ht="19.5" thickBot="1" x14ac:dyDescent="0.35">
      <c r="B28" s="45" t="s">
        <v>188</v>
      </c>
    </row>
    <row r="29" spans="2:18" ht="63" customHeight="1" x14ac:dyDescent="0.35">
      <c r="B29" s="252" t="s">
        <v>21</v>
      </c>
      <c r="C29" s="254" t="s">
        <v>63</v>
      </c>
      <c r="D29" s="256" t="s">
        <v>68</v>
      </c>
      <c r="E29" s="46" t="s">
        <v>20</v>
      </c>
      <c r="F29" s="47" t="s">
        <v>69</v>
      </c>
      <c r="G29" s="48" t="s">
        <v>70</v>
      </c>
      <c r="H29" s="48" t="s">
        <v>71</v>
      </c>
      <c r="I29" s="48" t="s">
        <v>37</v>
      </c>
      <c r="J29" s="48" t="s">
        <v>49</v>
      </c>
      <c r="K29" s="47" t="s">
        <v>184</v>
      </c>
      <c r="L29" s="49" t="s">
        <v>51</v>
      </c>
      <c r="M29" s="26"/>
      <c r="N29" s="92" t="s">
        <v>46</v>
      </c>
      <c r="O29" s="93" t="s">
        <v>24</v>
      </c>
      <c r="Q29" s="50" t="s">
        <v>72</v>
      </c>
      <c r="R29" s="51" t="s">
        <v>73</v>
      </c>
    </row>
    <row r="30" spans="2:18" ht="15.75" thickBot="1" x14ac:dyDescent="0.3">
      <c r="B30" s="253"/>
      <c r="C30" s="255"/>
      <c r="D30" s="257"/>
      <c r="E30" s="52" t="s">
        <v>41</v>
      </c>
      <c r="F30" s="53" t="s">
        <v>74</v>
      </c>
      <c r="G30" s="53" t="s">
        <v>75</v>
      </c>
      <c r="H30" s="53" t="s">
        <v>76</v>
      </c>
      <c r="I30" s="54" t="s">
        <v>25</v>
      </c>
      <c r="J30" s="54" t="s">
        <v>25</v>
      </c>
      <c r="K30" s="54" t="s">
        <v>25</v>
      </c>
      <c r="L30" s="55" t="s">
        <v>25</v>
      </c>
      <c r="M30" s="26"/>
      <c r="N30" s="94" t="s">
        <v>25</v>
      </c>
      <c r="O30" s="95" t="s">
        <v>13</v>
      </c>
      <c r="Q30" s="226" t="s">
        <v>74</v>
      </c>
      <c r="R30" s="227" t="s">
        <v>75</v>
      </c>
    </row>
    <row r="31" spans="2:18" x14ac:dyDescent="0.25">
      <c r="B31" s="58" t="s">
        <v>22</v>
      </c>
      <c r="C31" s="59" t="s">
        <v>17</v>
      </c>
      <c r="D31" s="60" t="s">
        <v>77</v>
      </c>
      <c r="E31" s="87" t="s">
        <v>18</v>
      </c>
      <c r="F31" s="88" t="s">
        <v>18</v>
      </c>
      <c r="G31" s="88" t="s">
        <v>18</v>
      </c>
      <c r="H31" s="88" t="s">
        <v>18</v>
      </c>
      <c r="I31" s="135" t="s">
        <v>80</v>
      </c>
      <c r="J31" s="135" t="s">
        <v>80</v>
      </c>
      <c r="K31" s="62" t="s">
        <v>2</v>
      </c>
      <c r="L31" s="63" t="s">
        <v>2</v>
      </c>
      <c r="M31" s="33"/>
      <c r="N31" s="99" t="s">
        <v>2</v>
      </c>
      <c r="O31" s="96" t="s">
        <v>2</v>
      </c>
      <c r="Q31" s="89" t="s">
        <v>194</v>
      </c>
      <c r="R31" s="228" t="s">
        <v>194</v>
      </c>
    </row>
    <row r="32" spans="2:18" ht="17.25" x14ac:dyDescent="0.25">
      <c r="B32" s="64" t="s">
        <v>22</v>
      </c>
      <c r="C32" s="17" t="s">
        <v>17</v>
      </c>
      <c r="D32" s="65" t="s">
        <v>78</v>
      </c>
      <c r="E32" s="90" t="s">
        <v>18</v>
      </c>
      <c r="F32" s="30" t="s">
        <v>18</v>
      </c>
      <c r="G32" s="30" t="s">
        <v>18</v>
      </c>
      <c r="H32" s="14" t="s">
        <v>2</v>
      </c>
      <c r="I32" s="14" t="s">
        <v>2</v>
      </c>
      <c r="J32" s="14" t="s">
        <v>2</v>
      </c>
      <c r="K32" s="32" t="s">
        <v>185</v>
      </c>
      <c r="L32" s="67" t="s">
        <v>2</v>
      </c>
      <c r="M32" s="33"/>
      <c r="N32" s="100" t="s">
        <v>2</v>
      </c>
      <c r="O32" s="97" t="s">
        <v>2</v>
      </c>
      <c r="Q32" s="91" t="s">
        <v>194</v>
      </c>
      <c r="R32" s="229" t="s">
        <v>194</v>
      </c>
    </row>
    <row r="33" spans="2:18" ht="18" thickBot="1" x14ac:dyDescent="0.3">
      <c r="B33" s="68" t="s">
        <v>22</v>
      </c>
      <c r="C33" s="69" t="s">
        <v>17</v>
      </c>
      <c r="D33" s="70" t="s">
        <v>79</v>
      </c>
      <c r="E33" s="230" t="s">
        <v>195</v>
      </c>
      <c r="F33" s="150" t="s">
        <v>195</v>
      </c>
      <c r="G33" s="150" t="s">
        <v>195</v>
      </c>
      <c r="H33" s="150" t="s">
        <v>195</v>
      </c>
      <c r="I33" s="72" t="s">
        <v>18</v>
      </c>
      <c r="J33" s="72" t="s">
        <v>18</v>
      </c>
      <c r="K33" s="72" t="s">
        <v>186</v>
      </c>
      <c r="L33" s="74" t="s">
        <v>18</v>
      </c>
      <c r="M33" s="31"/>
      <c r="N33" s="101" t="s">
        <v>192</v>
      </c>
      <c r="O33" s="98" t="s">
        <v>193</v>
      </c>
      <c r="Q33" s="230" t="s">
        <v>195</v>
      </c>
      <c r="R33" s="231" t="s">
        <v>195</v>
      </c>
    </row>
    <row r="34" spans="2:18" x14ac:dyDescent="0.25">
      <c r="B34" s="58" t="s">
        <v>22</v>
      </c>
      <c r="C34" s="75" t="s">
        <v>19</v>
      </c>
      <c r="D34" s="60" t="s">
        <v>77</v>
      </c>
      <c r="E34" s="87" t="s">
        <v>18</v>
      </c>
      <c r="F34" s="88" t="s">
        <v>18</v>
      </c>
      <c r="G34" s="88" t="s">
        <v>18</v>
      </c>
      <c r="H34" s="88" t="s">
        <v>18</v>
      </c>
      <c r="I34" s="135" t="s">
        <v>80</v>
      </c>
      <c r="J34" s="135" t="s">
        <v>80</v>
      </c>
      <c r="K34" s="62" t="s">
        <v>2</v>
      </c>
      <c r="L34" s="63" t="s">
        <v>2</v>
      </c>
      <c r="M34" s="33"/>
      <c r="N34" s="99" t="s">
        <v>2</v>
      </c>
      <c r="O34" s="96" t="s">
        <v>2</v>
      </c>
      <c r="Q34" s="89" t="s">
        <v>194</v>
      </c>
      <c r="R34" s="228" t="s">
        <v>194</v>
      </c>
    </row>
    <row r="35" spans="2:18" ht="17.25" x14ac:dyDescent="0.25">
      <c r="B35" s="64" t="s">
        <v>22</v>
      </c>
      <c r="C35" s="18" t="s">
        <v>19</v>
      </c>
      <c r="D35" s="65" t="s">
        <v>78</v>
      </c>
      <c r="E35" s="90" t="s">
        <v>18</v>
      </c>
      <c r="F35" s="30" t="s">
        <v>18</v>
      </c>
      <c r="G35" s="30" t="s">
        <v>18</v>
      </c>
      <c r="H35" s="14" t="s">
        <v>2</v>
      </c>
      <c r="I35" s="14" t="s">
        <v>2</v>
      </c>
      <c r="J35" s="14" t="s">
        <v>2</v>
      </c>
      <c r="K35" s="32" t="s">
        <v>185</v>
      </c>
      <c r="L35" s="67" t="s">
        <v>2</v>
      </c>
      <c r="M35" s="33"/>
      <c r="N35" s="100" t="s">
        <v>2</v>
      </c>
      <c r="O35" s="97" t="s">
        <v>2</v>
      </c>
      <c r="Q35" s="91" t="s">
        <v>194</v>
      </c>
      <c r="R35" s="229" t="s">
        <v>194</v>
      </c>
    </row>
    <row r="36" spans="2:18" ht="18" thickBot="1" x14ac:dyDescent="0.3">
      <c r="B36" s="68" t="s">
        <v>22</v>
      </c>
      <c r="C36" s="76" t="s">
        <v>19</v>
      </c>
      <c r="D36" s="70" t="s">
        <v>79</v>
      </c>
      <c r="E36" s="230" t="s">
        <v>195</v>
      </c>
      <c r="F36" s="150" t="s">
        <v>195</v>
      </c>
      <c r="G36" s="150" t="s">
        <v>195</v>
      </c>
      <c r="H36" s="150" t="s">
        <v>195</v>
      </c>
      <c r="I36" s="72" t="s">
        <v>18</v>
      </c>
      <c r="J36" s="72" t="s">
        <v>18</v>
      </c>
      <c r="K36" s="72" t="s">
        <v>186</v>
      </c>
      <c r="L36" s="74" t="s">
        <v>18</v>
      </c>
      <c r="M36" s="31"/>
      <c r="N36" s="101" t="s">
        <v>192</v>
      </c>
      <c r="O36" s="98" t="s">
        <v>193</v>
      </c>
      <c r="Q36" s="230" t="s">
        <v>195</v>
      </c>
      <c r="R36" s="231" t="s">
        <v>195</v>
      </c>
    </row>
    <row r="37" spans="2:18" x14ac:dyDescent="0.25">
      <c r="B37" s="77" t="s">
        <v>23</v>
      </c>
      <c r="C37" s="59" t="s">
        <v>17</v>
      </c>
      <c r="D37" s="60" t="s">
        <v>77</v>
      </c>
      <c r="E37" s="87" t="s">
        <v>18</v>
      </c>
      <c r="F37" s="88" t="s">
        <v>18</v>
      </c>
      <c r="G37" s="88" t="s">
        <v>18</v>
      </c>
      <c r="H37" s="88" t="s">
        <v>18</v>
      </c>
      <c r="I37" s="135" t="s">
        <v>80</v>
      </c>
      <c r="J37" s="135" t="s">
        <v>80</v>
      </c>
      <c r="K37" s="62" t="s">
        <v>2</v>
      </c>
      <c r="L37" s="63" t="s">
        <v>2</v>
      </c>
      <c r="M37" s="33"/>
      <c r="N37" s="99" t="s">
        <v>2</v>
      </c>
      <c r="O37" s="96" t="s">
        <v>2</v>
      </c>
      <c r="Q37" s="89" t="s">
        <v>194</v>
      </c>
      <c r="R37" s="228" t="s">
        <v>194</v>
      </c>
    </row>
    <row r="38" spans="2:18" ht="17.25" x14ac:dyDescent="0.25">
      <c r="B38" s="78" t="s">
        <v>23</v>
      </c>
      <c r="C38" s="17" t="s">
        <v>17</v>
      </c>
      <c r="D38" s="65" t="s">
        <v>78</v>
      </c>
      <c r="E38" s="90" t="s">
        <v>18</v>
      </c>
      <c r="F38" s="30" t="s">
        <v>18</v>
      </c>
      <c r="G38" s="30" t="s">
        <v>18</v>
      </c>
      <c r="H38" s="14" t="s">
        <v>2</v>
      </c>
      <c r="I38" s="14" t="s">
        <v>2</v>
      </c>
      <c r="J38" s="14" t="s">
        <v>2</v>
      </c>
      <c r="K38" s="32" t="s">
        <v>185</v>
      </c>
      <c r="L38" s="67" t="s">
        <v>2</v>
      </c>
      <c r="M38" s="33"/>
      <c r="N38" s="100" t="s">
        <v>2</v>
      </c>
      <c r="O38" s="97" t="s">
        <v>2</v>
      </c>
      <c r="Q38" s="91" t="s">
        <v>194</v>
      </c>
      <c r="R38" s="229" t="s">
        <v>194</v>
      </c>
    </row>
    <row r="39" spans="2:18" ht="18" thickBot="1" x14ac:dyDescent="0.3">
      <c r="B39" s="79" t="s">
        <v>23</v>
      </c>
      <c r="C39" s="69" t="s">
        <v>17</v>
      </c>
      <c r="D39" s="70" t="s">
        <v>79</v>
      </c>
      <c r="E39" s="230" t="s">
        <v>195</v>
      </c>
      <c r="F39" s="150" t="s">
        <v>195</v>
      </c>
      <c r="G39" s="150" t="s">
        <v>195</v>
      </c>
      <c r="H39" s="150" t="s">
        <v>195</v>
      </c>
      <c r="I39" s="72" t="s">
        <v>18</v>
      </c>
      <c r="J39" s="72" t="s">
        <v>18</v>
      </c>
      <c r="K39" s="72" t="s">
        <v>186</v>
      </c>
      <c r="L39" s="74" t="s">
        <v>18</v>
      </c>
      <c r="M39" s="31"/>
      <c r="N39" s="101" t="s">
        <v>192</v>
      </c>
      <c r="O39" s="98" t="s">
        <v>193</v>
      </c>
      <c r="Q39" s="230" t="s">
        <v>195</v>
      </c>
      <c r="R39" s="231" t="s">
        <v>195</v>
      </c>
    </row>
    <row r="40" spans="2:18" x14ac:dyDescent="0.25">
      <c r="B40" s="77" t="s">
        <v>23</v>
      </c>
      <c r="C40" s="75" t="s">
        <v>19</v>
      </c>
      <c r="D40" s="60" t="s">
        <v>77</v>
      </c>
      <c r="E40" s="87" t="s">
        <v>18</v>
      </c>
      <c r="F40" s="88" t="s">
        <v>18</v>
      </c>
      <c r="G40" s="88" t="s">
        <v>18</v>
      </c>
      <c r="H40" s="88" t="s">
        <v>18</v>
      </c>
      <c r="I40" s="135" t="s">
        <v>80</v>
      </c>
      <c r="J40" s="135" t="s">
        <v>80</v>
      </c>
      <c r="K40" s="62" t="s">
        <v>2</v>
      </c>
      <c r="L40" s="63" t="s">
        <v>2</v>
      </c>
      <c r="M40" s="33"/>
      <c r="N40" s="99" t="s">
        <v>2</v>
      </c>
      <c r="O40" s="96" t="s">
        <v>2</v>
      </c>
      <c r="Q40" s="89" t="s">
        <v>194</v>
      </c>
      <c r="R40" s="228" t="s">
        <v>194</v>
      </c>
    </row>
    <row r="41" spans="2:18" ht="17.25" x14ac:dyDescent="0.25">
      <c r="B41" s="80" t="s">
        <v>23</v>
      </c>
      <c r="C41" s="29" t="s">
        <v>19</v>
      </c>
      <c r="D41" s="65" t="s">
        <v>78</v>
      </c>
      <c r="E41" s="90" t="s">
        <v>18</v>
      </c>
      <c r="F41" s="30" t="s">
        <v>18</v>
      </c>
      <c r="G41" s="30" t="s">
        <v>18</v>
      </c>
      <c r="H41" s="14" t="s">
        <v>2</v>
      </c>
      <c r="I41" s="14" t="s">
        <v>2</v>
      </c>
      <c r="J41" s="14" t="s">
        <v>2</v>
      </c>
      <c r="K41" s="32" t="s">
        <v>185</v>
      </c>
      <c r="L41" s="67" t="s">
        <v>2</v>
      </c>
      <c r="M41" s="33"/>
      <c r="N41" s="100" t="s">
        <v>2</v>
      </c>
      <c r="O41" s="97" t="s">
        <v>2</v>
      </c>
      <c r="Q41" s="91" t="s">
        <v>194</v>
      </c>
      <c r="R41" s="229" t="s">
        <v>194</v>
      </c>
    </row>
    <row r="42" spans="2:18" ht="18" thickBot="1" x14ac:dyDescent="0.3">
      <c r="B42" s="79" t="s">
        <v>23</v>
      </c>
      <c r="C42" s="76" t="s">
        <v>19</v>
      </c>
      <c r="D42" s="70" t="s">
        <v>79</v>
      </c>
      <c r="E42" s="230" t="s">
        <v>195</v>
      </c>
      <c r="F42" s="150" t="s">
        <v>195</v>
      </c>
      <c r="G42" s="150" t="s">
        <v>195</v>
      </c>
      <c r="H42" s="150" t="s">
        <v>195</v>
      </c>
      <c r="I42" s="72" t="s">
        <v>18</v>
      </c>
      <c r="J42" s="72" t="s">
        <v>18</v>
      </c>
      <c r="K42" s="72" t="s">
        <v>186</v>
      </c>
      <c r="L42" s="74" t="s">
        <v>18</v>
      </c>
      <c r="M42" s="31"/>
      <c r="N42" s="101" t="s">
        <v>192</v>
      </c>
      <c r="O42" s="98" t="s">
        <v>193</v>
      </c>
      <c r="Q42" s="230" t="s">
        <v>195</v>
      </c>
      <c r="R42" s="231" t="s">
        <v>195</v>
      </c>
    </row>
    <row r="43" spans="2:18" ht="15.75" thickBot="1" x14ac:dyDescent="0.3">
      <c r="B43" s="81" t="s">
        <v>47</v>
      </c>
      <c r="C43" s="82" t="s">
        <v>48</v>
      </c>
      <c r="D43" s="83" t="s">
        <v>48</v>
      </c>
      <c r="E43" s="84" t="s">
        <v>48</v>
      </c>
      <c r="F43" s="85" t="s">
        <v>48</v>
      </c>
      <c r="G43" s="85" t="s">
        <v>48</v>
      </c>
      <c r="H43" s="85" t="s">
        <v>48</v>
      </c>
      <c r="I43" s="85" t="s">
        <v>48</v>
      </c>
      <c r="J43" s="85" t="s">
        <v>48</v>
      </c>
      <c r="K43" s="85" t="s">
        <v>48</v>
      </c>
      <c r="L43" s="235"/>
      <c r="M43" s="33"/>
      <c r="N43" s="243" t="s">
        <v>48</v>
      </c>
      <c r="O43" s="244" t="s">
        <v>48</v>
      </c>
      <c r="Q43" s="239" t="s">
        <v>48</v>
      </c>
      <c r="R43" s="235" t="s">
        <v>48</v>
      </c>
    </row>
    <row r="44" spans="2:18" ht="22.5" thickTop="1" thickBot="1" x14ac:dyDescent="0.35">
      <c r="B44" s="249" t="s">
        <v>28</v>
      </c>
      <c r="C44" s="250"/>
      <c r="D44" s="251"/>
      <c r="E44" s="236" t="s">
        <v>2</v>
      </c>
      <c r="F44" s="237" t="s">
        <v>189</v>
      </c>
      <c r="G44" s="237" t="s">
        <v>189</v>
      </c>
      <c r="H44" s="237" t="s">
        <v>189</v>
      </c>
      <c r="I44" s="237" t="s">
        <v>18</v>
      </c>
      <c r="J44" s="237" t="s">
        <v>18</v>
      </c>
      <c r="K44" s="237" t="s">
        <v>187</v>
      </c>
      <c r="L44" s="238" t="s">
        <v>18</v>
      </c>
      <c r="M44" s="33"/>
      <c r="N44" s="241" t="s">
        <v>2</v>
      </c>
      <c r="O44" s="242" t="s">
        <v>2</v>
      </c>
      <c r="Q44" s="241" t="s">
        <v>2</v>
      </c>
      <c r="R44" s="242" t="s">
        <v>2</v>
      </c>
    </row>
    <row r="45" spans="2:18" ht="17.25" x14ac:dyDescent="0.25">
      <c r="B45" s="225" t="s">
        <v>190</v>
      </c>
    </row>
    <row r="46" spans="2:18" ht="17.25" x14ac:dyDescent="0.25">
      <c r="B46" s="225" t="s">
        <v>191</v>
      </c>
      <c r="M46" s="26"/>
    </row>
    <row r="47" spans="2:18" x14ac:dyDescent="0.25">
      <c r="I47" s="20"/>
      <c r="J47" s="20"/>
      <c r="K47" s="20"/>
      <c r="N47" s="20"/>
      <c r="O47" s="20"/>
    </row>
    <row r="48" spans="2:18" ht="19.5" thickBot="1" x14ac:dyDescent="0.35">
      <c r="B48" s="45" t="s">
        <v>65</v>
      </c>
    </row>
    <row r="49" spans="2:18" ht="63" x14ac:dyDescent="0.35">
      <c r="B49" s="252" t="s">
        <v>21</v>
      </c>
      <c r="C49" s="254" t="s">
        <v>63</v>
      </c>
      <c r="D49" s="256" t="s">
        <v>68</v>
      </c>
      <c r="E49" s="46" t="s">
        <v>20</v>
      </c>
      <c r="F49" s="47" t="s">
        <v>69</v>
      </c>
      <c r="G49" s="48" t="s">
        <v>70</v>
      </c>
      <c r="H49" s="48" t="s">
        <v>71</v>
      </c>
      <c r="I49" s="48" t="s">
        <v>37</v>
      </c>
      <c r="J49" s="48" t="s">
        <v>49</v>
      </c>
      <c r="K49" s="47" t="s">
        <v>184</v>
      </c>
      <c r="L49" s="49" t="s">
        <v>51</v>
      </c>
      <c r="M49" s="26"/>
      <c r="N49" s="23" t="s">
        <v>46</v>
      </c>
      <c r="O49" s="22" t="s">
        <v>24</v>
      </c>
      <c r="Q49" s="50" t="s">
        <v>72</v>
      </c>
      <c r="R49" s="51" t="s">
        <v>73</v>
      </c>
    </row>
    <row r="50" spans="2:18" ht="15.75" thickBot="1" x14ac:dyDescent="0.3">
      <c r="B50" s="253"/>
      <c r="C50" s="255"/>
      <c r="D50" s="257"/>
      <c r="E50" s="52" t="s">
        <v>41</v>
      </c>
      <c r="F50" s="53" t="s">
        <v>74</v>
      </c>
      <c r="G50" s="53" t="s">
        <v>75</v>
      </c>
      <c r="H50" s="53" t="s">
        <v>76</v>
      </c>
      <c r="I50" s="54" t="s">
        <v>25</v>
      </c>
      <c r="J50" s="54" t="s">
        <v>25</v>
      </c>
      <c r="K50" s="54" t="s">
        <v>25</v>
      </c>
      <c r="L50" s="55" t="s">
        <v>25</v>
      </c>
      <c r="M50" s="26"/>
      <c r="N50" s="27" t="s">
        <v>25</v>
      </c>
      <c r="O50" s="28" t="s">
        <v>13</v>
      </c>
      <c r="Q50" s="56" t="s">
        <v>74</v>
      </c>
      <c r="R50" s="57" t="s">
        <v>75</v>
      </c>
    </row>
    <row r="51" spans="2:18" x14ac:dyDescent="0.25">
      <c r="B51" s="58" t="s">
        <v>22</v>
      </c>
      <c r="C51" s="59" t="s">
        <v>17</v>
      </c>
      <c r="D51" s="60" t="s">
        <v>77</v>
      </c>
      <c r="E51" s="135" t="s">
        <v>80</v>
      </c>
      <c r="F51" s="62" t="s">
        <v>2</v>
      </c>
      <c r="G51" s="62" t="s">
        <v>2</v>
      </c>
      <c r="H51" s="135" t="s">
        <v>80</v>
      </c>
      <c r="I51" s="135" t="s">
        <v>80</v>
      </c>
      <c r="J51" s="135" t="s">
        <v>80</v>
      </c>
      <c r="K51" s="62" t="s">
        <v>2</v>
      </c>
      <c r="L51" s="149" t="s">
        <v>80</v>
      </c>
      <c r="M51" s="33"/>
      <c r="N51" s="14" t="s">
        <v>2</v>
      </c>
      <c r="O51" s="14" t="s">
        <v>2</v>
      </c>
      <c r="Q51" s="151" t="s">
        <v>80</v>
      </c>
      <c r="R51" s="149" t="s">
        <v>80</v>
      </c>
    </row>
    <row r="52" spans="2:18" x14ac:dyDescent="0.25">
      <c r="B52" s="64" t="s">
        <v>22</v>
      </c>
      <c r="C52" s="17" t="s">
        <v>17</v>
      </c>
      <c r="D52" s="65" t="s">
        <v>78</v>
      </c>
      <c r="E52" s="66" t="s">
        <v>2</v>
      </c>
      <c r="F52" s="32" t="s">
        <v>2</v>
      </c>
      <c r="G52" s="32" t="s">
        <v>2</v>
      </c>
      <c r="H52" s="14" t="s">
        <v>2</v>
      </c>
      <c r="I52" s="14" t="s">
        <v>2</v>
      </c>
      <c r="J52" s="14" t="s">
        <v>2</v>
      </c>
      <c r="K52" s="32" t="s">
        <v>2</v>
      </c>
      <c r="L52" s="67" t="s">
        <v>2</v>
      </c>
      <c r="M52" s="33"/>
      <c r="N52" s="14" t="s">
        <v>2</v>
      </c>
      <c r="O52" s="14" t="s">
        <v>2</v>
      </c>
      <c r="Q52" s="66" t="s">
        <v>2</v>
      </c>
      <c r="R52" s="67" t="s">
        <v>2</v>
      </c>
    </row>
    <row r="53" spans="2:18" ht="15.75" thickBot="1" x14ac:dyDescent="0.3">
      <c r="B53" s="68" t="s">
        <v>22</v>
      </c>
      <c r="C53" s="69" t="s">
        <v>17</v>
      </c>
      <c r="D53" s="70" t="s">
        <v>79</v>
      </c>
      <c r="E53" s="71" t="s">
        <v>18</v>
      </c>
      <c r="F53" s="73" t="s">
        <v>2</v>
      </c>
      <c r="G53" s="73" t="s">
        <v>2</v>
      </c>
      <c r="H53" s="72" t="s">
        <v>18</v>
      </c>
      <c r="I53" s="72" t="s">
        <v>18</v>
      </c>
      <c r="J53" s="72" t="s">
        <v>18</v>
      </c>
      <c r="K53" s="73" t="s">
        <v>2</v>
      </c>
      <c r="L53" s="74" t="s">
        <v>18</v>
      </c>
      <c r="M53" s="31"/>
      <c r="N53" s="14" t="s">
        <v>2</v>
      </c>
      <c r="O53" s="14" t="s">
        <v>2</v>
      </c>
      <c r="Q53" s="71" t="s">
        <v>18</v>
      </c>
      <c r="R53" s="74" t="s">
        <v>18</v>
      </c>
    </row>
    <row r="54" spans="2:18" x14ac:dyDescent="0.25">
      <c r="B54" s="58" t="s">
        <v>22</v>
      </c>
      <c r="C54" s="75" t="s">
        <v>19</v>
      </c>
      <c r="D54" s="60" t="s">
        <v>77</v>
      </c>
      <c r="E54" s="135" t="s">
        <v>80</v>
      </c>
      <c r="F54" s="62" t="s">
        <v>2</v>
      </c>
      <c r="G54" s="62" t="s">
        <v>2</v>
      </c>
      <c r="H54" s="135" t="s">
        <v>80</v>
      </c>
      <c r="I54" s="135" t="s">
        <v>80</v>
      </c>
      <c r="J54" s="135" t="s">
        <v>80</v>
      </c>
      <c r="K54" s="62" t="s">
        <v>2</v>
      </c>
      <c r="L54" s="149" t="s">
        <v>80</v>
      </c>
      <c r="M54" s="33"/>
      <c r="N54" s="14" t="s">
        <v>2</v>
      </c>
      <c r="O54" s="14" t="s">
        <v>2</v>
      </c>
      <c r="Q54" s="151" t="s">
        <v>80</v>
      </c>
      <c r="R54" s="149" t="s">
        <v>80</v>
      </c>
    </row>
    <row r="55" spans="2:18" x14ac:dyDescent="0.25">
      <c r="B55" s="64" t="s">
        <v>22</v>
      </c>
      <c r="C55" s="18" t="s">
        <v>19</v>
      </c>
      <c r="D55" s="65" t="s">
        <v>78</v>
      </c>
      <c r="E55" s="66" t="s">
        <v>2</v>
      </c>
      <c r="F55" s="32" t="s">
        <v>2</v>
      </c>
      <c r="G55" s="32" t="s">
        <v>2</v>
      </c>
      <c r="H55" s="14" t="s">
        <v>2</v>
      </c>
      <c r="I55" s="14" t="s">
        <v>2</v>
      </c>
      <c r="J55" s="14" t="s">
        <v>2</v>
      </c>
      <c r="K55" s="32" t="s">
        <v>2</v>
      </c>
      <c r="L55" s="67" t="s">
        <v>2</v>
      </c>
      <c r="M55" s="33"/>
      <c r="N55" s="14" t="s">
        <v>2</v>
      </c>
      <c r="O55" s="14" t="s">
        <v>2</v>
      </c>
      <c r="Q55" s="66" t="s">
        <v>2</v>
      </c>
      <c r="R55" s="67" t="s">
        <v>2</v>
      </c>
    </row>
    <row r="56" spans="2:18" ht="15.75" thickBot="1" x14ac:dyDescent="0.3">
      <c r="B56" s="68" t="s">
        <v>22</v>
      </c>
      <c r="C56" s="76" t="s">
        <v>19</v>
      </c>
      <c r="D56" s="70" t="s">
        <v>79</v>
      </c>
      <c r="E56" s="71" t="s">
        <v>18</v>
      </c>
      <c r="F56" s="73" t="s">
        <v>2</v>
      </c>
      <c r="G56" s="73" t="s">
        <v>2</v>
      </c>
      <c r="H56" s="72" t="s">
        <v>18</v>
      </c>
      <c r="I56" s="72" t="s">
        <v>18</v>
      </c>
      <c r="J56" s="72" t="s">
        <v>18</v>
      </c>
      <c r="K56" s="73" t="s">
        <v>2</v>
      </c>
      <c r="L56" s="74" t="s">
        <v>18</v>
      </c>
      <c r="M56" s="31"/>
      <c r="N56" s="14" t="s">
        <v>2</v>
      </c>
      <c r="O56" s="14" t="s">
        <v>2</v>
      </c>
      <c r="Q56" s="71" t="s">
        <v>18</v>
      </c>
      <c r="R56" s="74" t="s">
        <v>18</v>
      </c>
    </row>
    <row r="57" spans="2:18" x14ac:dyDescent="0.25">
      <c r="B57" s="77" t="s">
        <v>23</v>
      </c>
      <c r="C57" s="59" t="s">
        <v>17</v>
      </c>
      <c r="D57" s="60" t="s">
        <v>77</v>
      </c>
      <c r="E57" s="135" t="s">
        <v>80</v>
      </c>
      <c r="F57" s="62" t="s">
        <v>2</v>
      </c>
      <c r="G57" s="62" t="s">
        <v>2</v>
      </c>
      <c r="H57" s="135" t="s">
        <v>80</v>
      </c>
      <c r="I57" s="135" t="s">
        <v>80</v>
      </c>
      <c r="J57" s="135" t="s">
        <v>80</v>
      </c>
      <c r="K57" s="62" t="s">
        <v>2</v>
      </c>
      <c r="L57" s="149" t="s">
        <v>80</v>
      </c>
      <c r="M57" s="33"/>
      <c r="N57" s="14" t="s">
        <v>2</v>
      </c>
      <c r="O57" s="14" t="s">
        <v>2</v>
      </c>
      <c r="Q57" s="151" t="s">
        <v>80</v>
      </c>
      <c r="R57" s="149" t="s">
        <v>80</v>
      </c>
    </row>
    <row r="58" spans="2:18" x14ac:dyDescent="0.25">
      <c r="B58" s="78" t="s">
        <v>23</v>
      </c>
      <c r="C58" s="17" t="s">
        <v>17</v>
      </c>
      <c r="D58" s="65" t="s">
        <v>78</v>
      </c>
      <c r="E58" s="66" t="s">
        <v>2</v>
      </c>
      <c r="F58" s="32" t="s">
        <v>2</v>
      </c>
      <c r="G58" s="32" t="s">
        <v>2</v>
      </c>
      <c r="H58" s="14" t="s">
        <v>2</v>
      </c>
      <c r="I58" s="14" t="s">
        <v>2</v>
      </c>
      <c r="J58" s="14" t="s">
        <v>2</v>
      </c>
      <c r="K58" s="32" t="s">
        <v>2</v>
      </c>
      <c r="L58" s="67" t="s">
        <v>2</v>
      </c>
      <c r="M58" s="33"/>
      <c r="N58" s="14" t="s">
        <v>2</v>
      </c>
      <c r="O58" s="14" t="s">
        <v>2</v>
      </c>
      <c r="Q58" s="66" t="s">
        <v>2</v>
      </c>
      <c r="R58" s="67" t="s">
        <v>2</v>
      </c>
    </row>
    <row r="59" spans="2:18" ht="15.75" thickBot="1" x14ac:dyDescent="0.3">
      <c r="B59" s="79" t="s">
        <v>23</v>
      </c>
      <c r="C59" s="69" t="s">
        <v>17</v>
      </c>
      <c r="D59" s="70" t="s">
        <v>79</v>
      </c>
      <c r="E59" s="71" t="s">
        <v>18</v>
      </c>
      <c r="F59" s="73" t="s">
        <v>2</v>
      </c>
      <c r="G59" s="73" t="s">
        <v>2</v>
      </c>
      <c r="H59" s="72" t="s">
        <v>18</v>
      </c>
      <c r="I59" s="72" t="s">
        <v>18</v>
      </c>
      <c r="J59" s="72" t="s">
        <v>18</v>
      </c>
      <c r="K59" s="73" t="s">
        <v>2</v>
      </c>
      <c r="L59" s="74" t="s">
        <v>18</v>
      </c>
      <c r="M59" s="31"/>
      <c r="N59" s="14" t="s">
        <v>2</v>
      </c>
      <c r="O59" s="14" t="s">
        <v>2</v>
      </c>
      <c r="Q59" s="71" t="s">
        <v>18</v>
      </c>
      <c r="R59" s="74" t="s">
        <v>18</v>
      </c>
    </row>
    <row r="60" spans="2:18" x14ac:dyDescent="0.25">
      <c r="B60" s="77" t="s">
        <v>23</v>
      </c>
      <c r="C60" s="75" t="s">
        <v>19</v>
      </c>
      <c r="D60" s="60" t="s">
        <v>77</v>
      </c>
      <c r="E60" s="135" t="s">
        <v>80</v>
      </c>
      <c r="F60" s="62" t="s">
        <v>2</v>
      </c>
      <c r="G60" s="62" t="s">
        <v>2</v>
      </c>
      <c r="H60" s="135" t="s">
        <v>80</v>
      </c>
      <c r="I60" s="135" t="s">
        <v>80</v>
      </c>
      <c r="J60" s="135" t="s">
        <v>80</v>
      </c>
      <c r="K60" s="62" t="s">
        <v>2</v>
      </c>
      <c r="L60" s="149" t="s">
        <v>80</v>
      </c>
      <c r="M60" s="33"/>
      <c r="N60" s="14" t="s">
        <v>2</v>
      </c>
      <c r="O60" s="14" t="s">
        <v>2</v>
      </c>
      <c r="Q60" s="151" t="s">
        <v>80</v>
      </c>
      <c r="R60" s="149" t="s">
        <v>80</v>
      </c>
    </row>
    <row r="61" spans="2:18" x14ac:dyDescent="0.25">
      <c r="B61" s="80" t="s">
        <v>23</v>
      </c>
      <c r="C61" s="29" t="s">
        <v>19</v>
      </c>
      <c r="D61" s="65" t="s">
        <v>78</v>
      </c>
      <c r="E61" s="66" t="s">
        <v>2</v>
      </c>
      <c r="F61" s="32" t="s">
        <v>2</v>
      </c>
      <c r="G61" s="32" t="s">
        <v>2</v>
      </c>
      <c r="H61" s="14" t="s">
        <v>2</v>
      </c>
      <c r="I61" s="14" t="s">
        <v>2</v>
      </c>
      <c r="J61" s="14" t="s">
        <v>2</v>
      </c>
      <c r="K61" s="32" t="s">
        <v>2</v>
      </c>
      <c r="L61" s="67" t="s">
        <v>2</v>
      </c>
      <c r="M61" s="33"/>
      <c r="N61" s="14" t="s">
        <v>2</v>
      </c>
      <c r="O61" s="14" t="s">
        <v>2</v>
      </c>
      <c r="Q61" s="66" t="s">
        <v>2</v>
      </c>
      <c r="R61" s="67" t="s">
        <v>2</v>
      </c>
    </row>
    <row r="62" spans="2:18" ht="15.75" thickBot="1" x14ac:dyDescent="0.3">
      <c r="B62" s="79" t="s">
        <v>23</v>
      </c>
      <c r="C62" s="76" t="s">
        <v>19</v>
      </c>
      <c r="D62" s="70" t="s">
        <v>79</v>
      </c>
      <c r="E62" s="71" t="s">
        <v>18</v>
      </c>
      <c r="F62" s="73" t="s">
        <v>2</v>
      </c>
      <c r="G62" s="73" t="s">
        <v>2</v>
      </c>
      <c r="H62" s="72" t="s">
        <v>18</v>
      </c>
      <c r="I62" s="72" t="s">
        <v>18</v>
      </c>
      <c r="J62" s="72" t="s">
        <v>18</v>
      </c>
      <c r="K62" s="73" t="s">
        <v>2</v>
      </c>
      <c r="L62" s="74" t="s">
        <v>18</v>
      </c>
      <c r="M62" s="31"/>
      <c r="N62" s="14" t="s">
        <v>2</v>
      </c>
      <c r="O62" s="14" t="s">
        <v>2</v>
      </c>
      <c r="Q62" s="71" t="s">
        <v>18</v>
      </c>
      <c r="R62" s="74" t="s">
        <v>18</v>
      </c>
    </row>
    <row r="63" spans="2:18" ht="15.75" thickBot="1" x14ac:dyDescent="0.3">
      <c r="B63" s="81" t="s">
        <v>47</v>
      </c>
      <c r="C63" s="82" t="s">
        <v>48</v>
      </c>
      <c r="D63" s="83" t="s">
        <v>48</v>
      </c>
      <c r="E63" s="84" t="s">
        <v>48</v>
      </c>
      <c r="F63" s="86" t="s">
        <v>2</v>
      </c>
      <c r="G63" s="86" t="s">
        <v>2</v>
      </c>
      <c r="H63" s="85" t="s">
        <v>48</v>
      </c>
      <c r="I63" s="85" t="s">
        <v>48</v>
      </c>
      <c r="J63" s="85" t="s">
        <v>48</v>
      </c>
      <c r="K63" s="86" t="s">
        <v>2</v>
      </c>
      <c r="L63" s="235"/>
      <c r="M63" s="33"/>
      <c r="N63" s="25" t="s">
        <v>2</v>
      </c>
      <c r="O63" s="25" t="s">
        <v>2</v>
      </c>
      <c r="Q63" s="239" t="s">
        <v>48</v>
      </c>
      <c r="R63" s="235" t="s">
        <v>48</v>
      </c>
    </row>
    <row r="64" spans="2:18" ht="20.25" thickTop="1" thickBot="1" x14ac:dyDescent="0.35">
      <c r="B64" s="249" t="s">
        <v>28</v>
      </c>
      <c r="C64" s="250"/>
      <c r="D64" s="251"/>
      <c r="E64" s="236" t="s">
        <v>2</v>
      </c>
      <c r="F64" s="236" t="s">
        <v>2</v>
      </c>
      <c r="G64" s="236" t="s">
        <v>2</v>
      </c>
      <c r="H64" s="237" t="s">
        <v>18</v>
      </c>
      <c r="I64" s="237" t="s">
        <v>18</v>
      </c>
      <c r="J64" s="237" t="s">
        <v>18</v>
      </c>
      <c r="K64" s="236" t="s">
        <v>2</v>
      </c>
      <c r="L64" s="238" t="s">
        <v>18</v>
      </c>
      <c r="M64" s="33"/>
      <c r="N64" s="24" t="s">
        <v>2</v>
      </c>
      <c r="O64" s="24" t="s">
        <v>2</v>
      </c>
      <c r="Q64" s="240" t="s">
        <v>18</v>
      </c>
      <c r="R64" s="238" t="s">
        <v>18</v>
      </c>
    </row>
    <row r="65" spans="9:15" x14ac:dyDescent="0.25">
      <c r="I65" s="20"/>
      <c r="J65" s="20"/>
      <c r="K65" s="20"/>
      <c r="M65" s="20"/>
      <c r="N65" s="21"/>
      <c r="O65" s="21"/>
    </row>
  </sheetData>
  <mergeCells count="12">
    <mergeCell ref="B9:B10"/>
    <mergeCell ref="C9:C10"/>
    <mergeCell ref="D9:D10"/>
    <mergeCell ref="B24:D24"/>
    <mergeCell ref="B29:B30"/>
    <mergeCell ref="C29:C30"/>
    <mergeCell ref="D29:D30"/>
    <mergeCell ref="B44:D44"/>
    <mergeCell ref="B49:B50"/>
    <mergeCell ref="C49:C50"/>
    <mergeCell ref="D49:D50"/>
    <mergeCell ref="B64:D64"/>
  </mergeCells>
  <pageMargins left="0.7" right="0.7" top="0.78740157499999996" bottom="0.78740157499999996" header="0.3" footer="0.3"/>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sheetPr>
  <dimension ref="B2:AZ107"/>
  <sheetViews>
    <sheetView topLeftCell="U4" workbookViewId="0">
      <selection activeCell="AZ4" sqref="AZ4"/>
    </sheetView>
  </sheetViews>
  <sheetFormatPr baseColWidth="10" defaultRowHeight="15" x14ac:dyDescent="0.25"/>
  <cols>
    <col min="1" max="1" width="2.7109375" customWidth="1"/>
    <col min="2" max="2" width="12.7109375" customWidth="1"/>
    <col min="3" max="3" width="2.7109375" customWidth="1"/>
    <col min="4" max="13" width="10.7109375" customWidth="1"/>
    <col min="14" max="14" width="11.42578125" customWidth="1"/>
    <col min="15" max="24" width="10.7109375" customWidth="1"/>
    <col min="25" max="25" width="2.7109375" customWidth="1"/>
    <col min="26" max="36" width="10.7109375" customWidth="1"/>
    <col min="37" max="37" width="2.7109375" customWidth="1"/>
    <col min="38" max="48" width="10.7109375" customWidth="1"/>
    <col min="49" max="49" width="2.7109375" customWidth="1"/>
    <col min="50" max="52" width="20.7109375" customWidth="1"/>
  </cols>
  <sheetData>
    <row r="2" spans="2:52" ht="50.1" customHeight="1" x14ac:dyDescent="0.25">
      <c r="B2" s="260" t="s">
        <v>0</v>
      </c>
      <c r="D2" s="263" t="s">
        <v>89</v>
      </c>
      <c r="E2" s="264"/>
      <c r="F2" s="264"/>
      <c r="G2" s="264"/>
      <c r="H2" s="264"/>
      <c r="I2" s="264"/>
      <c r="J2" s="264"/>
      <c r="K2" s="264"/>
      <c r="L2" s="264"/>
      <c r="M2" s="265"/>
      <c r="N2" s="258" t="s">
        <v>8</v>
      </c>
      <c r="O2" s="261" t="s">
        <v>26</v>
      </c>
      <c r="P2" s="261"/>
      <c r="Q2" s="261"/>
      <c r="R2" s="261"/>
      <c r="S2" s="261"/>
      <c r="T2" s="261"/>
      <c r="U2" s="261"/>
      <c r="V2" s="261"/>
      <c r="W2" s="261"/>
      <c r="X2" s="261"/>
      <c r="Z2" s="260" t="s">
        <v>0</v>
      </c>
      <c r="AA2" s="261" t="s">
        <v>14</v>
      </c>
      <c r="AB2" s="261"/>
      <c r="AC2" s="261"/>
      <c r="AD2" s="261"/>
      <c r="AE2" s="261"/>
      <c r="AF2" s="261"/>
      <c r="AG2" s="261"/>
      <c r="AH2" s="261"/>
      <c r="AI2" s="261"/>
      <c r="AJ2" s="261"/>
      <c r="AL2" s="260" t="s">
        <v>0</v>
      </c>
      <c r="AM2" s="258" t="s">
        <v>138</v>
      </c>
      <c r="AN2" s="259"/>
      <c r="AO2" s="259"/>
      <c r="AP2" s="259"/>
      <c r="AQ2" s="259"/>
      <c r="AR2" s="259"/>
      <c r="AS2" s="259"/>
      <c r="AT2" s="259"/>
      <c r="AU2" s="259"/>
      <c r="AV2" s="259"/>
      <c r="AX2" s="262" t="s">
        <v>39</v>
      </c>
      <c r="AY2" s="262"/>
      <c r="AZ2" s="262"/>
    </row>
    <row r="3" spans="2:52" ht="110.1" customHeight="1" x14ac:dyDescent="0.25">
      <c r="B3" s="260"/>
      <c r="C3" s="2"/>
      <c r="D3" s="144" t="s">
        <v>3</v>
      </c>
      <c r="E3" s="145" t="s">
        <v>4</v>
      </c>
      <c r="F3" s="146" t="s">
        <v>5</v>
      </c>
      <c r="G3" s="147" t="s">
        <v>6</v>
      </c>
      <c r="H3" s="148" t="s">
        <v>98</v>
      </c>
      <c r="I3" s="181" t="s">
        <v>133</v>
      </c>
      <c r="J3" s="182" t="s">
        <v>134</v>
      </c>
      <c r="K3" s="183" t="s">
        <v>135</v>
      </c>
      <c r="L3" s="184" t="s">
        <v>136</v>
      </c>
      <c r="M3" s="185" t="s">
        <v>137</v>
      </c>
      <c r="N3" s="258"/>
      <c r="O3" s="5" t="s">
        <v>3</v>
      </c>
      <c r="P3" s="6" t="s">
        <v>4</v>
      </c>
      <c r="Q3" s="7" t="s">
        <v>5</v>
      </c>
      <c r="R3" s="8" t="s">
        <v>6</v>
      </c>
      <c r="S3" s="9" t="s">
        <v>7</v>
      </c>
      <c r="T3" s="181" t="s">
        <v>133</v>
      </c>
      <c r="U3" s="182" t="s">
        <v>134</v>
      </c>
      <c r="V3" s="183" t="s">
        <v>135</v>
      </c>
      <c r="W3" s="184" t="s">
        <v>136</v>
      </c>
      <c r="X3" s="185" t="s">
        <v>137</v>
      </c>
      <c r="Z3" s="260"/>
      <c r="AA3" s="5" t="s">
        <v>3</v>
      </c>
      <c r="AB3" s="6" t="s">
        <v>4</v>
      </c>
      <c r="AC3" s="7" t="s">
        <v>5</v>
      </c>
      <c r="AD3" s="8" t="s">
        <v>6</v>
      </c>
      <c r="AE3" s="9" t="s">
        <v>7</v>
      </c>
      <c r="AF3" s="181" t="s">
        <v>133</v>
      </c>
      <c r="AG3" s="182" t="s">
        <v>134</v>
      </c>
      <c r="AH3" s="183" t="s">
        <v>135</v>
      </c>
      <c r="AI3" s="184" t="s">
        <v>136</v>
      </c>
      <c r="AJ3" s="185" t="s">
        <v>137</v>
      </c>
      <c r="AL3" s="260"/>
      <c r="AM3" s="5" t="s">
        <v>3</v>
      </c>
      <c r="AN3" s="6" t="s">
        <v>4</v>
      </c>
      <c r="AO3" s="7" t="s">
        <v>5</v>
      </c>
      <c r="AP3" s="8" t="s">
        <v>6</v>
      </c>
      <c r="AQ3" s="9" t="s">
        <v>7</v>
      </c>
      <c r="AR3" s="181" t="s">
        <v>133</v>
      </c>
      <c r="AS3" s="182" t="s">
        <v>134</v>
      </c>
      <c r="AT3" s="183" t="s">
        <v>135</v>
      </c>
      <c r="AU3" s="184" t="s">
        <v>136</v>
      </c>
      <c r="AV3" s="185" t="s">
        <v>137</v>
      </c>
      <c r="AX3" s="19" t="s">
        <v>141</v>
      </c>
      <c r="AY3" s="19" t="s">
        <v>140</v>
      </c>
      <c r="AZ3" s="193" t="s">
        <v>142</v>
      </c>
    </row>
    <row r="4" spans="2:52" x14ac:dyDescent="0.25">
      <c r="B4" s="3">
        <v>53</v>
      </c>
      <c r="C4" s="2"/>
      <c r="D4" s="10" t="s">
        <v>2</v>
      </c>
      <c r="E4" s="11">
        <v>80000</v>
      </c>
      <c r="F4" s="11">
        <v>60000</v>
      </c>
      <c r="G4" s="10" t="s">
        <v>2</v>
      </c>
      <c r="H4" s="10" t="s">
        <v>2</v>
      </c>
      <c r="I4" s="10" t="s">
        <v>2</v>
      </c>
      <c r="J4" s="10" t="s">
        <v>2</v>
      </c>
      <c r="K4" s="10" t="s">
        <v>2</v>
      </c>
      <c r="L4" s="10" t="s">
        <v>2</v>
      </c>
      <c r="M4" s="10" t="s">
        <v>2</v>
      </c>
      <c r="N4" s="34">
        <v>250</v>
      </c>
      <c r="O4" s="10" t="s">
        <v>2</v>
      </c>
      <c r="P4" s="11">
        <f t="shared" ref="P4:Q11" si="0">E4/$N4</f>
        <v>320</v>
      </c>
      <c r="Q4" s="11">
        <f t="shared" si="0"/>
        <v>240</v>
      </c>
      <c r="R4" s="10" t="s">
        <v>2</v>
      </c>
      <c r="S4" s="10" t="s">
        <v>2</v>
      </c>
      <c r="T4" s="10" t="s">
        <v>2</v>
      </c>
      <c r="U4" s="10" t="s">
        <v>2</v>
      </c>
      <c r="V4" s="10" t="s">
        <v>2</v>
      </c>
      <c r="W4" s="10" t="s">
        <v>2</v>
      </c>
      <c r="X4" s="10" t="s">
        <v>2</v>
      </c>
      <c r="Z4" s="3">
        <v>53</v>
      </c>
      <c r="AA4" s="40" t="s">
        <v>2</v>
      </c>
      <c r="AB4" s="41">
        <f t="shared" ref="AB4:AC11" si="1">AB31*AB58*AB85*$AY4</f>
        <v>125</v>
      </c>
      <c r="AC4" s="41">
        <f t="shared" si="1"/>
        <v>250</v>
      </c>
      <c r="AD4" s="40" t="s">
        <v>2</v>
      </c>
      <c r="AE4" s="40" t="s">
        <v>2</v>
      </c>
      <c r="AF4" s="40" t="s">
        <v>2</v>
      </c>
      <c r="AG4" s="40" t="s">
        <v>2</v>
      </c>
      <c r="AH4" s="40" t="s">
        <v>2</v>
      </c>
      <c r="AI4" s="40" t="s">
        <v>2</v>
      </c>
      <c r="AJ4" s="40" t="s">
        <v>2</v>
      </c>
      <c r="AL4" s="3">
        <v>53</v>
      </c>
      <c r="AM4" s="14" t="s">
        <v>2</v>
      </c>
      <c r="AN4" s="194">
        <v>0</v>
      </c>
      <c r="AO4" s="195">
        <v>0</v>
      </c>
      <c r="AP4" s="14" t="s">
        <v>2</v>
      </c>
      <c r="AQ4" s="14" t="s">
        <v>2</v>
      </c>
      <c r="AR4" s="14" t="s">
        <v>2</v>
      </c>
      <c r="AS4" s="14" t="s">
        <v>2</v>
      </c>
      <c r="AT4" s="14" t="s">
        <v>2</v>
      </c>
      <c r="AU4" s="14" t="s">
        <v>2</v>
      </c>
      <c r="AV4" s="14" t="s">
        <v>2</v>
      </c>
      <c r="AX4" s="102">
        <v>0.75</v>
      </c>
      <c r="AY4" s="102">
        <v>0.5</v>
      </c>
      <c r="AZ4" s="102">
        <v>0.5</v>
      </c>
    </row>
    <row r="5" spans="2:52" x14ac:dyDescent="0.25">
      <c r="B5" s="3">
        <v>54</v>
      </c>
      <c r="C5" s="2"/>
      <c r="D5" s="10" t="s">
        <v>2</v>
      </c>
      <c r="E5" s="11">
        <v>80000</v>
      </c>
      <c r="F5" s="11">
        <v>60000</v>
      </c>
      <c r="G5" s="10" t="s">
        <v>2</v>
      </c>
      <c r="H5" s="10" t="s">
        <v>2</v>
      </c>
      <c r="I5" s="10" t="s">
        <v>2</v>
      </c>
      <c r="J5" s="10" t="s">
        <v>2</v>
      </c>
      <c r="K5" s="10" t="s">
        <v>2</v>
      </c>
      <c r="L5" s="10" t="s">
        <v>2</v>
      </c>
      <c r="M5" s="10" t="s">
        <v>2</v>
      </c>
      <c r="N5" s="34">
        <v>250</v>
      </c>
      <c r="O5" s="10" t="s">
        <v>2</v>
      </c>
      <c r="P5" s="11">
        <f t="shared" si="0"/>
        <v>320</v>
      </c>
      <c r="Q5" s="11">
        <f t="shared" si="0"/>
        <v>240</v>
      </c>
      <c r="R5" s="10" t="s">
        <v>2</v>
      </c>
      <c r="S5" s="10" t="s">
        <v>2</v>
      </c>
      <c r="T5" s="10" t="s">
        <v>2</v>
      </c>
      <c r="U5" s="10" t="s">
        <v>2</v>
      </c>
      <c r="V5" s="10" t="s">
        <v>2</v>
      </c>
      <c r="W5" s="10" t="s">
        <v>2</v>
      </c>
      <c r="X5" s="10" t="s">
        <v>2</v>
      </c>
      <c r="Z5" s="3">
        <v>54</v>
      </c>
      <c r="AA5" s="40" t="s">
        <v>2</v>
      </c>
      <c r="AB5" s="41">
        <f t="shared" si="1"/>
        <v>125</v>
      </c>
      <c r="AC5" s="41">
        <f t="shared" si="1"/>
        <v>250</v>
      </c>
      <c r="AD5" s="40" t="s">
        <v>2</v>
      </c>
      <c r="AE5" s="40" t="s">
        <v>2</v>
      </c>
      <c r="AF5" s="40" t="s">
        <v>2</v>
      </c>
      <c r="AG5" s="40" t="s">
        <v>2</v>
      </c>
      <c r="AH5" s="40" t="s">
        <v>2</v>
      </c>
      <c r="AI5" s="40" t="s">
        <v>2</v>
      </c>
      <c r="AJ5" s="40" t="s">
        <v>2</v>
      </c>
      <c r="AL5" s="3">
        <v>54</v>
      </c>
      <c r="AM5" s="14" t="s">
        <v>2</v>
      </c>
      <c r="AN5" s="194">
        <v>0</v>
      </c>
      <c r="AO5" s="195">
        <v>0</v>
      </c>
      <c r="AP5" s="14" t="s">
        <v>2</v>
      </c>
      <c r="AQ5" s="14" t="s">
        <v>2</v>
      </c>
      <c r="AR5" s="14" t="s">
        <v>2</v>
      </c>
      <c r="AS5" s="14" t="s">
        <v>2</v>
      </c>
      <c r="AT5" s="14" t="s">
        <v>2</v>
      </c>
      <c r="AU5" s="14" t="s">
        <v>2</v>
      </c>
      <c r="AV5" s="14" t="s">
        <v>2</v>
      </c>
      <c r="AX5" s="102">
        <v>0.75</v>
      </c>
      <c r="AY5" s="102">
        <v>0.5</v>
      </c>
      <c r="AZ5" s="102">
        <v>0.5</v>
      </c>
    </row>
    <row r="6" spans="2:52" x14ac:dyDescent="0.25">
      <c r="B6" s="4" t="s">
        <v>1</v>
      </c>
      <c r="C6" s="1"/>
      <c r="D6" s="10" t="s">
        <v>2</v>
      </c>
      <c r="E6" s="11">
        <v>80000</v>
      </c>
      <c r="F6" s="11">
        <v>60000</v>
      </c>
      <c r="G6" s="10" t="s">
        <v>2</v>
      </c>
      <c r="H6" s="10" t="s">
        <v>2</v>
      </c>
      <c r="I6" s="10" t="s">
        <v>2</v>
      </c>
      <c r="J6" s="10" t="s">
        <v>2</v>
      </c>
      <c r="K6" s="10" t="s">
        <v>2</v>
      </c>
      <c r="L6" s="10" t="s">
        <v>2</v>
      </c>
      <c r="M6" s="10" t="s">
        <v>2</v>
      </c>
      <c r="N6" s="34">
        <v>250</v>
      </c>
      <c r="O6" s="10" t="s">
        <v>2</v>
      </c>
      <c r="P6" s="11">
        <f t="shared" si="0"/>
        <v>320</v>
      </c>
      <c r="Q6" s="11">
        <f t="shared" si="0"/>
        <v>240</v>
      </c>
      <c r="R6" s="10" t="s">
        <v>2</v>
      </c>
      <c r="S6" s="10" t="s">
        <v>2</v>
      </c>
      <c r="T6" s="10" t="s">
        <v>2</v>
      </c>
      <c r="U6" s="10" t="s">
        <v>2</v>
      </c>
      <c r="V6" s="10" t="s">
        <v>2</v>
      </c>
      <c r="W6" s="10" t="s">
        <v>2</v>
      </c>
      <c r="X6" s="10" t="s">
        <v>2</v>
      </c>
      <c r="Z6" s="4" t="s">
        <v>1</v>
      </c>
      <c r="AA6" s="40" t="s">
        <v>2</v>
      </c>
      <c r="AB6" s="41">
        <f t="shared" si="1"/>
        <v>125</v>
      </c>
      <c r="AC6" s="41">
        <f t="shared" si="1"/>
        <v>250</v>
      </c>
      <c r="AD6" s="40" t="s">
        <v>2</v>
      </c>
      <c r="AE6" s="40" t="s">
        <v>2</v>
      </c>
      <c r="AF6" s="40" t="s">
        <v>2</v>
      </c>
      <c r="AG6" s="40" t="s">
        <v>2</v>
      </c>
      <c r="AH6" s="40" t="s">
        <v>2</v>
      </c>
      <c r="AI6" s="40" t="s">
        <v>2</v>
      </c>
      <c r="AJ6" s="40" t="s">
        <v>2</v>
      </c>
      <c r="AL6" s="4" t="s">
        <v>1</v>
      </c>
      <c r="AM6" s="14" t="s">
        <v>2</v>
      </c>
      <c r="AN6" s="196">
        <f t="shared" ref="AN6:AN15" si="2">0.67/2</f>
        <v>0.33500000000000002</v>
      </c>
      <c r="AO6" s="196">
        <v>0</v>
      </c>
      <c r="AP6" s="14" t="s">
        <v>2</v>
      </c>
      <c r="AQ6" s="14" t="s">
        <v>2</v>
      </c>
      <c r="AR6" s="14" t="s">
        <v>2</v>
      </c>
      <c r="AS6" s="14" t="s">
        <v>2</v>
      </c>
      <c r="AT6" s="14" t="s">
        <v>2</v>
      </c>
      <c r="AU6" s="14" t="s">
        <v>2</v>
      </c>
      <c r="AV6" s="14" t="s">
        <v>2</v>
      </c>
      <c r="AX6" s="102">
        <v>0.75</v>
      </c>
      <c r="AY6" s="102">
        <v>0.5</v>
      </c>
      <c r="AZ6" s="102">
        <v>0.5</v>
      </c>
    </row>
    <row r="7" spans="2:52" x14ac:dyDescent="0.25">
      <c r="B7" s="4">
        <v>1</v>
      </c>
      <c r="C7" s="1"/>
      <c r="D7" s="10" t="s">
        <v>2</v>
      </c>
      <c r="E7" s="11">
        <v>80000</v>
      </c>
      <c r="F7" s="11">
        <v>60000</v>
      </c>
      <c r="G7" s="10" t="s">
        <v>2</v>
      </c>
      <c r="H7" s="10" t="s">
        <v>2</v>
      </c>
      <c r="I7" s="10" t="s">
        <v>2</v>
      </c>
      <c r="J7" s="10" t="s">
        <v>2</v>
      </c>
      <c r="K7" s="10" t="s">
        <v>2</v>
      </c>
      <c r="L7" s="10" t="s">
        <v>2</v>
      </c>
      <c r="M7" s="10" t="s">
        <v>2</v>
      </c>
      <c r="N7" s="34">
        <v>250</v>
      </c>
      <c r="O7" s="10" t="s">
        <v>2</v>
      </c>
      <c r="P7" s="11">
        <f t="shared" si="0"/>
        <v>320</v>
      </c>
      <c r="Q7" s="11">
        <f t="shared" si="0"/>
        <v>240</v>
      </c>
      <c r="R7" s="10" t="s">
        <v>2</v>
      </c>
      <c r="S7" s="10" t="s">
        <v>2</v>
      </c>
      <c r="T7" s="10" t="s">
        <v>2</v>
      </c>
      <c r="U7" s="10" t="s">
        <v>2</v>
      </c>
      <c r="V7" s="10" t="s">
        <v>2</v>
      </c>
      <c r="W7" s="10" t="s">
        <v>2</v>
      </c>
      <c r="X7" s="10" t="s">
        <v>2</v>
      </c>
      <c r="Z7" s="4">
        <v>1</v>
      </c>
      <c r="AA7" s="40" t="s">
        <v>2</v>
      </c>
      <c r="AB7" s="41">
        <f t="shared" si="1"/>
        <v>125</v>
      </c>
      <c r="AC7" s="41">
        <f t="shared" si="1"/>
        <v>250</v>
      </c>
      <c r="AD7" s="40" t="s">
        <v>2</v>
      </c>
      <c r="AE7" s="40" t="s">
        <v>2</v>
      </c>
      <c r="AF7" s="40" t="s">
        <v>2</v>
      </c>
      <c r="AG7" s="40" t="s">
        <v>2</v>
      </c>
      <c r="AH7" s="40" t="s">
        <v>2</v>
      </c>
      <c r="AI7" s="40" t="s">
        <v>2</v>
      </c>
      <c r="AJ7" s="40" t="s">
        <v>2</v>
      </c>
      <c r="AL7" s="4">
        <v>1</v>
      </c>
      <c r="AM7" s="14" t="s">
        <v>2</v>
      </c>
      <c r="AN7" s="196">
        <f t="shared" si="2"/>
        <v>0.33500000000000002</v>
      </c>
      <c r="AO7" s="196">
        <v>0</v>
      </c>
      <c r="AP7" s="14" t="s">
        <v>2</v>
      </c>
      <c r="AQ7" s="14" t="s">
        <v>2</v>
      </c>
      <c r="AR7" s="14" t="s">
        <v>2</v>
      </c>
      <c r="AS7" s="14" t="s">
        <v>2</v>
      </c>
      <c r="AT7" s="14" t="s">
        <v>2</v>
      </c>
      <c r="AU7" s="14" t="s">
        <v>2</v>
      </c>
      <c r="AV7" s="14" t="s">
        <v>2</v>
      </c>
      <c r="AX7" s="102">
        <v>0.75</v>
      </c>
      <c r="AY7" s="102">
        <v>0.5</v>
      </c>
      <c r="AZ7" s="102">
        <v>0.5</v>
      </c>
    </row>
    <row r="8" spans="2:52" x14ac:dyDescent="0.25">
      <c r="B8" s="4">
        <v>2</v>
      </c>
      <c r="C8" s="1"/>
      <c r="D8" s="11">
        <v>120000</v>
      </c>
      <c r="E8" s="11">
        <v>80000</v>
      </c>
      <c r="F8" s="11">
        <v>60000</v>
      </c>
      <c r="G8" s="10" t="s">
        <v>2</v>
      </c>
      <c r="H8" s="10" t="s">
        <v>2</v>
      </c>
      <c r="I8" s="10" t="s">
        <v>2</v>
      </c>
      <c r="J8" s="10" t="s">
        <v>2</v>
      </c>
      <c r="K8" s="10" t="s">
        <v>2</v>
      </c>
      <c r="L8" s="10" t="s">
        <v>2</v>
      </c>
      <c r="M8" s="10" t="s">
        <v>2</v>
      </c>
      <c r="N8" s="34">
        <v>250</v>
      </c>
      <c r="O8" s="11">
        <f>D8/$N8</f>
        <v>480</v>
      </c>
      <c r="P8" s="11">
        <f t="shared" si="0"/>
        <v>320</v>
      </c>
      <c r="Q8" s="11">
        <f t="shared" si="0"/>
        <v>240</v>
      </c>
      <c r="R8" s="10" t="s">
        <v>2</v>
      </c>
      <c r="S8" s="10" t="s">
        <v>2</v>
      </c>
      <c r="T8" s="10" t="s">
        <v>2</v>
      </c>
      <c r="U8" s="10" t="s">
        <v>2</v>
      </c>
      <c r="V8" s="10" t="s">
        <v>2</v>
      </c>
      <c r="W8" s="10" t="s">
        <v>2</v>
      </c>
      <c r="X8" s="10" t="s">
        <v>2</v>
      </c>
      <c r="Z8" s="4">
        <v>2</v>
      </c>
      <c r="AA8" s="41">
        <f>AA35*AA62*AA89*$AY8</f>
        <v>125</v>
      </c>
      <c r="AB8" s="41">
        <f t="shared" si="1"/>
        <v>125</v>
      </c>
      <c r="AC8" s="41">
        <f t="shared" si="1"/>
        <v>250</v>
      </c>
      <c r="AD8" s="40" t="s">
        <v>2</v>
      </c>
      <c r="AE8" s="40" t="s">
        <v>2</v>
      </c>
      <c r="AF8" s="40" t="s">
        <v>2</v>
      </c>
      <c r="AG8" s="40" t="s">
        <v>2</v>
      </c>
      <c r="AH8" s="40" t="s">
        <v>2</v>
      </c>
      <c r="AI8" s="40" t="s">
        <v>2</v>
      </c>
      <c r="AJ8" s="40" t="s">
        <v>2</v>
      </c>
      <c r="AL8" s="4">
        <v>2</v>
      </c>
      <c r="AM8" s="196">
        <f>0.5*1</f>
        <v>0.5</v>
      </c>
      <c r="AN8" s="196">
        <f t="shared" si="2"/>
        <v>0.33500000000000002</v>
      </c>
      <c r="AO8" s="196">
        <v>0</v>
      </c>
      <c r="AP8" s="14" t="s">
        <v>2</v>
      </c>
      <c r="AQ8" s="14" t="s">
        <v>2</v>
      </c>
      <c r="AR8" s="14" t="s">
        <v>2</v>
      </c>
      <c r="AS8" s="14" t="s">
        <v>2</v>
      </c>
      <c r="AT8" s="14" t="s">
        <v>2</v>
      </c>
      <c r="AU8" s="14" t="s">
        <v>2</v>
      </c>
      <c r="AV8" s="14" t="s">
        <v>2</v>
      </c>
      <c r="AX8" s="102">
        <v>0.75</v>
      </c>
      <c r="AY8" s="102">
        <v>0.5</v>
      </c>
      <c r="AZ8" s="102">
        <v>0.5</v>
      </c>
    </row>
    <row r="9" spans="2:52" x14ac:dyDescent="0.25">
      <c r="B9" s="4">
        <v>3</v>
      </c>
      <c r="C9" s="1"/>
      <c r="D9" s="10" t="s">
        <v>2</v>
      </c>
      <c r="E9" s="11">
        <v>80000</v>
      </c>
      <c r="F9" s="11">
        <v>60000</v>
      </c>
      <c r="G9" s="10" t="s">
        <v>2</v>
      </c>
      <c r="H9" s="10" t="s">
        <v>2</v>
      </c>
      <c r="I9" s="10" t="s">
        <v>2</v>
      </c>
      <c r="J9" s="10" t="s">
        <v>2</v>
      </c>
      <c r="K9" s="10" t="s">
        <v>2</v>
      </c>
      <c r="L9" s="10" t="s">
        <v>2</v>
      </c>
      <c r="M9" s="10" t="s">
        <v>2</v>
      </c>
      <c r="N9" s="34">
        <v>250</v>
      </c>
      <c r="O9" s="10" t="s">
        <v>2</v>
      </c>
      <c r="P9" s="11">
        <f t="shared" si="0"/>
        <v>320</v>
      </c>
      <c r="Q9" s="11">
        <f t="shared" si="0"/>
        <v>240</v>
      </c>
      <c r="R9" s="10" t="s">
        <v>2</v>
      </c>
      <c r="S9" s="10" t="s">
        <v>2</v>
      </c>
      <c r="T9" s="10" t="s">
        <v>2</v>
      </c>
      <c r="U9" s="10" t="s">
        <v>2</v>
      </c>
      <c r="V9" s="10" t="s">
        <v>2</v>
      </c>
      <c r="W9" s="10" t="s">
        <v>2</v>
      </c>
      <c r="X9" s="10" t="s">
        <v>2</v>
      </c>
      <c r="Z9" s="4">
        <v>3</v>
      </c>
      <c r="AA9" s="40" t="s">
        <v>2</v>
      </c>
      <c r="AB9" s="41">
        <f t="shared" si="1"/>
        <v>125</v>
      </c>
      <c r="AC9" s="41">
        <f t="shared" si="1"/>
        <v>250</v>
      </c>
      <c r="AD9" s="40" t="s">
        <v>2</v>
      </c>
      <c r="AE9" s="40" t="s">
        <v>2</v>
      </c>
      <c r="AF9" s="40" t="s">
        <v>2</v>
      </c>
      <c r="AG9" s="40" t="s">
        <v>2</v>
      </c>
      <c r="AH9" s="40" t="s">
        <v>2</v>
      </c>
      <c r="AI9" s="40" t="s">
        <v>2</v>
      </c>
      <c r="AJ9" s="40" t="s">
        <v>2</v>
      </c>
      <c r="AL9" s="4">
        <v>3</v>
      </c>
      <c r="AM9" s="14" t="s">
        <v>2</v>
      </c>
      <c r="AN9" s="196">
        <f t="shared" si="2"/>
        <v>0.33500000000000002</v>
      </c>
      <c r="AO9" s="196">
        <v>0</v>
      </c>
      <c r="AP9" s="14" t="s">
        <v>2</v>
      </c>
      <c r="AQ9" s="14" t="s">
        <v>2</v>
      </c>
      <c r="AR9" s="14" t="s">
        <v>2</v>
      </c>
      <c r="AS9" s="14" t="s">
        <v>2</v>
      </c>
      <c r="AT9" s="14" t="s">
        <v>2</v>
      </c>
      <c r="AU9" s="14" t="s">
        <v>2</v>
      </c>
      <c r="AV9" s="14" t="s">
        <v>2</v>
      </c>
      <c r="AX9" s="102">
        <v>0.75</v>
      </c>
      <c r="AY9" s="102">
        <v>0.5</v>
      </c>
      <c r="AZ9" s="102">
        <v>0.5</v>
      </c>
    </row>
    <row r="10" spans="2:52" x14ac:dyDescent="0.25">
      <c r="B10" s="4">
        <v>4</v>
      </c>
      <c r="C10" s="1"/>
      <c r="D10" s="11">
        <v>120000</v>
      </c>
      <c r="E10" s="11">
        <v>80000</v>
      </c>
      <c r="F10" s="11">
        <v>60000</v>
      </c>
      <c r="G10" s="11">
        <v>25000</v>
      </c>
      <c r="H10" s="11">
        <v>60000</v>
      </c>
      <c r="I10" s="10" t="s">
        <v>2</v>
      </c>
      <c r="J10" s="10" t="s">
        <v>2</v>
      </c>
      <c r="K10" s="10" t="s">
        <v>2</v>
      </c>
      <c r="L10" s="10" t="s">
        <v>2</v>
      </c>
      <c r="M10" s="10" t="s">
        <v>2</v>
      </c>
      <c r="N10" s="34">
        <v>250</v>
      </c>
      <c r="O10" s="11">
        <f t="shared" ref="O10:O15" si="3">D10/$N10</f>
        <v>480</v>
      </c>
      <c r="P10" s="11">
        <f t="shared" si="0"/>
        <v>320</v>
      </c>
      <c r="Q10" s="11">
        <f t="shared" si="0"/>
        <v>240</v>
      </c>
      <c r="R10" s="11">
        <f>G10/$N10</f>
        <v>100</v>
      </c>
      <c r="S10" s="11">
        <f>H10/$N10</f>
        <v>240</v>
      </c>
      <c r="T10" s="10" t="s">
        <v>2</v>
      </c>
      <c r="U10" s="10" t="s">
        <v>2</v>
      </c>
      <c r="V10" s="10" t="s">
        <v>2</v>
      </c>
      <c r="W10" s="10" t="s">
        <v>2</v>
      </c>
      <c r="X10" s="10" t="s">
        <v>2</v>
      </c>
      <c r="Z10" s="4">
        <v>4</v>
      </c>
      <c r="AA10" s="41">
        <f t="shared" ref="AA10:AA15" si="4">AA37*AA64*AA91*$AY10</f>
        <v>125</v>
      </c>
      <c r="AB10" s="41">
        <f t="shared" si="1"/>
        <v>125</v>
      </c>
      <c r="AC10" s="41">
        <f t="shared" si="1"/>
        <v>250</v>
      </c>
      <c r="AD10" s="41">
        <f>AD37*AD64*AD91*$AY10</f>
        <v>150</v>
      </c>
      <c r="AE10" s="41">
        <f>AE37*AE64*AE91*$AY10</f>
        <v>50</v>
      </c>
      <c r="AF10" s="40" t="s">
        <v>2</v>
      </c>
      <c r="AG10" s="40" t="s">
        <v>2</v>
      </c>
      <c r="AH10" s="40" t="s">
        <v>2</v>
      </c>
      <c r="AI10" s="40" t="s">
        <v>2</v>
      </c>
      <c r="AJ10" s="40" t="s">
        <v>2</v>
      </c>
      <c r="AL10" s="4">
        <v>4</v>
      </c>
      <c r="AM10" s="196">
        <f t="shared" ref="AM10:AM15" si="5">0.5*1</f>
        <v>0.5</v>
      </c>
      <c r="AN10" s="196">
        <f t="shared" si="2"/>
        <v>0.33500000000000002</v>
      </c>
      <c r="AO10" s="196">
        <v>0</v>
      </c>
      <c r="AP10" s="196">
        <v>0</v>
      </c>
      <c r="AQ10" s="196">
        <v>0</v>
      </c>
      <c r="AR10" s="14" t="s">
        <v>2</v>
      </c>
      <c r="AS10" s="14" t="s">
        <v>2</v>
      </c>
      <c r="AT10" s="14" t="s">
        <v>2</v>
      </c>
      <c r="AU10" s="14" t="s">
        <v>2</v>
      </c>
      <c r="AV10" s="14" t="s">
        <v>2</v>
      </c>
      <c r="AX10" s="102">
        <v>0.75</v>
      </c>
      <c r="AY10" s="102">
        <v>0.5</v>
      </c>
      <c r="AZ10" s="102">
        <v>0.5</v>
      </c>
    </row>
    <row r="11" spans="2:52" x14ac:dyDescent="0.25">
      <c r="B11" s="4">
        <v>5</v>
      </c>
      <c r="C11" s="1"/>
      <c r="D11" s="11">
        <v>120000</v>
      </c>
      <c r="E11" s="11">
        <v>80000</v>
      </c>
      <c r="F11" s="11">
        <v>60000</v>
      </c>
      <c r="G11" s="10" t="s">
        <v>2</v>
      </c>
      <c r="H11" s="11">
        <v>60000</v>
      </c>
      <c r="I11" s="10" t="s">
        <v>2</v>
      </c>
      <c r="J11" s="10" t="s">
        <v>2</v>
      </c>
      <c r="K11" s="10" t="s">
        <v>2</v>
      </c>
      <c r="L11" s="10" t="s">
        <v>2</v>
      </c>
      <c r="M11" s="10" t="s">
        <v>2</v>
      </c>
      <c r="N11" s="34">
        <v>250</v>
      </c>
      <c r="O11" s="11">
        <f t="shared" si="3"/>
        <v>480</v>
      </c>
      <c r="P11" s="11">
        <f t="shared" si="0"/>
        <v>320</v>
      </c>
      <c r="Q11" s="11">
        <f t="shared" si="0"/>
        <v>240</v>
      </c>
      <c r="R11" s="10" t="s">
        <v>2</v>
      </c>
      <c r="S11" s="11">
        <f t="shared" ref="S11:S16" si="6">H11/$N11</f>
        <v>240</v>
      </c>
      <c r="T11" s="10" t="s">
        <v>2</v>
      </c>
      <c r="U11" s="10" t="s">
        <v>2</v>
      </c>
      <c r="V11" s="10" t="s">
        <v>2</v>
      </c>
      <c r="W11" s="10" t="s">
        <v>2</v>
      </c>
      <c r="X11" s="10" t="s">
        <v>2</v>
      </c>
      <c r="Z11" s="4">
        <v>5</v>
      </c>
      <c r="AA11" s="41">
        <f t="shared" si="4"/>
        <v>125</v>
      </c>
      <c r="AB11" s="41">
        <f t="shared" si="1"/>
        <v>125</v>
      </c>
      <c r="AC11" s="41">
        <f t="shared" si="1"/>
        <v>250</v>
      </c>
      <c r="AD11" s="40" t="s">
        <v>2</v>
      </c>
      <c r="AE11" s="41">
        <f t="shared" ref="AE11:AE16" si="7">AE38*AE65*AE92*$AY11</f>
        <v>50</v>
      </c>
      <c r="AF11" s="40" t="s">
        <v>2</v>
      </c>
      <c r="AG11" s="40" t="s">
        <v>2</v>
      </c>
      <c r="AH11" s="40" t="s">
        <v>2</v>
      </c>
      <c r="AI11" s="40" t="s">
        <v>2</v>
      </c>
      <c r="AJ11" s="40" t="s">
        <v>2</v>
      </c>
      <c r="AL11" s="4">
        <v>5</v>
      </c>
      <c r="AM11" s="196">
        <f t="shared" si="5"/>
        <v>0.5</v>
      </c>
      <c r="AN11" s="196">
        <f t="shared" si="2"/>
        <v>0.33500000000000002</v>
      </c>
      <c r="AO11" s="196">
        <v>0</v>
      </c>
      <c r="AP11" s="14" t="s">
        <v>2</v>
      </c>
      <c r="AQ11" s="196">
        <v>0</v>
      </c>
      <c r="AR11" s="14" t="s">
        <v>2</v>
      </c>
      <c r="AS11" s="14" t="s">
        <v>2</v>
      </c>
      <c r="AT11" s="14" t="s">
        <v>2</v>
      </c>
      <c r="AU11" s="14" t="s">
        <v>2</v>
      </c>
      <c r="AV11" s="14" t="s">
        <v>2</v>
      </c>
      <c r="AX11" s="102">
        <v>0.75</v>
      </c>
      <c r="AY11" s="102">
        <v>0.5</v>
      </c>
      <c r="AZ11" s="102">
        <v>0.5</v>
      </c>
    </row>
    <row r="12" spans="2:52" x14ac:dyDescent="0.25">
      <c r="B12" s="4">
        <v>9</v>
      </c>
      <c r="C12" s="1"/>
      <c r="D12" s="11">
        <v>120000</v>
      </c>
      <c r="E12" s="11">
        <v>80000</v>
      </c>
      <c r="F12" s="10" t="s">
        <v>2</v>
      </c>
      <c r="G12" s="11">
        <v>25000</v>
      </c>
      <c r="H12" s="11">
        <v>60000</v>
      </c>
      <c r="I12" s="10" t="s">
        <v>2</v>
      </c>
      <c r="J12" s="10" t="s">
        <v>2</v>
      </c>
      <c r="K12" s="10" t="s">
        <v>2</v>
      </c>
      <c r="L12" s="10" t="s">
        <v>2</v>
      </c>
      <c r="M12" s="10" t="s">
        <v>2</v>
      </c>
      <c r="N12" s="34">
        <v>250</v>
      </c>
      <c r="O12" s="11">
        <f t="shared" si="3"/>
        <v>480</v>
      </c>
      <c r="P12" s="11">
        <f>E12/$N12</f>
        <v>320</v>
      </c>
      <c r="Q12" s="10" t="s">
        <v>2</v>
      </c>
      <c r="R12" s="11">
        <f>G12/$N12</f>
        <v>100</v>
      </c>
      <c r="S12" s="11">
        <f t="shared" si="6"/>
        <v>240</v>
      </c>
      <c r="T12" s="10" t="s">
        <v>2</v>
      </c>
      <c r="U12" s="10" t="s">
        <v>2</v>
      </c>
      <c r="V12" s="10" t="s">
        <v>2</v>
      </c>
      <c r="W12" s="10" t="s">
        <v>2</v>
      </c>
      <c r="X12" s="10" t="s">
        <v>2</v>
      </c>
      <c r="Z12" s="4">
        <v>9</v>
      </c>
      <c r="AA12" s="41">
        <f t="shared" si="4"/>
        <v>125</v>
      </c>
      <c r="AB12" s="41">
        <f>AB39*AB66*AB93*$AY12</f>
        <v>125</v>
      </c>
      <c r="AC12" s="40" t="s">
        <v>2</v>
      </c>
      <c r="AD12" s="41">
        <f>AD39*AD66*AD93*$AY12</f>
        <v>150</v>
      </c>
      <c r="AE12" s="41">
        <f t="shared" si="7"/>
        <v>50</v>
      </c>
      <c r="AF12" s="40" t="s">
        <v>2</v>
      </c>
      <c r="AG12" s="40" t="s">
        <v>2</v>
      </c>
      <c r="AH12" s="40" t="s">
        <v>2</v>
      </c>
      <c r="AI12" s="40" t="s">
        <v>2</v>
      </c>
      <c r="AJ12" s="40" t="s">
        <v>2</v>
      </c>
      <c r="AL12" s="4">
        <v>9</v>
      </c>
      <c r="AM12" s="196">
        <f t="shared" si="5"/>
        <v>0.5</v>
      </c>
      <c r="AN12" s="196">
        <f t="shared" si="2"/>
        <v>0.33500000000000002</v>
      </c>
      <c r="AO12" s="14" t="s">
        <v>2</v>
      </c>
      <c r="AP12" s="196">
        <v>0</v>
      </c>
      <c r="AQ12" s="196">
        <v>0</v>
      </c>
      <c r="AR12" s="14" t="s">
        <v>2</v>
      </c>
      <c r="AS12" s="14" t="s">
        <v>2</v>
      </c>
      <c r="AT12" s="14" t="s">
        <v>2</v>
      </c>
      <c r="AU12" s="14" t="s">
        <v>2</v>
      </c>
      <c r="AV12" s="14" t="s">
        <v>2</v>
      </c>
      <c r="AX12" s="102">
        <v>0.75</v>
      </c>
      <c r="AY12" s="102">
        <v>0.5</v>
      </c>
      <c r="AZ12" s="102">
        <v>0.5</v>
      </c>
    </row>
    <row r="13" spans="2:52" x14ac:dyDescent="0.25">
      <c r="B13" s="4">
        <v>10</v>
      </c>
      <c r="C13" s="1"/>
      <c r="D13" s="11">
        <v>120000</v>
      </c>
      <c r="E13" s="11">
        <v>80000</v>
      </c>
      <c r="F13" s="10" t="s">
        <v>2</v>
      </c>
      <c r="G13" s="10" t="s">
        <v>2</v>
      </c>
      <c r="H13" s="11">
        <v>60000</v>
      </c>
      <c r="I13" s="10" t="s">
        <v>2</v>
      </c>
      <c r="J13" s="10" t="s">
        <v>2</v>
      </c>
      <c r="K13" s="10" t="s">
        <v>2</v>
      </c>
      <c r="L13" s="10" t="s">
        <v>2</v>
      </c>
      <c r="M13" s="10" t="s">
        <v>2</v>
      </c>
      <c r="N13" s="34">
        <v>250</v>
      </c>
      <c r="O13" s="11">
        <f t="shared" si="3"/>
        <v>480</v>
      </c>
      <c r="P13" s="11">
        <f>E13/$N13</f>
        <v>320</v>
      </c>
      <c r="Q13" s="10" t="s">
        <v>2</v>
      </c>
      <c r="R13" s="10" t="s">
        <v>2</v>
      </c>
      <c r="S13" s="11">
        <f t="shared" si="6"/>
        <v>240</v>
      </c>
      <c r="T13" s="10" t="s">
        <v>2</v>
      </c>
      <c r="U13" s="10" t="s">
        <v>2</v>
      </c>
      <c r="V13" s="10" t="s">
        <v>2</v>
      </c>
      <c r="W13" s="10" t="s">
        <v>2</v>
      </c>
      <c r="X13" s="10" t="s">
        <v>2</v>
      </c>
      <c r="Z13" s="4">
        <v>10</v>
      </c>
      <c r="AA13" s="41">
        <f t="shared" si="4"/>
        <v>125</v>
      </c>
      <c r="AB13" s="41">
        <f>AB40*AB67*AB94*$AY13</f>
        <v>125</v>
      </c>
      <c r="AC13" s="40" t="s">
        <v>2</v>
      </c>
      <c r="AD13" s="40" t="s">
        <v>2</v>
      </c>
      <c r="AE13" s="41">
        <f t="shared" si="7"/>
        <v>50</v>
      </c>
      <c r="AF13" s="40" t="s">
        <v>2</v>
      </c>
      <c r="AG13" s="40" t="s">
        <v>2</v>
      </c>
      <c r="AH13" s="40" t="s">
        <v>2</v>
      </c>
      <c r="AI13" s="40" t="s">
        <v>2</v>
      </c>
      <c r="AJ13" s="40" t="s">
        <v>2</v>
      </c>
      <c r="AL13" s="4">
        <v>10</v>
      </c>
      <c r="AM13" s="196">
        <f t="shared" si="5"/>
        <v>0.5</v>
      </c>
      <c r="AN13" s="196">
        <f t="shared" si="2"/>
        <v>0.33500000000000002</v>
      </c>
      <c r="AO13" s="14" t="s">
        <v>2</v>
      </c>
      <c r="AP13" s="14" t="s">
        <v>2</v>
      </c>
      <c r="AQ13" s="196">
        <v>0</v>
      </c>
      <c r="AR13" s="14" t="s">
        <v>2</v>
      </c>
      <c r="AS13" s="14" t="s">
        <v>2</v>
      </c>
      <c r="AT13" s="14" t="s">
        <v>2</v>
      </c>
      <c r="AU13" s="14" t="s">
        <v>2</v>
      </c>
      <c r="AV13" s="14" t="s">
        <v>2</v>
      </c>
      <c r="AX13" s="102">
        <v>0.75</v>
      </c>
      <c r="AY13" s="102">
        <v>0.5</v>
      </c>
      <c r="AZ13" s="102">
        <v>0.5</v>
      </c>
    </row>
    <row r="14" spans="2:52" x14ac:dyDescent="0.25">
      <c r="B14" s="4">
        <v>11</v>
      </c>
      <c r="C14" s="1"/>
      <c r="D14" s="11">
        <v>120000</v>
      </c>
      <c r="E14" s="11">
        <v>80000</v>
      </c>
      <c r="F14" s="10" t="s">
        <v>2</v>
      </c>
      <c r="G14" s="11">
        <v>25000</v>
      </c>
      <c r="H14" s="11">
        <v>60000</v>
      </c>
      <c r="I14" s="10" t="s">
        <v>2</v>
      </c>
      <c r="J14" s="10" t="s">
        <v>2</v>
      </c>
      <c r="K14" s="10" t="s">
        <v>2</v>
      </c>
      <c r="L14" s="10" t="s">
        <v>2</v>
      </c>
      <c r="M14" s="10" t="s">
        <v>2</v>
      </c>
      <c r="N14" s="34">
        <v>250</v>
      </c>
      <c r="O14" s="11">
        <f t="shared" si="3"/>
        <v>480</v>
      </c>
      <c r="P14" s="11">
        <f>E14/$N14</f>
        <v>320</v>
      </c>
      <c r="Q14" s="10" t="s">
        <v>2</v>
      </c>
      <c r="R14" s="11">
        <f>G14/$N14</f>
        <v>100</v>
      </c>
      <c r="S14" s="11">
        <f t="shared" si="6"/>
        <v>240</v>
      </c>
      <c r="T14" s="10" t="s">
        <v>2</v>
      </c>
      <c r="U14" s="10" t="s">
        <v>2</v>
      </c>
      <c r="V14" s="10" t="s">
        <v>2</v>
      </c>
      <c r="W14" s="10" t="s">
        <v>2</v>
      </c>
      <c r="X14" s="10" t="s">
        <v>2</v>
      </c>
      <c r="Z14" s="4">
        <v>11</v>
      </c>
      <c r="AA14" s="41">
        <f t="shared" si="4"/>
        <v>125</v>
      </c>
      <c r="AB14" s="41">
        <f>AB41*AB68*AB95*$AY14</f>
        <v>125</v>
      </c>
      <c r="AC14" s="40" t="s">
        <v>2</v>
      </c>
      <c r="AD14" s="41">
        <f>AD41*AD68*AD95*$AY14</f>
        <v>150</v>
      </c>
      <c r="AE14" s="41">
        <f t="shared" si="7"/>
        <v>50</v>
      </c>
      <c r="AF14" s="40" t="s">
        <v>2</v>
      </c>
      <c r="AG14" s="40" t="s">
        <v>2</v>
      </c>
      <c r="AH14" s="40" t="s">
        <v>2</v>
      </c>
      <c r="AI14" s="40" t="s">
        <v>2</v>
      </c>
      <c r="AJ14" s="40" t="s">
        <v>2</v>
      </c>
      <c r="AL14" s="4">
        <v>11</v>
      </c>
      <c r="AM14" s="196">
        <f t="shared" si="5"/>
        <v>0.5</v>
      </c>
      <c r="AN14" s="196">
        <f t="shared" si="2"/>
        <v>0.33500000000000002</v>
      </c>
      <c r="AO14" s="14" t="s">
        <v>2</v>
      </c>
      <c r="AP14" s="196">
        <v>0</v>
      </c>
      <c r="AQ14" s="196">
        <v>0</v>
      </c>
      <c r="AR14" s="14" t="s">
        <v>2</v>
      </c>
      <c r="AS14" s="14" t="s">
        <v>2</v>
      </c>
      <c r="AT14" s="14" t="s">
        <v>2</v>
      </c>
      <c r="AU14" s="14" t="s">
        <v>2</v>
      </c>
      <c r="AV14" s="14" t="s">
        <v>2</v>
      </c>
      <c r="AX14" s="102">
        <v>0.75</v>
      </c>
      <c r="AY14" s="102">
        <v>0.5</v>
      </c>
      <c r="AZ14" s="102">
        <v>0.5</v>
      </c>
    </row>
    <row r="15" spans="2:52" x14ac:dyDescent="0.25">
      <c r="B15" s="4">
        <v>12</v>
      </c>
      <c r="C15" s="1"/>
      <c r="D15" s="11">
        <v>120000</v>
      </c>
      <c r="E15" s="11">
        <v>80000</v>
      </c>
      <c r="F15" s="10" t="s">
        <v>2</v>
      </c>
      <c r="G15" s="10" t="s">
        <v>2</v>
      </c>
      <c r="H15" s="11">
        <v>60000</v>
      </c>
      <c r="I15" s="10" t="s">
        <v>2</v>
      </c>
      <c r="J15" s="10" t="s">
        <v>2</v>
      </c>
      <c r="K15" s="10" t="s">
        <v>2</v>
      </c>
      <c r="L15" s="10" t="s">
        <v>2</v>
      </c>
      <c r="M15" s="10" t="s">
        <v>2</v>
      </c>
      <c r="N15" s="34">
        <v>250</v>
      </c>
      <c r="O15" s="11">
        <f t="shared" si="3"/>
        <v>480</v>
      </c>
      <c r="P15" s="11">
        <f>E15/$N15</f>
        <v>320</v>
      </c>
      <c r="Q15" s="10" t="s">
        <v>2</v>
      </c>
      <c r="R15" s="10" t="s">
        <v>2</v>
      </c>
      <c r="S15" s="11">
        <f t="shared" si="6"/>
        <v>240</v>
      </c>
      <c r="T15" s="10" t="s">
        <v>2</v>
      </c>
      <c r="U15" s="10" t="s">
        <v>2</v>
      </c>
      <c r="V15" s="10" t="s">
        <v>2</v>
      </c>
      <c r="W15" s="10" t="s">
        <v>2</v>
      </c>
      <c r="X15" s="10" t="s">
        <v>2</v>
      </c>
      <c r="Z15" s="4">
        <v>12</v>
      </c>
      <c r="AA15" s="41">
        <f t="shared" si="4"/>
        <v>125</v>
      </c>
      <c r="AB15" s="41">
        <f>AB42*AB69*AB96*$AY15</f>
        <v>125</v>
      </c>
      <c r="AC15" s="40" t="s">
        <v>2</v>
      </c>
      <c r="AD15" s="40" t="s">
        <v>2</v>
      </c>
      <c r="AE15" s="41">
        <f t="shared" si="7"/>
        <v>50</v>
      </c>
      <c r="AF15" s="40" t="s">
        <v>2</v>
      </c>
      <c r="AG15" s="40" t="s">
        <v>2</v>
      </c>
      <c r="AH15" s="40" t="s">
        <v>2</v>
      </c>
      <c r="AI15" s="40" t="s">
        <v>2</v>
      </c>
      <c r="AJ15" s="40" t="s">
        <v>2</v>
      </c>
      <c r="AL15" s="4">
        <v>12</v>
      </c>
      <c r="AM15" s="196">
        <f t="shared" si="5"/>
        <v>0.5</v>
      </c>
      <c r="AN15" s="196">
        <f t="shared" si="2"/>
        <v>0.33500000000000002</v>
      </c>
      <c r="AO15" s="14" t="s">
        <v>2</v>
      </c>
      <c r="AP15" s="14" t="s">
        <v>2</v>
      </c>
      <c r="AQ15" s="196">
        <v>0</v>
      </c>
      <c r="AR15" s="14" t="s">
        <v>2</v>
      </c>
      <c r="AS15" s="14" t="s">
        <v>2</v>
      </c>
      <c r="AT15" s="14" t="s">
        <v>2</v>
      </c>
      <c r="AU15" s="14" t="s">
        <v>2</v>
      </c>
      <c r="AV15" s="14" t="s">
        <v>2</v>
      </c>
      <c r="AX15" s="102">
        <v>0.75</v>
      </c>
      <c r="AY15" s="102">
        <v>0.5</v>
      </c>
      <c r="AZ15" s="102">
        <v>0.5</v>
      </c>
    </row>
    <row r="16" spans="2:52" x14ac:dyDescent="0.25">
      <c r="B16" s="4">
        <v>16</v>
      </c>
      <c r="C16" s="1"/>
      <c r="D16" s="10" t="s">
        <v>2</v>
      </c>
      <c r="E16" s="10" t="s">
        <v>2</v>
      </c>
      <c r="F16" s="10" t="s">
        <v>2</v>
      </c>
      <c r="G16" s="10" t="s">
        <v>2</v>
      </c>
      <c r="H16" s="11">
        <v>60000</v>
      </c>
      <c r="I16" s="10" t="s">
        <v>2</v>
      </c>
      <c r="J16" s="10" t="s">
        <v>2</v>
      </c>
      <c r="K16" s="10" t="s">
        <v>2</v>
      </c>
      <c r="L16" s="10" t="s">
        <v>2</v>
      </c>
      <c r="M16" s="10" t="s">
        <v>2</v>
      </c>
      <c r="N16" s="34">
        <v>250</v>
      </c>
      <c r="O16" s="10" t="s">
        <v>2</v>
      </c>
      <c r="P16" s="10" t="s">
        <v>2</v>
      </c>
      <c r="Q16" s="10" t="s">
        <v>2</v>
      </c>
      <c r="R16" s="10" t="s">
        <v>2</v>
      </c>
      <c r="S16" s="11">
        <f t="shared" si="6"/>
        <v>240</v>
      </c>
      <c r="T16" s="10" t="s">
        <v>2</v>
      </c>
      <c r="U16" s="10" t="s">
        <v>2</v>
      </c>
      <c r="V16" s="10" t="s">
        <v>2</v>
      </c>
      <c r="W16" s="10" t="s">
        <v>2</v>
      </c>
      <c r="X16" s="10" t="s">
        <v>2</v>
      </c>
      <c r="Z16" s="4">
        <v>16</v>
      </c>
      <c r="AA16" s="40" t="s">
        <v>2</v>
      </c>
      <c r="AB16" s="40" t="s">
        <v>2</v>
      </c>
      <c r="AC16" s="40" t="s">
        <v>2</v>
      </c>
      <c r="AD16" s="40" t="s">
        <v>2</v>
      </c>
      <c r="AE16" s="41">
        <f t="shared" si="7"/>
        <v>50</v>
      </c>
      <c r="AF16" s="40" t="s">
        <v>2</v>
      </c>
      <c r="AG16" s="40" t="s">
        <v>2</v>
      </c>
      <c r="AH16" s="40" t="s">
        <v>2</v>
      </c>
      <c r="AI16" s="40" t="s">
        <v>2</v>
      </c>
      <c r="AJ16" s="40" t="s">
        <v>2</v>
      </c>
      <c r="AL16" s="4">
        <v>16</v>
      </c>
      <c r="AM16" s="14" t="s">
        <v>2</v>
      </c>
      <c r="AN16" s="14" t="s">
        <v>2</v>
      </c>
      <c r="AO16" s="14" t="s">
        <v>2</v>
      </c>
      <c r="AP16" s="14" t="s">
        <v>2</v>
      </c>
      <c r="AQ16" s="196">
        <v>0</v>
      </c>
      <c r="AR16" s="14" t="s">
        <v>2</v>
      </c>
      <c r="AS16" s="14" t="s">
        <v>2</v>
      </c>
      <c r="AT16" s="14" t="s">
        <v>2</v>
      </c>
      <c r="AU16" s="14" t="s">
        <v>2</v>
      </c>
      <c r="AV16" s="14" t="s">
        <v>2</v>
      </c>
      <c r="AX16" s="102">
        <v>0.75</v>
      </c>
      <c r="AY16" s="102">
        <v>0.5</v>
      </c>
      <c r="AZ16" s="102">
        <v>0.5</v>
      </c>
    </row>
    <row r="17" spans="2:52" x14ac:dyDescent="0.25">
      <c r="B17" s="186">
        <v>31</v>
      </c>
      <c r="D17" s="10" t="s">
        <v>2</v>
      </c>
      <c r="E17" s="10" t="s">
        <v>2</v>
      </c>
      <c r="F17" s="10" t="s">
        <v>2</v>
      </c>
      <c r="G17" s="10" t="s">
        <v>2</v>
      </c>
      <c r="H17" s="10" t="s">
        <v>2</v>
      </c>
      <c r="I17" s="11">
        <v>60000</v>
      </c>
      <c r="J17" s="11">
        <v>60000</v>
      </c>
      <c r="K17" s="11">
        <v>60000</v>
      </c>
      <c r="L17" s="11">
        <v>80000</v>
      </c>
      <c r="M17" s="10" t="s">
        <v>2</v>
      </c>
      <c r="N17" s="34">
        <v>250</v>
      </c>
      <c r="O17" s="10" t="s">
        <v>2</v>
      </c>
      <c r="P17" s="10" t="s">
        <v>2</v>
      </c>
      <c r="Q17" s="10" t="s">
        <v>2</v>
      </c>
      <c r="R17" s="10" t="s">
        <v>2</v>
      </c>
      <c r="S17" s="10" t="s">
        <v>2</v>
      </c>
      <c r="T17" s="11">
        <f>I17/$N17</f>
        <v>240</v>
      </c>
      <c r="U17" s="11">
        <f>J17/$N17</f>
        <v>240</v>
      </c>
      <c r="V17" s="11">
        <f>K17/$N17</f>
        <v>240</v>
      </c>
      <c r="W17" s="11">
        <f>L17/$N17</f>
        <v>320</v>
      </c>
      <c r="X17" s="10" t="s">
        <v>2</v>
      </c>
      <c r="Z17" s="186">
        <v>31</v>
      </c>
      <c r="AA17" s="40" t="s">
        <v>2</v>
      </c>
      <c r="AB17" s="40" t="s">
        <v>2</v>
      </c>
      <c r="AC17" s="40" t="s">
        <v>2</v>
      </c>
      <c r="AD17" s="40" t="s">
        <v>2</v>
      </c>
      <c r="AE17" s="40" t="s">
        <v>2</v>
      </c>
      <c r="AF17" s="41">
        <f>AF44*AF71*AF98*$AY17</f>
        <v>675</v>
      </c>
      <c r="AG17" s="41">
        <f>AG44*AG71*AG98*$AY17</f>
        <v>675</v>
      </c>
      <c r="AH17" s="41">
        <f>AH44*AH71*AH98*$AY17</f>
        <v>675</v>
      </c>
      <c r="AI17" s="41">
        <f>AI44*AI71*AI98*$AY17</f>
        <v>225</v>
      </c>
      <c r="AJ17" s="40" t="s">
        <v>2</v>
      </c>
      <c r="AL17" s="186">
        <v>31</v>
      </c>
      <c r="AM17" s="14" t="s">
        <v>2</v>
      </c>
      <c r="AN17" s="14" t="s">
        <v>2</v>
      </c>
      <c r="AO17" s="14" t="s">
        <v>2</v>
      </c>
      <c r="AP17" s="14" t="s">
        <v>2</v>
      </c>
      <c r="AQ17" s="14" t="s">
        <v>2</v>
      </c>
      <c r="AR17" s="222">
        <v>0.3</v>
      </c>
      <c r="AS17" s="222">
        <v>0.3</v>
      </c>
      <c r="AT17" s="222">
        <v>0.3</v>
      </c>
      <c r="AU17" s="222">
        <v>0.3</v>
      </c>
      <c r="AV17" s="14" t="s">
        <v>2</v>
      </c>
      <c r="AX17" s="102">
        <v>0.9</v>
      </c>
      <c r="AY17" s="102">
        <v>0.9</v>
      </c>
      <c r="AZ17" s="102">
        <v>0.5</v>
      </c>
    </row>
    <row r="18" spans="2:52" ht="15.75" customHeight="1" x14ac:dyDescent="0.25">
      <c r="B18" s="187">
        <v>32</v>
      </c>
      <c r="D18" s="10" t="s">
        <v>2</v>
      </c>
      <c r="E18" s="10" t="s">
        <v>2</v>
      </c>
      <c r="F18" s="10" t="s">
        <v>2</v>
      </c>
      <c r="G18" s="10" t="s">
        <v>2</v>
      </c>
      <c r="H18" s="10" t="s">
        <v>2</v>
      </c>
      <c r="I18" s="10" t="s">
        <v>2</v>
      </c>
      <c r="J18" s="10" t="s">
        <v>2</v>
      </c>
      <c r="K18" s="10" t="s">
        <v>2</v>
      </c>
      <c r="L18" s="11">
        <v>80000</v>
      </c>
      <c r="M18" s="11">
        <v>100000</v>
      </c>
      <c r="N18" s="34">
        <v>250</v>
      </c>
      <c r="O18" s="10" t="s">
        <v>2</v>
      </c>
      <c r="P18" s="10" t="s">
        <v>2</v>
      </c>
      <c r="Q18" s="10" t="s">
        <v>2</v>
      </c>
      <c r="R18" s="10" t="s">
        <v>2</v>
      </c>
      <c r="S18" s="10" t="s">
        <v>2</v>
      </c>
      <c r="T18" s="10" t="s">
        <v>2</v>
      </c>
      <c r="U18" s="10" t="s">
        <v>2</v>
      </c>
      <c r="V18" s="10" t="s">
        <v>2</v>
      </c>
      <c r="W18" s="11">
        <f t="shared" ref="W18" si="8">L18/$N18</f>
        <v>320</v>
      </c>
      <c r="X18" s="11">
        <f>M18/$N18</f>
        <v>400</v>
      </c>
      <c r="Z18" s="187">
        <v>32</v>
      </c>
      <c r="AA18" s="40" t="s">
        <v>2</v>
      </c>
      <c r="AB18" s="40" t="s">
        <v>2</v>
      </c>
      <c r="AC18" s="40" t="s">
        <v>2</v>
      </c>
      <c r="AD18" s="40" t="s">
        <v>2</v>
      </c>
      <c r="AE18" s="40" t="s">
        <v>2</v>
      </c>
      <c r="AF18" s="40" t="s">
        <v>2</v>
      </c>
      <c r="AG18" s="40" t="s">
        <v>2</v>
      </c>
      <c r="AH18" s="40" t="s">
        <v>2</v>
      </c>
      <c r="AI18" s="41">
        <f>AI45*AI72*AI99*$AY18</f>
        <v>125</v>
      </c>
      <c r="AJ18" s="41">
        <f>AJ45*AJ72*AJ99*$AY18</f>
        <v>225</v>
      </c>
      <c r="AL18" s="187">
        <v>32</v>
      </c>
      <c r="AM18" s="14" t="s">
        <v>2</v>
      </c>
      <c r="AN18" s="14" t="s">
        <v>2</v>
      </c>
      <c r="AO18" s="14" t="s">
        <v>2</v>
      </c>
      <c r="AP18" s="14" t="s">
        <v>2</v>
      </c>
      <c r="AQ18" s="14" t="s">
        <v>2</v>
      </c>
      <c r="AR18" s="14" t="s">
        <v>2</v>
      </c>
      <c r="AS18" s="14" t="s">
        <v>2</v>
      </c>
      <c r="AT18" s="14" t="s">
        <v>2</v>
      </c>
      <c r="AU18" s="222">
        <v>0.3</v>
      </c>
      <c r="AV18" s="222">
        <v>0.3</v>
      </c>
      <c r="AX18" s="102">
        <v>0.9</v>
      </c>
      <c r="AY18" s="102">
        <v>0.5</v>
      </c>
      <c r="AZ18" s="102">
        <v>0.5</v>
      </c>
    </row>
    <row r="19" spans="2:52" ht="15" customHeight="1" x14ac:dyDescent="0.25">
      <c r="B19" s="186">
        <v>33</v>
      </c>
      <c r="D19" s="10" t="s">
        <v>2</v>
      </c>
      <c r="E19" s="10" t="s">
        <v>2</v>
      </c>
      <c r="F19" s="10" t="s">
        <v>2</v>
      </c>
      <c r="G19" s="10" t="s">
        <v>2</v>
      </c>
      <c r="H19" s="10" t="s">
        <v>2</v>
      </c>
      <c r="I19" s="11">
        <v>60000</v>
      </c>
      <c r="J19" s="11">
        <v>60000</v>
      </c>
      <c r="K19" s="11">
        <v>60000</v>
      </c>
      <c r="L19" s="11">
        <v>80000</v>
      </c>
      <c r="M19" s="10" t="s">
        <v>2</v>
      </c>
      <c r="N19" s="34">
        <v>250</v>
      </c>
      <c r="O19" s="10" t="s">
        <v>2</v>
      </c>
      <c r="P19" s="10" t="s">
        <v>2</v>
      </c>
      <c r="Q19" s="10" t="s">
        <v>2</v>
      </c>
      <c r="R19" s="10" t="s">
        <v>2</v>
      </c>
      <c r="S19" s="10" t="s">
        <v>2</v>
      </c>
      <c r="T19" s="11">
        <f>I19/$N19</f>
        <v>240</v>
      </c>
      <c r="U19" s="11">
        <f>J19/$N19</f>
        <v>240</v>
      </c>
      <c r="V19" s="11">
        <f>K19/$N19</f>
        <v>240</v>
      </c>
      <c r="W19" s="11">
        <f>L19/$N19</f>
        <v>320</v>
      </c>
      <c r="X19" s="10" t="s">
        <v>2</v>
      </c>
      <c r="Z19" s="186">
        <v>33</v>
      </c>
      <c r="AA19" s="40" t="s">
        <v>2</v>
      </c>
      <c r="AB19" s="40" t="s">
        <v>2</v>
      </c>
      <c r="AC19" s="40" t="s">
        <v>2</v>
      </c>
      <c r="AD19" s="40" t="s">
        <v>2</v>
      </c>
      <c r="AE19" s="40" t="s">
        <v>2</v>
      </c>
      <c r="AF19" s="41">
        <f>AF46*AF73*AF100*$AY19</f>
        <v>675</v>
      </c>
      <c r="AG19" s="41">
        <f>AG46*AG73*AG100*$AY19</f>
        <v>675</v>
      </c>
      <c r="AH19" s="41">
        <f>AH46*AH73*AH100*$AY19</f>
        <v>675</v>
      </c>
      <c r="AI19" s="41">
        <f>AI46*AI73*AI100*$AY19</f>
        <v>225</v>
      </c>
      <c r="AJ19" s="40" t="s">
        <v>2</v>
      </c>
      <c r="AL19" s="186">
        <v>33</v>
      </c>
      <c r="AM19" s="14" t="s">
        <v>2</v>
      </c>
      <c r="AN19" s="14" t="s">
        <v>2</v>
      </c>
      <c r="AO19" s="14" t="s">
        <v>2</v>
      </c>
      <c r="AP19" s="14" t="s">
        <v>2</v>
      </c>
      <c r="AQ19" s="14" t="s">
        <v>2</v>
      </c>
      <c r="AR19" s="222">
        <v>0.3</v>
      </c>
      <c r="AS19" s="222">
        <v>0.3</v>
      </c>
      <c r="AT19" s="222">
        <v>0.3</v>
      </c>
      <c r="AU19" s="222">
        <v>0.3</v>
      </c>
      <c r="AV19" s="14" t="s">
        <v>2</v>
      </c>
      <c r="AX19" s="102">
        <v>0.9</v>
      </c>
      <c r="AY19" s="102">
        <v>0.9</v>
      </c>
      <c r="AZ19" s="102">
        <v>0.5</v>
      </c>
    </row>
    <row r="20" spans="2:52" x14ac:dyDescent="0.25">
      <c r="B20" s="187">
        <v>34</v>
      </c>
      <c r="D20" s="10" t="s">
        <v>2</v>
      </c>
      <c r="E20" s="10" t="s">
        <v>2</v>
      </c>
      <c r="F20" s="10" t="s">
        <v>2</v>
      </c>
      <c r="G20" s="10" t="s">
        <v>2</v>
      </c>
      <c r="H20" s="10" t="s">
        <v>2</v>
      </c>
      <c r="I20" s="10" t="s">
        <v>2</v>
      </c>
      <c r="J20" s="10" t="s">
        <v>2</v>
      </c>
      <c r="K20" s="10" t="s">
        <v>2</v>
      </c>
      <c r="L20" s="11">
        <v>80000</v>
      </c>
      <c r="M20" s="11">
        <v>100000</v>
      </c>
      <c r="N20" s="34">
        <v>250</v>
      </c>
      <c r="O20" s="10" t="s">
        <v>2</v>
      </c>
      <c r="P20" s="10" t="s">
        <v>2</v>
      </c>
      <c r="Q20" s="10" t="s">
        <v>2</v>
      </c>
      <c r="R20" s="10" t="s">
        <v>2</v>
      </c>
      <c r="S20" s="10" t="s">
        <v>2</v>
      </c>
      <c r="T20" s="10" t="s">
        <v>2</v>
      </c>
      <c r="U20" s="10" t="s">
        <v>2</v>
      </c>
      <c r="V20" s="10" t="s">
        <v>2</v>
      </c>
      <c r="W20" s="11">
        <f t="shared" ref="W20" si="9">L20/$N20</f>
        <v>320</v>
      </c>
      <c r="X20" s="11">
        <f>M20/$N20</f>
        <v>400</v>
      </c>
      <c r="Z20" s="187">
        <v>34</v>
      </c>
      <c r="AA20" s="40" t="s">
        <v>2</v>
      </c>
      <c r="AB20" s="40" t="s">
        <v>2</v>
      </c>
      <c r="AC20" s="40" t="s">
        <v>2</v>
      </c>
      <c r="AD20" s="40" t="s">
        <v>2</v>
      </c>
      <c r="AE20" s="40" t="s">
        <v>2</v>
      </c>
      <c r="AF20" s="40" t="s">
        <v>2</v>
      </c>
      <c r="AG20" s="40" t="s">
        <v>2</v>
      </c>
      <c r="AH20" s="40" t="s">
        <v>2</v>
      </c>
      <c r="AI20" s="41">
        <f>AI47*AI74*AI101*$AY20</f>
        <v>125</v>
      </c>
      <c r="AJ20" s="41">
        <f>AJ47*AJ74*AJ101*$AY20</f>
        <v>225</v>
      </c>
      <c r="AL20" s="187">
        <v>34</v>
      </c>
      <c r="AM20" s="14" t="s">
        <v>2</v>
      </c>
      <c r="AN20" s="14" t="s">
        <v>2</v>
      </c>
      <c r="AO20" s="14" t="s">
        <v>2</v>
      </c>
      <c r="AP20" s="14" t="s">
        <v>2</v>
      </c>
      <c r="AQ20" s="14" t="s">
        <v>2</v>
      </c>
      <c r="AR20" s="14" t="s">
        <v>2</v>
      </c>
      <c r="AS20" s="14" t="s">
        <v>2</v>
      </c>
      <c r="AT20" s="14" t="s">
        <v>2</v>
      </c>
      <c r="AU20" s="222">
        <v>0.3</v>
      </c>
      <c r="AV20" s="222">
        <v>0.3</v>
      </c>
      <c r="AX20" s="102">
        <v>0.9</v>
      </c>
      <c r="AY20" s="102">
        <v>0.5</v>
      </c>
      <c r="AZ20" s="102">
        <v>0.5</v>
      </c>
    </row>
    <row r="21" spans="2:52" x14ac:dyDescent="0.25">
      <c r="B21" s="186">
        <v>35</v>
      </c>
      <c r="D21" s="10" t="s">
        <v>2</v>
      </c>
      <c r="E21" s="10" t="s">
        <v>2</v>
      </c>
      <c r="F21" s="10" t="s">
        <v>2</v>
      </c>
      <c r="G21" s="10" t="s">
        <v>2</v>
      </c>
      <c r="H21" s="10" t="s">
        <v>2</v>
      </c>
      <c r="I21" s="11">
        <v>60000</v>
      </c>
      <c r="J21" s="11">
        <v>60000</v>
      </c>
      <c r="K21" s="11">
        <v>60000</v>
      </c>
      <c r="L21" s="11">
        <v>80000</v>
      </c>
      <c r="M21" s="10" t="s">
        <v>2</v>
      </c>
      <c r="N21" s="34">
        <v>250</v>
      </c>
      <c r="O21" s="10" t="s">
        <v>2</v>
      </c>
      <c r="P21" s="10" t="s">
        <v>2</v>
      </c>
      <c r="Q21" s="10" t="s">
        <v>2</v>
      </c>
      <c r="R21" s="10" t="s">
        <v>2</v>
      </c>
      <c r="S21" s="10" t="s">
        <v>2</v>
      </c>
      <c r="T21" s="11">
        <f>I21/$N21</f>
        <v>240</v>
      </c>
      <c r="U21" s="11">
        <f>J21/$N21</f>
        <v>240</v>
      </c>
      <c r="V21" s="11">
        <f>K21/$N21</f>
        <v>240</v>
      </c>
      <c r="W21" s="11">
        <f>L21/$N21</f>
        <v>320</v>
      </c>
      <c r="X21" s="10" t="s">
        <v>2</v>
      </c>
      <c r="Z21" s="186">
        <v>35</v>
      </c>
      <c r="AA21" s="40" t="s">
        <v>2</v>
      </c>
      <c r="AB21" s="40" t="s">
        <v>2</v>
      </c>
      <c r="AC21" s="40" t="s">
        <v>2</v>
      </c>
      <c r="AD21" s="40" t="s">
        <v>2</v>
      </c>
      <c r="AE21" s="40" t="s">
        <v>2</v>
      </c>
      <c r="AF21" s="41">
        <f>AF48*AF75*AF102*$AY21</f>
        <v>675</v>
      </c>
      <c r="AG21" s="41">
        <f>AG48*AG75*AG102*$AY21</f>
        <v>675</v>
      </c>
      <c r="AH21" s="41">
        <f>AH48*AH75*AH102*$AY21</f>
        <v>675</v>
      </c>
      <c r="AI21" s="41">
        <f>AI48*AI75*AI102*$AY21</f>
        <v>225</v>
      </c>
      <c r="AJ21" s="40" t="s">
        <v>2</v>
      </c>
      <c r="AL21" s="186">
        <v>35</v>
      </c>
      <c r="AM21" s="14" t="s">
        <v>2</v>
      </c>
      <c r="AN21" s="14" t="s">
        <v>2</v>
      </c>
      <c r="AO21" s="14" t="s">
        <v>2</v>
      </c>
      <c r="AP21" s="14" t="s">
        <v>2</v>
      </c>
      <c r="AQ21" s="14" t="s">
        <v>2</v>
      </c>
      <c r="AR21" s="222">
        <v>0.3</v>
      </c>
      <c r="AS21" s="222">
        <v>0.3</v>
      </c>
      <c r="AT21" s="222">
        <v>0.3</v>
      </c>
      <c r="AU21" s="222">
        <v>0.3</v>
      </c>
      <c r="AV21" s="14" t="s">
        <v>2</v>
      </c>
      <c r="AX21" s="102">
        <v>0.9</v>
      </c>
      <c r="AY21" s="102">
        <v>0.9</v>
      </c>
      <c r="AZ21" s="102">
        <v>0.5</v>
      </c>
    </row>
    <row r="22" spans="2:52" x14ac:dyDescent="0.25">
      <c r="B22" s="187">
        <v>36</v>
      </c>
      <c r="D22" s="10" t="s">
        <v>2</v>
      </c>
      <c r="E22" s="10" t="s">
        <v>2</v>
      </c>
      <c r="F22" s="10" t="s">
        <v>2</v>
      </c>
      <c r="G22" s="10" t="s">
        <v>2</v>
      </c>
      <c r="H22" s="10" t="s">
        <v>2</v>
      </c>
      <c r="I22" s="10" t="s">
        <v>2</v>
      </c>
      <c r="J22" s="10" t="s">
        <v>2</v>
      </c>
      <c r="K22" s="10" t="s">
        <v>2</v>
      </c>
      <c r="L22" s="11">
        <v>80000</v>
      </c>
      <c r="M22" s="11">
        <v>100000</v>
      </c>
      <c r="N22" s="34">
        <v>250</v>
      </c>
      <c r="O22" s="10" t="s">
        <v>2</v>
      </c>
      <c r="P22" s="10" t="s">
        <v>2</v>
      </c>
      <c r="Q22" s="10" t="s">
        <v>2</v>
      </c>
      <c r="R22" s="10" t="s">
        <v>2</v>
      </c>
      <c r="S22" s="10" t="s">
        <v>2</v>
      </c>
      <c r="T22" s="10" t="s">
        <v>2</v>
      </c>
      <c r="U22" s="10" t="s">
        <v>2</v>
      </c>
      <c r="V22" s="10" t="s">
        <v>2</v>
      </c>
      <c r="W22" s="11">
        <f t="shared" ref="W22" si="10">L22/$N22</f>
        <v>320</v>
      </c>
      <c r="X22" s="11">
        <f>M22/$N22</f>
        <v>400</v>
      </c>
      <c r="Z22" s="187">
        <v>36</v>
      </c>
      <c r="AA22" s="40" t="s">
        <v>2</v>
      </c>
      <c r="AB22" s="40" t="s">
        <v>2</v>
      </c>
      <c r="AC22" s="40" t="s">
        <v>2</v>
      </c>
      <c r="AD22" s="40" t="s">
        <v>2</v>
      </c>
      <c r="AE22" s="40" t="s">
        <v>2</v>
      </c>
      <c r="AF22" s="40" t="s">
        <v>2</v>
      </c>
      <c r="AG22" s="40" t="s">
        <v>2</v>
      </c>
      <c r="AH22" s="40" t="s">
        <v>2</v>
      </c>
      <c r="AI22" s="41">
        <f>AI49*AI76*AI103*$AY22</f>
        <v>125</v>
      </c>
      <c r="AJ22" s="41">
        <f>AJ49*AJ76*AJ103*$AY22</f>
        <v>225</v>
      </c>
      <c r="AL22" s="187">
        <v>36</v>
      </c>
      <c r="AM22" s="14" t="s">
        <v>2</v>
      </c>
      <c r="AN22" s="14" t="s">
        <v>2</v>
      </c>
      <c r="AO22" s="14" t="s">
        <v>2</v>
      </c>
      <c r="AP22" s="14" t="s">
        <v>2</v>
      </c>
      <c r="AQ22" s="14" t="s">
        <v>2</v>
      </c>
      <c r="AR22" s="14" t="s">
        <v>2</v>
      </c>
      <c r="AS22" s="14" t="s">
        <v>2</v>
      </c>
      <c r="AT22" s="14" t="s">
        <v>2</v>
      </c>
      <c r="AU22" s="222">
        <v>0.3</v>
      </c>
      <c r="AV22" s="222">
        <v>0.3</v>
      </c>
      <c r="AX22" s="102">
        <v>0.9</v>
      </c>
      <c r="AY22" s="102">
        <v>0.5</v>
      </c>
      <c r="AZ22" s="102">
        <v>0.5</v>
      </c>
    </row>
    <row r="23" spans="2:52" x14ac:dyDescent="0.25">
      <c r="B23" s="186">
        <v>37</v>
      </c>
      <c r="D23" s="10" t="s">
        <v>2</v>
      </c>
      <c r="E23" s="10" t="s">
        <v>2</v>
      </c>
      <c r="F23" s="10" t="s">
        <v>2</v>
      </c>
      <c r="G23" s="10" t="s">
        <v>2</v>
      </c>
      <c r="H23" s="10" t="s">
        <v>2</v>
      </c>
      <c r="I23" s="11">
        <v>60000</v>
      </c>
      <c r="J23" s="11">
        <v>60000</v>
      </c>
      <c r="K23" s="11">
        <v>60000</v>
      </c>
      <c r="L23" s="11">
        <v>80000</v>
      </c>
      <c r="M23" s="10" t="s">
        <v>2</v>
      </c>
      <c r="N23" s="34">
        <v>250</v>
      </c>
      <c r="O23" s="10" t="s">
        <v>2</v>
      </c>
      <c r="P23" s="10" t="s">
        <v>2</v>
      </c>
      <c r="Q23" s="10" t="s">
        <v>2</v>
      </c>
      <c r="R23" s="10" t="s">
        <v>2</v>
      </c>
      <c r="S23" s="10" t="s">
        <v>2</v>
      </c>
      <c r="T23" s="11">
        <f>I23/$N23</f>
        <v>240</v>
      </c>
      <c r="U23" s="11">
        <f>J23/$N23</f>
        <v>240</v>
      </c>
      <c r="V23" s="11">
        <f>K23/$N23</f>
        <v>240</v>
      </c>
      <c r="W23" s="11">
        <f>L23/$N23</f>
        <v>320</v>
      </c>
      <c r="X23" s="10" t="s">
        <v>2</v>
      </c>
      <c r="Z23" s="186">
        <v>37</v>
      </c>
      <c r="AA23" s="40" t="s">
        <v>2</v>
      </c>
      <c r="AB23" s="40" t="s">
        <v>2</v>
      </c>
      <c r="AC23" s="40" t="s">
        <v>2</v>
      </c>
      <c r="AD23" s="40" t="s">
        <v>2</v>
      </c>
      <c r="AE23" s="40" t="s">
        <v>2</v>
      </c>
      <c r="AF23" s="41">
        <f>AF50*AF77*AF104*$AY23</f>
        <v>675</v>
      </c>
      <c r="AG23" s="41">
        <f>AG50*AG77*AG104*$AY23</f>
        <v>675</v>
      </c>
      <c r="AH23" s="41">
        <f>AH50*AH77*AH104*$AY23</f>
        <v>675</v>
      </c>
      <c r="AI23" s="41">
        <f>AI50*AI77*AI104*$AY23</f>
        <v>225</v>
      </c>
      <c r="AJ23" s="40" t="s">
        <v>2</v>
      </c>
      <c r="AL23" s="186">
        <v>37</v>
      </c>
      <c r="AM23" s="14" t="s">
        <v>2</v>
      </c>
      <c r="AN23" s="14" t="s">
        <v>2</v>
      </c>
      <c r="AO23" s="14" t="s">
        <v>2</v>
      </c>
      <c r="AP23" s="14" t="s">
        <v>2</v>
      </c>
      <c r="AQ23" s="14" t="s">
        <v>2</v>
      </c>
      <c r="AR23" s="222">
        <v>0.3</v>
      </c>
      <c r="AS23" s="222">
        <v>0.3</v>
      </c>
      <c r="AT23" s="222">
        <v>0.3</v>
      </c>
      <c r="AU23" s="222">
        <v>0.3</v>
      </c>
      <c r="AV23" s="14" t="s">
        <v>2</v>
      </c>
      <c r="AX23" s="102">
        <v>0.9</v>
      </c>
      <c r="AY23" s="102">
        <v>0.9</v>
      </c>
      <c r="AZ23" s="102">
        <v>0.5</v>
      </c>
    </row>
    <row r="24" spans="2:52" x14ac:dyDescent="0.25">
      <c r="B24" s="187">
        <v>38</v>
      </c>
      <c r="D24" s="10" t="s">
        <v>2</v>
      </c>
      <c r="E24" s="10" t="s">
        <v>2</v>
      </c>
      <c r="F24" s="10" t="s">
        <v>2</v>
      </c>
      <c r="G24" s="10" t="s">
        <v>2</v>
      </c>
      <c r="H24" s="10" t="s">
        <v>2</v>
      </c>
      <c r="I24" s="10" t="s">
        <v>2</v>
      </c>
      <c r="J24" s="10" t="s">
        <v>2</v>
      </c>
      <c r="K24" s="10" t="s">
        <v>2</v>
      </c>
      <c r="L24" s="11">
        <v>80000</v>
      </c>
      <c r="M24" s="11">
        <v>100000</v>
      </c>
      <c r="N24" s="34">
        <v>250</v>
      </c>
      <c r="O24" s="10" t="s">
        <v>2</v>
      </c>
      <c r="P24" s="10" t="s">
        <v>2</v>
      </c>
      <c r="Q24" s="10" t="s">
        <v>2</v>
      </c>
      <c r="R24" s="10" t="s">
        <v>2</v>
      </c>
      <c r="S24" s="10" t="s">
        <v>2</v>
      </c>
      <c r="T24" s="10" t="s">
        <v>2</v>
      </c>
      <c r="U24" s="10" t="s">
        <v>2</v>
      </c>
      <c r="V24" s="10" t="s">
        <v>2</v>
      </c>
      <c r="W24" s="11">
        <f t="shared" ref="W24" si="11">L24/$N24</f>
        <v>320</v>
      </c>
      <c r="X24" s="11">
        <f>M24/$N24</f>
        <v>400</v>
      </c>
      <c r="Z24" s="187">
        <v>38</v>
      </c>
      <c r="AA24" s="40" t="s">
        <v>2</v>
      </c>
      <c r="AB24" s="40" t="s">
        <v>2</v>
      </c>
      <c r="AC24" s="40" t="s">
        <v>2</v>
      </c>
      <c r="AD24" s="40" t="s">
        <v>2</v>
      </c>
      <c r="AE24" s="40" t="s">
        <v>2</v>
      </c>
      <c r="AF24" s="40" t="s">
        <v>2</v>
      </c>
      <c r="AG24" s="40" t="s">
        <v>2</v>
      </c>
      <c r="AH24" s="40" t="s">
        <v>2</v>
      </c>
      <c r="AI24" s="41">
        <f>AI51*AI78*AI105*$AY24</f>
        <v>125</v>
      </c>
      <c r="AJ24" s="41">
        <f>AJ51*AJ78*AJ105*$AY24</f>
        <v>225</v>
      </c>
      <c r="AL24" s="187">
        <v>38</v>
      </c>
      <c r="AM24" s="14" t="s">
        <v>2</v>
      </c>
      <c r="AN24" s="14" t="s">
        <v>2</v>
      </c>
      <c r="AO24" s="14" t="s">
        <v>2</v>
      </c>
      <c r="AP24" s="14" t="s">
        <v>2</v>
      </c>
      <c r="AQ24" s="14" t="s">
        <v>2</v>
      </c>
      <c r="AR24" s="14" t="s">
        <v>2</v>
      </c>
      <c r="AS24" s="14" t="s">
        <v>2</v>
      </c>
      <c r="AT24" s="14" t="s">
        <v>2</v>
      </c>
      <c r="AU24" s="222">
        <v>0.3</v>
      </c>
      <c r="AV24" s="222">
        <v>0.3</v>
      </c>
      <c r="AX24" s="102">
        <v>0.9</v>
      </c>
      <c r="AY24" s="102">
        <v>0.5</v>
      </c>
      <c r="AZ24" s="102">
        <v>0.5</v>
      </c>
    </row>
    <row r="25" spans="2:52" x14ac:dyDescent="0.25">
      <c r="B25" s="186">
        <v>39</v>
      </c>
      <c r="D25" s="10" t="s">
        <v>2</v>
      </c>
      <c r="E25" s="10" t="s">
        <v>2</v>
      </c>
      <c r="F25" s="10" t="s">
        <v>2</v>
      </c>
      <c r="G25" s="10" t="s">
        <v>2</v>
      </c>
      <c r="H25" s="10" t="s">
        <v>2</v>
      </c>
      <c r="I25" s="11">
        <v>60000</v>
      </c>
      <c r="J25" s="11">
        <v>60000</v>
      </c>
      <c r="K25" s="11">
        <v>60000</v>
      </c>
      <c r="L25" s="11">
        <v>80000</v>
      </c>
      <c r="M25" s="10" t="s">
        <v>2</v>
      </c>
      <c r="N25" s="34">
        <v>250</v>
      </c>
      <c r="O25" s="10" t="s">
        <v>2</v>
      </c>
      <c r="P25" s="10" t="s">
        <v>2</v>
      </c>
      <c r="Q25" s="10" t="s">
        <v>2</v>
      </c>
      <c r="R25" s="10" t="s">
        <v>2</v>
      </c>
      <c r="S25" s="10" t="s">
        <v>2</v>
      </c>
      <c r="T25" s="11">
        <f>I25/$N25</f>
        <v>240</v>
      </c>
      <c r="U25" s="11">
        <f>J25/$N25</f>
        <v>240</v>
      </c>
      <c r="V25" s="11">
        <f>K25/$N25</f>
        <v>240</v>
      </c>
      <c r="W25" s="11">
        <f>L25/$N25</f>
        <v>320</v>
      </c>
      <c r="X25" s="10" t="s">
        <v>2</v>
      </c>
      <c r="Z25" s="186">
        <v>39</v>
      </c>
      <c r="AA25" s="40" t="s">
        <v>2</v>
      </c>
      <c r="AB25" s="40" t="s">
        <v>2</v>
      </c>
      <c r="AC25" s="40" t="s">
        <v>2</v>
      </c>
      <c r="AD25" s="40" t="s">
        <v>2</v>
      </c>
      <c r="AE25" s="40" t="s">
        <v>2</v>
      </c>
      <c r="AF25" s="41">
        <f>AF52*AF79*AF106*$AY25</f>
        <v>675</v>
      </c>
      <c r="AG25" s="41">
        <f>AG52*AG79*AG106*$AY25</f>
        <v>675</v>
      </c>
      <c r="AH25" s="41">
        <f>AH52*AH79*AH106*$AY25</f>
        <v>675</v>
      </c>
      <c r="AI25" s="41">
        <f>AI52*AI79*AI106*$AY25</f>
        <v>225</v>
      </c>
      <c r="AJ25" s="40" t="s">
        <v>2</v>
      </c>
      <c r="AL25" s="186">
        <v>39</v>
      </c>
      <c r="AM25" s="14" t="s">
        <v>2</v>
      </c>
      <c r="AN25" s="14" t="s">
        <v>2</v>
      </c>
      <c r="AO25" s="14" t="s">
        <v>2</v>
      </c>
      <c r="AP25" s="14" t="s">
        <v>2</v>
      </c>
      <c r="AQ25" s="14" t="s">
        <v>2</v>
      </c>
      <c r="AR25" s="222">
        <v>0.3</v>
      </c>
      <c r="AS25" s="222">
        <v>0.3</v>
      </c>
      <c r="AT25" s="222">
        <v>0.3</v>
      </c>
      <c r="AU25" s="222">
        <v>0.3</v>
      </c>
      <c r="AV25" s="14" t="s">
        <v>2</v>
      </c>
      <c r="AX25" s="102">
        <v>0.9</v>
      </c>
      <c r="AY25" s="102">
        <v>0.9</v>
      </c>
      <c r="AZ25" s="102">
        <v>0.5</v>
      </c>
    </row>
    <row r="26" spans="2:52" x14ac:dyDescent="0.25">
      <c r="B26" s="187">
        <v>40</v>
      </c>
      <c r="D26" s="10" t="s">
        <v>2</v>
      </c>
      <c r="E26" s="10" t="s">
        <v>2</v>
      </c>
      <c r="F26" s="10" t="s">
        <v>2</v>
      </c>
      <c r="G26" s="10" t="s">
        <v>2</v>
      </c>
      <c r="H26" s="10" t="s">
        <v>2</v>
      </c>
      <c r="I26" s="10" t="s">
        <v>2</v>
      </c>
      <c r="J26" s="10" t="s">
        <v>2</v>
      </c>
      <c r="K26" s="10" t="s">
        <v>2</v>
      </c>
      <c r="L26" s="11">
        <v>80000</v>
      </c>
      <c r="M26" s="11">
        <v>100000</v>
      </c>
      <c r="N26" s="34">
        <v>250</v>
      </c>
      <c r="O26" s="10" t="s">
        <v>2</v>
      </c>
      <c r="P26" s="10" t="s">
        <v>2</v>
      </c>
      <c r="Q26" s="10" t="s">
        <v>2</v>
      </c>
      <c r="R26" s="10" t="s">
        <v>2</v>
      </c>
      <c r="S26" s="10" t="s">
        <v>2</v>
      </c>
      <c r="T26" s="10" t="s">
        <v>2</v>
      </c>
      <c r="U26" s="10" t="s">
        <v>2</v>
      </c>
      <c r="V26" s="10" t="s">
        <v>2</v>
      </c>
      <c r="W26" s="11">
        <f t="shared" ref="W26" si="12">L26/$N26</f>
        <v>320</v>
      </c>
      <c r="X26" s="11">
        <f>M26/$N26</f>
        <v>400</v>
      </c>
      <c r="Z26" s="187">
        <v>40</v>
      </c>
      <c r="AA26" s="40" t="s">
        <v>2</v>
      </c>
      <c r="AB26" s="40" t="s">
        <v>2</v>
      </c>
      <c r="AC26" s="40" t="s">
        <v>2</v>
      </c>
      <c r="AD26" s="40" t="s">
        <v>2</v>
      </c>
      <c r="AE26" s="40" t="s">
        <v>2</v>
      </c>
      <c r="AF26" s="40" t="s">
        <v>2</v>
      </c>
      <c r="AG26" s="40" t="s">
        <v>2</v>
      </c>
      <c r="AH26" s="40" t="s">
        <v>2</v>
      </c>
      <c r="AI26" s="41">
        <f>AI53*AI80*AI107*$AY26</f>
        <v>125</v>
      </c>
      <c r="AJ26" s="41">
        <f>AJ53*AJ80*AJ107*$AY26</f>
        <v>225</v>
      </c>
      <c r="AL26" s="187">
        <v>40</v>
      </c>
      <c r="AM26" s="14" t="s">
        <v>2</v>
      </c>
      <c r="AN26" s="14" t="s">
        <v>2</v>
      </c>
      <c r="AO26" s="14" t="s">
        <v>2</v>
      </c>
      <c r="AP26" s="14" t="s">
        <v>2</v>
      </c>
      <c r="AQ26" s="14" t="s">
        <v>2</v>
      </c>
      <c r="AR26" s="14" t="s">
        <v>2</v>
      </c>
      <c r="AS26" s="14" t="s">
        <v>2</v>
      </c>
      <c r="AT26" s="14" t="s">
        <v>2</v>
      </c>
      <c r="AU26" s="222">
        <v>0.3</v>
      </c>
      <c r="AV26" s="222">
        <v>0.3</v>
      </c>
      <c r="AX26" s="102">
        <v>0.9</v>
      </c>
      <c r="AY26" s="102">
        <v>0.5</v>
      </c>
      <c r="AZ26" s="102">
        <v>0.5</v>
      </c>
    </row>
    <row r="29" spans="2:52" ht="50.1" customHeight="1" x14ac:dyDescent="0.25">
      <c r="Z29" s="260" t="s">
        <v>0</v>
      </c>
      <c r="AA29" s="261" t="s">
        <v>9</v>
      </c>
      <c r="AB29" s="261"/>
      <c r="AC29" s="261"/>
      <c r="AD29" s="261"/>
      <c r="AE29" s="261"/>
      <c r="AF29" s="261"/>
      <c r="AG29" s="261"/>
      <c r="AH29" s="261"/>
      <c r="AI29" s="261"/>
      <c r="AJ29" s="261"/>
      <c r="AL29" s="260" t="s">
        <v>0</v>
      </c>
      <c r="AM29" s="258" t="s">
        <v>139</v>
      </c>
      <c r="AN29" s="259"/>
      <c r="AO29" s="259"/>
      <c r="AP29" s="259"/>
      <c r="AQ29" s="259"/>
      <c r="AR29" s="259"/>
      <c r="AS29" s="259"/>
      <c r="AT29" s="259"/>
      <c r="AU29" s="259"/>
      <c r="AV29" s="259"/>
    </row>
    <row r="30" spans="2:52" s="188" customFormat="1" ht="50.1" customHeight="1" x14ac:dyDescent="0.25">
      <c r="Z30" s="260"/>
      <c r="AA30" s="5" t="s">
        <v>3</v>
      </c>
      <c r="AB30" s="6" t="s">
        <v>4</v>
      </c>
      <c r="AC30" s="7" t="s">
        <v>5</v>
      </c>
      <c r="AD30" s="8" t="s">
        <v>6</v>
      </c>
      <c r="AE30" s="9" t="s">
        <v>7</v>
      </c>
      <c r="AF30" s="181" t="s">
        <v>133</v>
      </c>
      <c r="AG30" s="182" t="s">
        <v>134</v>
      </c>
      <c r="AH30" s="183" t="s">
        <v>135</v>
      </c>
      <c r="AI30" s="184" t="s">
        <v>136</v>
      </c>
      <c r="AJ30" s="185" t="s">
        <v>137</v>
      </c>
      <c r="AL30" s="260"/>
      <c r="AM30" s="5" t="s">
        <v>3</v>
      </c>
      <c r="AN30" s="6" t="s">
        <v>4</v>
      </c>
      <c r="AO30" s="7" t="s">
        <v>5</v>
      </c>
      <c r="AP30" s="8" t="s">
        <v>6</v>
      </c>
      <c r="AQ30" s="9" t="s">
        <v>7</v>
      </c>
      <c r="AR30" s="181" t="s">
        <v>133</v>
      </c>
      <c r="AS30" s="182" t="s">
        <v>134</v>
      </c>
      <c r="AT30" s="183" t="s">
        <v>135</v>
      </c>
      <c r="AU30" s="184" t="s">
        <v>136</v>
      </c>
      <c r="AV30" s="185" t="s">
        <v>137</v>
      </c>
    </row>
    <row r="31" spans="2:52" x14ac:dyDescent="0.25">
      <c r="Z31" s="3">
        <v>53</v>
      </c>
      <c r="AA31" s="103" t="s">
        <v>2</v>
      </c>
      <c r="AB31" s="104">
        <v>250</v>
      </c>
      <c r="AC31" s="104">
        <v>250</v>
      </c>
      <c r="AD31" s="103" t="s">
        <v>2</v>
      </c>
      <c r="AE31" s="103" t="s">
        <v>2</v>
      </c>
      <c r="AF31" s="103" t="s">
        <v>2</v>
      </c>
      <c r="AG31" s="103" t="s">
        <v>2</v>
      </c>
      <c r="AH31" s="103" t="s">
        <v>2</v>
      </c>
      <c r="AI31" s="103" t="s">
        <v>2</v>
      </c>
      <c r="AJ31" s="103" t="s">
        <v>2</v>
      </c>
      <c r="AL31" s="3">
        <v>53</v>
      </c>
      <c r="AM31" s="14" t="s">
        <v>2</v>
      </c>
      <c r="AN31" s="194">
        <v>0</v>
      </c>
      <c r="AO31" s="195">
        <v>0</v>
      </c>
      <c r="AP31" s="14" t="s">
        <v>2</v>
      </c>
      <c r="AQ31" s="14" t="s">
        <v>2</v>
      </c>
      <c r="AR31" s="14" t="s">
        <v>2</v>
      </c>
      <c r="AS31" s="14" t="s">
        <v>2</v>
      </c>
      <c r="AT31" s="14" t="s">
        <v>2</v>
      </c>
      <c r="AU31" s="14" t="s">
        <v>2</v>
      </c>
      <c r="AV31" s="14" t="s">
        <v>2</v>
      </c>
    </row>
    <row r="32" spans="2:52" x14ac:dyDescent="0.25">
      <c r="Z32" s="3">
        <v>54</v>
      </c>
      <c r="AA32" s="103" t="s">
        <v>2</v>
      </c>
      <c r="AB32" s="104">
        <v>250</v>
      </c>
      <c r="AC32" s="104">
        <v>250</v>
      </c>
      <c r="AD32" s="103" t="s">
        <v>2</v>
      </c>
      <c r="AE32" s="103" t="s">
        <v>2</v>
      </c>
      <c r="AF32" s="103" t="s">
        <v>2</v>
      </c>
      <c r="AG32" s="103" t="s">
        <v>2</v>
      </c>
      <c r="AH32" s="103" t="s">
        <v>2</v>
      </c>
      <c r="AI32" s="103" t="s">
        <v>2</v>
      </c>
      <c r="AJ32" s="103" t="s">
        <v>2</v>
      </c>
      <c r="AL32" s="3">
        <v>54</v>
      </c>
      <c r="AM32" s="14" t="s">
        <v>2</v>
      </c>
      <c r="AN32" s="194">
        <v>0</v>
      </c>
      <c r="AO32" s="195">
        <v>0</v>
      </c>
      <c r="AP32" s="14" t="s">
        <v>2</v>
      </c>
      <c r="AQ32" s="14" t="s">
        <v>2</v>
      </c>
      <c r="AR32" s="14" t="s">
        <v>2</v>
      </c>
      <c r="AS32" s="14" t="s">
        <v>2</v>
      </c>
      <c r="AT32" s="14" t="s">
        <v>2</v>
      </c>
      <c r="AU32" s="14" t="s">
        <v>2</v>
      </c>
      <c r="AV32" s="14" t="s">
        <v>2</v>
      </c>
    </row>
    <row r="33" spans="26:48" x14ac:dyDescent="0.25">
      <c r="Z33" s="4" t="s">
        <v>1</v>
      </c>
      <c r="AA33" s="103" t="s">
        <v>2</v>
      </c>
      <c r="AB33" s="104">
        <v>250</v>
      </c>
      <c r="AC33" s="104">
        <v>250</v>
      </c>
      <c r="AD33" s="103" t="s">
        <v>2</v>
      </c>
      <c r="AE33" s="103" t="s">
        <v>2</v>
      </c>
      <c r="AF33" s="103" t="s">
        <v>2</v>
      </c>
      <c r="AG33" s="103" t="s">
        <v>2</v>
      </c>
      <c r="AH33" s="103" t="s">
        <v>2</v>
      </c>
      <c r="AI33" s="103" t="s">
        <v>2</v>
      </c>
      <c r="AJ33" s="103" t="s">
        <v>2</v>
      </c>
      <c r="AL33" s="4" t="s">
        <v>1</v>
      </c>
      <c r="AM33" s="14" t="s">
        <v>2</v>
      </c>
      <c r="AN33" s="194">
        <v>0</v>
      </c>
      <c r="AO33" s="195">
        <v>0</v>
      </c>
      <c r="AP33" s="14" t="s">
        <v>2</v>
      </c>
      <c r="AQ33" s="14" t="s">
        <v>2</v>
      </c>
      <c r="AR33" s="14" t="s">
        <v>2</v>
      </c>
      <c r="AS33" s="14" t="s">
        <v>2</v>
      </c>
      <c r="AT33" s="14" t="s">
        <v>2</v>
      </c>
      <c r="AU33" s="14" t="s">
        <v>2</v>
      </c>
      <c r="AV33" s="14" t="s">
        <v>2</v>
      </c>
    </row>
    <row r="34" spans="26:48" x14ac:dyDescent="0.25">
      <c r="Z34" s="4">
        <v>1</v>
      </c>
      <c r="AA34" s="103" t="s">
        <v>2</v>
      </c>
      <c r="AB34" s="104">
        <v>250</v>
      </c>
      <c r="AC34" s="104">
        <v>250</v>
      </c>
      <c r="AD34" s="103" t="s">
        <v>2</v>
      </c>
      <c r="AE34" s="103" t="s">
        <v>2</v>
      </c>
      <c r="AF34" s="103" t="s">
        <v>2</v>
      </c>
      <c r="AG34" s="103" t="s">
        <v>2</v>
      </c>
      <c r="AH34" s="103" t="s">
        <v>2</v>
      </c>
      <c r="AI34" s="103" t="s">
        <v>2</v>
      </c>
      <c r="AJ34" s="103" t="s">
        <v>2</v>
      </c>
      <c r="AL34" s="4">
        <v>1</v>
      </c>
      <c r="AM34" s="14" t="s">
        <v>2</v>
      </c>
      <c r="AN34" s="194">
        <v>0</v>
      </c>
      <c r="AO34" s="195">
        <v>0</v>
      </c>
      <c r="AP34" s="14" t="s">
        <v>2</v>
      </c>
      <c r="AQ34" s="14" t="s">
        <v>2</v>
      </c>
      <c r="AR34" s="14" t="s">
        <v>2</v>
      </c>
      <c r="AS34" s="14" t="s">
        <v>2</v>
      </c>
      <c r="AT34" s="14" t="s">
        <v>2</v>
      </c>
      <c r="AU34" s="14" t="s">
        <v>2</v>
      </c>
      <c r="AV34" s="14" t="s">
        <v>2</v>
      </c>
    </row>
    <row r="35" spans="26:48" ht="15" customHeight="1" x14ac:dyDescent="0.25">
      <c r="Z35" s="4">
        <v>2</v>
      </c>
      <c r="AA35" s="104">
        <v>500</v>
      </c>
      <c r="AB35" s="104">
        <v>250</v>
      </c>
      <c r="AC35" s="104">
        <v>250</v>
      </c>
      <c r="AD35" s="103" t="s">
        <v>2</v>
      </c>
      <c r="AE35" s="103" t="s">
        <v>2</v>
      </c>
      <c r="AF35" s="103" t="s">
        <v>2</v>
      </c>
      <c r="AG35" s="103" t="s">
        <v>2</v>
      </c>
      <c r="AH35" s="103" t="s">
        <v>2</v>
      </c>
      <c r="AI35" s="103" t="s">
        <v>2</v>
      </c>
      <c r="AJ35" s="103" t="s">
        <v>2</v>
      </c>
      <c r="AL35" s="4">
        <v>2</v>
      </c>
      <c r="AM35" s="194">
        <v>0</v>
      </c>
      <c r="AN35" s="195">
        <v>0</v>
      </c>
      <c r="AO35" s="195">
        <v>0</v>
      </c>
      <c r="AP35" s="14" t="s">
        <v>2</v>
      </c>
      <c r="AQ35" s="14" t="s">
        <v>2</v>
      </c>
      <c r="AR35" s="14" t="s">
        <v>2</v>
      </c>
      <c r="AS35" s="14" t="s">
        <v>2</v>
      </c>
      <c r="AT35" s="14" t="s">
        <v>2</v>
      </c>
      <c r="AU35" s="14" t="s">
        <v>2</v>
      </c>
      <c r="AV35" s="14" t="s">
        <v>2</v>
      </c>
    </row>
    <row r="36" spans="26:48" x14ac:dyDescent="0.25">
      <c r="Z36" s="4">
        <v>3</v>
      </c>
      <c r="AA36" s="103" t="s">
        <v>2</v>
      </c>
      <c r="AB36" s="104">
        <v>250</v>
      </c>
      <c r="AC36" s="104">
        <v>250</v>
      </c>
      <c r="AD36" s="103" t="s">
        <v>2</v>
      </c>
      <c r="AE36" s="103" t="s">
        <v>2</v>
      </c>
      <c r="AF36" s="103" t="s">
        <v>2</v>
      </c>
      <c r="AG36" s="103" t="s">
        <v>2</v>
      </c>
      <c r="AH36" s="103" t="s">
        <v>2</v>
      </c>
      <c r="AI36" s="103" t="s">
        <v>2</v>
      </c>
      <c r="AJ36" s="103" t="s">
        <v>2</v>
      </c>
      <c r="AL36" s="4">
        <v>3</v>
      </c>
      <c r="AM36" s="14" t="s">
        <v>2</v>
      </c>
      <c r="AN36" s="194">
        <v>0</v>
      </c>
      <c r="AO36" s="195">
        <v>0</v>
      </c>
      <c r="AP36" s="14" t="s">
        <v>2</v>
      </c>
      <c r="AQ36" s="14" t="s">
        <v>2</v>
      </c>
      <c r="AR36" s="14" t="s">
        <v>2</v>
      </c>
      <c r="AS36" s="14" t="s">
        <v>2</v>
      </c>
      <c r="AT36" s="14" t="s">
        <v>2</v>
      </c>
      <c r="AU36" s="14" t="s">
        <v>2</v>
      </c>
      <c r="AV36" s="14" t="s">
        <v>2</v>
      </c>
    </row>
    <row r="37" spans="26:48" x14ac:dyDescent="0.25">
      <c r="Z37" s="4">
        <v>4</v>
      </c>
      <c r="AA37" s="104">
        <v>500</v>
      </c>
      <c r="AB37" s="104">
        <v>250</v>
      </c>
      <c r="AC37" s="104">
        <v>250</v>
      </c>
      <c r="AD37" s="104">
        <v>150</v>
      </c>
      <c r="AE37" s="104">
        <v>100</v>
      </c>
      <c r="AF37" s="103" t="s">
        <v>2</v>
      </c>
      <c r="AG37" s="103" t="s">
        <v>2</v>
      </c>
      <c r="AH37" s="103" t="s">
        <v>2</v>
      </c>
      <c r="AI37" s="103" t="s">
        <v>2</v>
      </c>
      <c r="AJ37" s="103" t="s">
        <v>2</v>
      </c>
      <c r="AL37" s="4">
        <v>4</v>
      </c>
      <c r="AM37" s="194">
        <v>0</v>
      </c>
      <c r="AN37" s="194">
        <v>0</v>
      </c>
      <c r="AO37" s="195">
        <v>0</v>
      </c>
      <c r="AP37" s="195">
        <v>0</v>
      </c>
      <c r="AQ37" s="195">
        <v>0</v>
      </c>
      <c r="AR37" s="14" t="s">
        <v>2</v>
      </c>
      <c r="AS37" s="14" t="s">
        <v>2</v>
      </c>
      <c r="AT37" s="14" t="s">
        <v>2</v>
      </c>
      <c r="AU37" s="14" t="s">
        <v>2</v>
      </c>
      <c r="AV37" s="14" t="s">
        <v>2</v>
      </c>
    </row>
    <row r="38" spans="26:48" x14ac:dyDescent="0.25">
      <c r="Z38" s="4">
        <v>5</v>
      </c>
      <c r="AA38" s="104">
        <v>500</v>
      </c>
      <c r="AB38" s="104">
        <v>250</v>
      </c>
      <c r="AC38" s="104">
        <v>250</v>
      </c>
      <c r="AD38" s="103" t="s">
        <v>2</v>
      </c>
      <c r="AE38" s="104">
        <v>100</v>
      </c>
      <c r="AF38" s="103" t="s">
        <v>2</v>
      </c>
      <c r="AG38" s="103" t="s">
        <v>2</v>
      </c>
      <c r="AH38" s="103" t="s">
        <v>2</v>
      </c>
      <c r="AI38" s="103" t="s">
        <v>2</v>
      </c>
      <c r="AJ38" s="103" t="s">
        <v>2</v>
      </c>
      <c r="AL38" s="4">
        <v>5</v>
      </c>
      <c r="AM38" s="194">
        <v>0</v>
      </c>
      <c r="AN38" s="194">
        <v>0</v>
      </c>
      <c r="AO38" s="195">
        <v>0</v>
      </c>
      <c r="AP38" s="14" t="s">
        <v>2</v>
      </c>
      <c r="AQ38" s="195">
        <v>0</v>
      </c>
      <c r="AR38" s="14" t="s">
        <v>2</v>
      </c>
      <c r="AS38" s="14" t="s">
        <v>2</v>
      </c>
      <c r="AT38" s="14" t="s">
        <v>2</v>
      </c>
      <c r="AU38" s="14" t="s">
        <v>2</v>
      </c>
      <c r="AV38" s="14" t="s">
        <v>2</v>
      </c>
    </row>
    <row r="39" spans="26:48" x14ac:dyDescent="0.25">
      <c r="Z39" s="4">
        <v>9</v>
      </c>
      <c r="AA39" s="104">
        <v>500</v>
      </c>
      <c r="AB39" s="104">
        <v>250</v>
      </c>
      <c r="AC39" s="103" t="s">
        <v>2</v>
      </c>
      <c r="AD39" s="104">
        <v>150</v>
      </c>
      <c r="AE39" s="104">
        <v>100</v>
      </c>
      <c r="AF39" s="103" t="s">
        <v>2</v>
      </c>
      <c r="AG39" s="103" t="s">
        <v>2</v>
      </c>
      <c r="AH39" s="103" t="s">
        <v>2</v>
      </c>
      <c r="AI39" s="103" t="s">
        <v>2</v>
      </c>
      <c r="AJ39" s="103" t="s">
        <v>2</v>
      </c>
      <c r="AL39" s="4">
        <v>9</v>
      </c>
      <c r="AM39" s="194">
        <v>0</v>
      </c>
      <c r="AN39" s="194">
        <v>0</v>
      </c>
      <c r="AO39" s="14" t="s">
        <v>2</v>
      </c>
      <c r="AP39" s="195">
        <v>0</v>
      </c>
      <c r="AQ39" s="195">
        <v>0</v>
      </c>
      <c r="AR39" s="14" t="s">
        <v>2</v>
      </c>
      <c r="AS39" s="14" t="s">
        <v>2</v>
      </c>
      <c r="AT39" s="14" t="s">
        <v>2</v>
      </c>
      <c r="AU39" s="14" t="s">
        <v>2</v>
      </c>
      <c r="AV39" s="14" t="s">
        <v>2</v>
      </c>
    </row>
    <row r="40" spans="26:48" x14ac:dyDescent="0.25">
      <c r="Z40" s="4">
        <v>10</v>
      </c>
      <c r="AA40" s="104">
        <v>500</v>
      </c>
      <c r="AB40" s="104">
        <v>250</v>
      </c>
      <c r="AC40" s="103" t="s">
        <v>2</v>
      </c>
      <c r="AD40" s="103" t="s">
        <v>2</v>
      </c>
      <c r="AE40" s="104">
        <v>100</v>
      </c>
      <c r="AF40" s="103" t="s">
        <v>2</v>
      </c>
      <c r="AG40" s="103" t="s">
        <v>2</v>
      </c>
      <c r="AH40" s="103" t="s">
        <v>2</v>
      </c>
      <c r="AI40" s="103" t="s">
        <v>2</v>
      </c>
      <c r="AJ40" s="103" t="s">
        <v>2</v>
      </c>
      <c r="AL40" s="4">
        <v>10</v>
      </c>
      <c r="AM40" s="194">
        <v>0</v>
      </c>
      <c r="AN40" s="194">
        <v>0</v>
      </c>
      <c r="AO40" s="14" t="s">
        <v>2</v>
      </c>
      <c r="AP40" s="14" t="s">
        <v>2</v>
      </c>
      <c r="AQ40" s="195">
        <v>0</v>
      </c>
      <c r="AR40" s="14" t="s">
        <v>2</v>
      </c>
      <c r="AS40" s="14" t="s">
        <v>2</v>
      </c>
      <c r="AT40" s="14" t="s">
        <v>2</v>
      </c>
      <c r="AU40" s="14" t="s">
        <v>2</v>
      </c>
      <c r="AV40" s="14" t="s">
        <v>2</v>
      </c>
    </row>
    <row r="41" spans="26:48" x14ac:dyDescent="0.25">
      <c r="Z41" s="4">
        <v>11</v>
      </c>
      <c r="AA41" s="104">
        <v>500</v>
      </c>
      <c r="AB41" s="104">
        <v>250</v>
      </c>
      <c r="AC41" s="103" t="s">
        <v>2</v>
      </c>
      <c r="AD41" s="104">
        <v>150</v>
      </c>
      <c r="AE41" s="104">
        <v>100</v>
      </c>
      <c r="AF41" s="103" t="s">
        <v>2</v>
      </c>
      <c r="AG41" s="103" t="s">
        <v>2</v>
      </c>
      <c r="AH41" s="103" t="s">
        <v>2</v>
      </c>
      <c r="AI41" s="103" t="s">
        <v>2</v>
      </c>
      <c r="AJ41" s="103" t="s">
        <v>2</v>
      </c>
      <c r="AL41" s="4">
        <v>11</v>
      </c>
      <c r="AM41" s="194">
        <v>0</v>
      </c>
      <c r="AN41" s="194">
        <v>0</v>
      </c>
      <c r="AO41" s="14" t="s">
        <v>2</v>
      </c>
      <c r="AP41" s="195">
        <v>0</v>
      </c>
      <c r="AQ41" s="195">
        <v>0</v>
      </c>
      <c r="AR41" s="14" t="s">
        <v>2</v>
      </c>
      <c r="AS41" s="14" t="s">
        <v>2</v>
      </c>
      <c r="AT41" s="14" t="s">
        <v>2</v>
      </c>
      <c r="AU41" s="14" t="s">
        <v>2</v>
      </c>
      <c r="AV41" s="14" t="s">
        <v>2</v>
      </c>
    </row>
    <row r="42" spans="26:48" x14ac:dyDescent="0.25">
      <c r="Z42" s="4">
        <v>12</v>
      </c>
      <c r="AA42" s="104">
        <v>500</v>
      </c>
      <c r="AB42" s="104">
        <v>250</v>
      </c>
      <c r="AC42" s="103" t="s">
        <v>2</v>
      </c>
      <c r="AD42" s="103" t="s">
        <v>2</v>
      </c>
      <c r="AE42" s="104">
        <v>100</v>
      </c>
      <c r="AF42" s="103" t="s">
        <v>2</v>
      </c>
      <c r="AG42" s="103" t="s">
        <v>2</v>
      </c>
      <c r="AH42" s="103" t="s">
        <v>2</v>
      </c>
      <c r="AI42" s="103" t="s">
        <v>2</v>
      </c>
      <c r="AJ42" s="103" t="s">
        <v>2</v>
      </c>
      <c r="AL42" s="4">
        <v>12</v>
      </c>
      <c r="AM42" s="194">
        <v>0</v>
      </c>
      <c r="AN42" s="194">
        <v>0</v>
      </c>
      <c r="AO42" s="14" t="s">
        <v>2</v>
      </c>
      <c r="AP42" s="14" t="s">
        <v>2</v>
      </c>
      <c r="AQ42" s="195">
        <v>0</v>
      </c>
      <c r="AR42" s="14" t="s">
        <v>2</v>
      </c>
      <c r="AS42" s="14" t="s">
        <v>2</v>
      </c>
      <c r="AT42" s="14" t="s">
        <v>2</v>
      </c>
      <c r="AU42" s="14" t="s">
        <v>2</v>
      </c>
      <c r="AV42" s="14" t="s">
        <v>2</v>
      </c>
    </row>
    <row r="43" spans="26:48" x14ac:dyDescent="0.25">
      <c r="Z43" s="4">
        <v>16</v>
      </c>
      <c r="AA43" s="103" t="s">
        <v>2</v>
      </c>
      <c r="AB43" s="103" t="s">
        <v>2</v>
      </c>
      <c r="AC43" s="103" t="s">
        <v>2</v>
      </c>
      <c r="AD43" s="103" t="s">
        <v>2</v>
      </c>
      <c r="AE43" s="104">
        <v>100</v>
      </c>
      <c r="AF43" s="103" t="s">
        <v>2</v>
      </c>
      <c r="AG43" s="103" t="s">
        <v>2</v>
      </c>
      <c r="AH43" s="103" t="s">
        <v>2</v>
      </c>
      <c r="AI43" s="103" t="s">
        <v>2</v>
      </c>
      <c r="AJ43" s="103" t="s">
        <v>2</v>
      </c>
      <c r="AL43" s="4">
        <v>16</v>
      </c>
      <c r="AM43" s="14" t="s">
        <v>2</v>
      </c>
      <c r="AN43" s="14" t="s">
        <v>2</v>
      </c>
      <c r="AO43" s="14" t="s">
        <v>2</v>
      </c>
      <c r="AP43" s="14" t="s">
        <v>2</v>
      </c>
      <c r="AQ43" s="195">
        <v>0</v>
      </c>
      <c r="AR43" s="14" t="s">
        <v>2</v>
      </c>
      <c r="AS43" s="14" t="s">
        <v>2</v>
      </c>
      <c r="AT43" s="14" t="s">
        <v>2</v>
      </c>
      <c r="AU43" s="14" t="s">
        <v>2</v>
      </c>
      <c r="AV43" s="14" t="s">
        <v>2</v>
      </c>
    </row>
    <row r="44" spans="26:48" x14ac:dyDescent="0.25">
      <c r="Z44" s="186">
        <v>31</v>
      </c>
      <c r="AA44" s="103" t="s">
        <v>2</v>
      </c>
      <c r="AB44" s="103" t="s">
        <v>2</v>
      </c>
      <c r="AC44" s="103" t="s">
        <v>2</v>
      </c>
      <c r="AD44" s="103" t="s">
        <v>2</v>
      </c>
      <c r="AE44" s="103" t="s">
        <v>2</v>
      </c>
      <c r="AF44" s="104">
        <v>450</v>
      </c>
      <c r="AG44" s="104">
        <v>450</v>
      </c>
      <c r="AH44" s="104">
        <v>450</v>
      </c>
      <c r="AI44" s="104">
        <v>300</v>
      </c>
      <c r="AJ44" s="103" t="s">
        <v>2</v>
      </c>
      <c r="AL44" s="186">
        <v>31</v>
      </c>
      <c r="AM44" s="14" t="s">
        <v>2</v>
      </c>
      <c r="AN44" s="14" t="s">
        <v>2</v>
      </c>
      <c r="AO44" s="14" t="s">
        <v>2</v>
      </c>
      <c r="AP44" s="14" t="s">
        <v>2</v>
      </c>
      <c r="AQ44" s="14" t="s">
        <v>2</v>
      </c>
      <c r="AR44" s="222">
        <v>0.8</v>
      </c>
      <c r="AS44" s="222">
        <v>0.8</v>
      </c>
      <c r="AT44" s="222">
        <v>0.8</v>
      </c>
      <c r="AU44" s="222">
        <v>0.2</v>
      </c>
      <c r="AV44" s="14" t="s">
        <v>2</v>
      </c>
    </row>
    <row r="45" spans="26:48" x14ac:dyDescent="0.25">
      <c r="Z45" s="187">
        <v>32</v>
      </c>
      <c r="AA45" s="103" t="s">
        <v>2</v>
      </c>
      <c r="AB45" s="103" t="s">
        <v>2</v>
      </c>
      <c r="AC45" s="103" t="s">
        <v>2</v>
      </c>
      <c r="AD45" s="103" t="s">
        <v>2</v>
      </c>
      <c r="AE45" s="103" t="s">
        <v>2</v>
      </c>
      <c r="AF45" s="103" t="s">
        <v>2</v>
      </c>
      <c r="AG45" s="103" t="s">
        <v>2</v>
      </c>
      <c r="AH45" s="103" t="s">
        <v>2</v>
      </c>
      <c r="AI45" s="104">
        <v>300</v>
      </c>
      <c r="AJ45" s="104">
        <v>300</v>
      </c>
      <c r="AL45" s="187">
        <v>32</v>
      </c>
      <c r="AM45" s="14" t="s">
        <v>2</v>
      </c>
      <c r="AN45" s="14" t="s">
        <v>2</v>
      </c>
      <c r="AO45" s="14" t="s">
        <v>2</v>
      </c>
      <c r="AP45" s="14" t="s">
        <v>2</v>
      </c>
      <c r="AQ45" s="14" t="s">
        <v>2</v>
      </c>
      <c r="AR45" s="14" t="s">
        <v>2</v>
      </c>
      <c r="AS45" s="14" t="s">
        <v>2</v>
      </c>
      <c r="AT45" s="14" t="s">
        <v>2</v>
      </c>
      <c r="AU45" s="222">
        <v>0.2</v>
      </c>
      <c r="AV45" s="195">
        <v>0</v>
      </c>
    </row>
    <row r="46" spans="26:48" x14ac:dyDescent="0.25">
      <c r="Z46" s="186">
        <v>33</v>
      </c>
      <c r="AA46" s="103" t="s">
        <v>2</v>
      </c>
      <c r="AB46" s="103" t="s">
        <v>2</v>
      </c>
      <c r="AC46" s="103" t="s">
        <v>2</v>
      </c>
      <c r="AD46" s="103" t="s">
        <v>2</v>
      </c>
      <c r="AE46" s="103" t="s">
        <v>2</v>
      </c>
      <c r="AF46" s="104">
        <v>450</v>
      </c>
      <c r="AG46" s="104">
        <v>450</v>
      </c>
      <c r="AH46" s="104">
        <v>450</v>
      </c>
      <c r="AI46" s="104">
        <v>300</v>
      </c>
      <c r="AJ46" s="103" t="s">
        <v>2</v>
      </c>
      <c r="AL46" s="186">
        <v>33</v>
      </c>
      <c r="AM46" s="14" t="s">
        <v>2</v>
      </c>
      <c r="AN46" s="14" t="s">
        <v>2</v>
      </c>
      <c r="AO46" s="14" t="s">
        <v>2</v>
      </c>
      <c r="AP46" s="14" t="s">
        <v>2</v>
      </c>
      <c r="AQ46" s="14" t="s">
        <v>2</v>
      </c>
      <c r="AR46" s="222">
        <v>0.8</v>
      </c>
      <c r="AS46" s="222">
        <v>0.8</v>
      </c>
      <c r="AT46" s="222">
        <v>0.8</v>
      </c>
      <c r="AU46" s="222">
        <v>0.2</v>
      </c>
      <c r="AV46" s="14" t="s">
        <v>2</v>
      </c>
    </row>
    <row r="47" spans="26:48" x14ac:dyDescent="0.25">
      <c r="Z47" s="187">
        <v>34</v>
      </c>
      <c r="AA47" s="103" t="s">
        <v>2</v>
      </c>
      <c r="AB47" s="103" t="s">
        <v>2</v>
      </c>
      <c r="AC47" s="103" t="s">
        <v>2</v>
      </c>
      <c r="AD47" s="103" t="s">
        <v>2</v>
      </c>
      <c r="AE47" s="103" t="s">
        <v>2</v>
      </c>
      <c r="AF47" s="103" t="s">
        <v>2</v>
      </c>
      <c r="AG47" s="103" t="s">
        <v>2</v>
      </c>
      <c r="AH47" s="103" t="s">
        <v>2</v>
      </c>
      <c r="AI47" s="104">
        <v>300</v>
      </c>
      <c r="AJ47" s="104">
        <v>300</v>
      </c>
      <c r="AL47" s="187">
        <v>34</v>
      </c>
      <c r="AM47" s="14" t="s">
        <v>2</v>
      </c>
      <c r="AN47" s="14" t="s">
        <v>2</v>
      </c>
      <c r="AO47" s="14" t="s">
        <v>2</v>
      </c>
      <c r="AP47" s="14" t="s">
        <v>2</v>
      </c>
      <c r="AQ47" s="14" t="s">
        <v>2</v>
      </c>
      <c r="AR47" s="14" t="s">
        <v>2</v>
      </c>
      <c r="AS47" s="14" t="s">
        <v>2</v>
      </c>
      <c r="AT47" s="14" t="s">
        <v>2</v>
      </c>
      <c r="AU47" s="222">
        <v>0.2</v>
      </c>
      <c r="AV47" s="195">
        <v>0</v>
      </c>
    </row>
    <row r="48" spans="26:48" x14ac:dyDescent="0.25">
      <c r="Z48" s="186">
        <v>35</v>
      </c>
      <c r="AA48" s="103" t="s">
        <v>2</v>
      </c>
      <c r="AB48" s="103" t="s">
        <v>2</v>
      </c>
      <c r="AC48" s="103" t="s">
        <v>2</v>
      </c>
      <c r="AD48" s="103" t="s">
        <v>2</v>
      </c>
      <c r="AE48" s="103" t="s">
        <v>2</v>
      </c>
      <c r="AF48" s="104">
        <v>450</v>
      </c>
      <c r="AG48" s="104">
        <v>450</v>
      </c>
      <c r="AH48" s="104">
        <v>450</v>
      </c>
      <c r="AI48" s="104">
        <v>300</v>
      </c>
      <c r="AJ48" s="103" t="s">
        <v>2</v>
      </c>
      <c r="AL48" s="186">
        <v>35</v>
      </c>
      <c r="AM48" s="14" t="s">
        <v>2</v>
      </c>
      <c r="AN48" s="14" t="s">
        <v>2</v>
      </c>
      <c r="AO48" s="14" t="s">
        <v>2</v>
      </c>
      <c r="AP48" s="14" t="s">
        <v>2</v>
      </c>
      <c r="AQ48" s="14" t="s">
        <v>2</v>
      </c>
      <c r="AR48" s="222">
        <v>0.8</v>
      </c>
      <c r="AS48" s="222">
        <v>0.8</v>
      </c>
      <c r="AT48" s="222">
        <v>0.8</v>
      </c>
      <c r="AU48" s="222">
        <v>0.2</v>
      </c>
      <c r="AV48" s="14" t="s">
        <v>2</v>
      </c>
    </row>
    <row r="49" spans="26:48" x14ac:dyDescent="0.25">
      <c r="Z49" s="187">
        <v>36</v>
      </c>
      <c r="AA49" s="103" t="s">
        <v>2</v>
      </c>
      <c r="AB49" s="103" t="s">
        <v>2</v>
      </c>
      <c r="AC49" s="103" t="s">
        <v>2</v>
      </c>
      <c r="AD49" s="103" t="s">
        <v>2</v>
      </c>
      <c r="AE49" s="103" t="s">
        <v>2</v>
      </c>
      <c r="AF49" s="103" t="s">
        <v>2</v>
      </c>
      <c r="AG49" s="103" t="s">
        <v>2</v>
      </c>
      <c r="AH49" s="103" t="s">
        <v>2</v>
      </c>
      <c r="AI49" s="104">
        <v>300</v>
      </c>
      <c r="AJ49" s="104">
        <v>300</v>
      </c>
      <c r="AL49" s="187">
        <v>36</v>
      </c>
      <c r="AM49" s="14" t="s">
        <v>2</v>
      </c>
      <c r="AN49" s="14" t="s">
        <v>2</v>
      </c>
      <c r="AO49" s="14" t="s">
        <v>2</v>
      </c>
      <c r="AP49" s="14" t="s">
        <v>2</v>
      </c>
      <c r="AQ49" s="14" t="s">
        <v>2</v>
      </c>
      <c r="AR49" s="14" t="s">
        <v>2</v>
      </c>
      <c r="AS49" s="14" t="s">
        <v>2</v>
      </c>
      <c r="AT49" s="14" t="s">
        <v>2</v>
      </c>
      <c r="AU49" s="222">
        <v>0.2</v>
      </c>
      <c r="AV49" s="195">
        <v>0</v>
      </c>
    </row>
    <row r="50" spans="26:48" x14ac:dyDescent="0.25">
      <c r="Z50" s="186">
        <v>37</v>
      </c>
      <c r="AA50" s="103" t="s">
        <v>2</v>
      </c>
      <c r="AB50" s="103" t="s">
        <v>2</v>
      </c>
      <c r="AC50" s="103" t="s">
        <v>2</v>
      </c>
      <c r="AD50" s="103" t="s">
        <v>2</v>
      </c>
      <c r="AE50" s="103" t="s">
        <v>2</v>
      </c>
      <c r="AF50" s="104">
        <v>450</v>
      </c>
      <c r="AG50" s="104">
        <v>450</v>
      </c>
      <c r="AH50" s="104">
        <v>450</v>
      </c>
      <c r="AI50" s="104">
        <v>300</v>
      </c>
      <c r="AJ50" s="103" t="s">
        <v>2</v>
      </c>
      <c r="AL50" s="186">
        <v>37</v>
      </c>
      <c r="AM50" s="14" t="s">
        <v>2</v>
      </c>
      <c r="AN50" s="14" t="s">
        <v>2</v>
      </c>
      <c r="AO50" s="14" t="s">
        <v>2</v>
      </c>
      <c r="AP50" s="14" t="s">
        <v>2</v>
      </c>
      <c r="AQ50" s="14" t="s">
        <v>2</v>
      </c>
      <c r="AR50" s="222">
        <v>0.8</v>
      </c>
      <c r="AS50" s="222">
        <v>0.8</v>
      </c>
      <c r="AT50" s="222">
        <v>0.8</v>
      </c>
      <c r="AU50" s="222">
        <v>0.2</v>
      </c>
      <c r="AV50" s="14" t="s">
        <v>2</v>
      </c>
    </row>
    <row r="51" spans="26:48" x14ac:dyDescent="0.25">
      <c r="Z51" s="187">
        <v>38</v>
      </c>
      <c r="AA51" s="103" t="s">
        <v>2</v>
      </c>
      <c r="AB51" s="103" t="s">
        <v>2</v>
      </c>
      <c r="AC51" s="103" t="s">
        <v>2</v>
      </c>
      <c r="AD51" s="103" t="s">
        <v>2</v>
      </c>
      <c r="AE51" s="103" t="s">
        <v>2</v>
      </c>
      <c r="AF51" s="103" t="s">
        <v>2</v>
      </c>
      <c r="AG51" s="103" t="s">
        <v>2</v>
      </c>
      <c r="AH51" s="103" t="s">
        <v>2</v>
      </c>
      <c r="AI51" s="104">
        <v>300</v>
      </c>
      <c r="AJ51" s="104">
        <v>300</v>
      </c>
      <c r="AL51" s="187">
        <v>38</v>
      </c>
      <c r="AM51" s="14" t="s">
        <v>2</v>
      </c>
      <c r="AN51" s="14" t="s">
        <v>2</v>
      </c>
      <c r="AO51" s="14" t="s">
        <v>2</v>
      </c>
      <c r="AP51" s="14" t="s">
        <v>2</v>
      </c>
      <c r="AQ51" s="14" t="s">
        <v>2</v>
      </c>
      <c r="AR51" s="14" t="s">
        <v>2</v>
      </c>
      <c r="AS51" s="14" t="s">
        <v>2</v>
      </c>
      <c r="AT51" s="14" t="s">
        <v>2</v>
      </c>
      <c r="AU51" s="222">
        <v>0.2</v>
      </c>
      <c r="AV51" s="195">
        <v>0</v>
      </c>
    </row>
    <row r="52" spans="26:48" x14ac:dyDescent="0.25">
      <c r="Z52" s="186">
        <v>39</v>
      </c>
      <c r="AA52" s="103" t="s">
        <v>2</v>
      </c>
      <c r="AB52" s="103" t="s">
        <v>2</v>
      </c>
      <c r="AC52" s="103" t="s">
        <v>2</v>
      </c>
      <c r="AD52" s="103" t="s">
        <v>2</v>
      </c>
      <c r="AE52" s="103" t="s">
        <v>2</v>
      </c>
      <c r="AF52" s="104">
        <v>450</v>
      </c>
      <c r="AG52" s="104">
        <v>450</v>
      </c>
      <c r="AH52" s="104">
        <v>450</v>
      </c>
      <c r="AI52" s="104">
        <v>300</v>
      </c>
      <c r="AJ52" s="103" t="s">
        <v>2</v>
      </c>
      <c r="AL52" s="186">
        <v>39</v>
      </c>
      <c r="AM52" s="14" t="s">
        <v>2</v>
      </c>
      <c r="AN52" s="14" t="s">
        <v>2</v>
      </c>
      <c r="AO52" s="14" t="s">
        <v>2</v>
      </c>
      <c r="AP52" s="14" t="s">
        <v>2</v>
      </c>
      <c r="AQ52" s="14" t="s">
        <v>2</v>
      </c>
      <c r="AR52" s="222">
        <v>0.8</v>
      </c>
      <c r="AS52" s="222">
        <v>0.8</v>
      </c>
      <c r="AT52" s="222">
        <v>0.8</v>
      </c>
      <c r="AU52" s="222">
        <v>0.2</v>
      </c>
      <c r="AV52" s="14" t="s">
        <v>2</v>
      </c>
    </row>
    <row r="53" spans="26:48" x14ac:dyDescent="0.25">
      <c r="Z53" s="187">
        <v>40</v>
      </c>
      <c r="AA53" s="103" t="s">
        <v>2</v>
      </c>
      <c r="AB53" s="103" t="s">
        <v>2</v>
      </c>
      <c r="AC53" s="103" t="s">
        <v>2</v>
      </c>
      <c r="AD53" s="103" t="s">
        <v>2</v>
      </c>
      <c r="AE53" s="103" t="s">
        <v>2</v>
      </c>
      <c r="AF53" s="103" t="s">
        <v>2</v>
      </c>
      <c r="AG53" s="103" t="s">
        <v>2</v>
      </c>
      <c r="AH53" s="103" t="s">
        <v>2</v>
      </c>
      <c r="AI53" s="104">
        <v>300</v>
      </c>
      <c r="AJ53" s="104">
        <v>300</v>
      </c>
      <c r="AL53" s="187">
        <v>40</v>
      </c>
      <c r="AM53" s="14" t="s">
        <v>2</v>
      </c>
      <c r="AN53" s="14" t="s">
        <v>2</v>
      </c>
      <c r="AO53" s="14" t="s">
        <v>2</v>
      </c>
      <c r="AP53" s="14" t="s">
        <v>2</v>
      </c>
      <c r="AQ53" s="14" t="s">
        <v>2</v>
      </c>
      <c r="AR53" s="14" t="s">
        <v>2</v>
      </c>
      <c r="AS53" s="14" t="s">
        <v>2</v>
      </c>
      <c r="AT53" s="14" t="s">
        <v>2</v>
      </c>
      <c r="AU53" s="222">
        <v>0.2</v>
      </c>
      <c r="AV53" s="195">
        <v>0</v>
      </c>
    </row>
    <row r="56" spans="26:48" ht="50.1" customHeight="1" x14ac:dyDescent="0.25">
      <c r="Z56" s="260" t="s">
        <v>0</v>
      </c>
      <c r="AA56" s="261" t="s">
        <v>42</v>
      </c>
      <c r="AB56" s="261"/>
      <c r="AC56" s="261"/>
      <c r="AD56" s="261"/>
      <c r="AE56" s="261"/>
      <c r="AF56" s="261"/>
      <c r="AG56" s="261"/>
      <c r="AH56" s="261"/>
      <c r="AI56" s="261"/>
      <c r="AJ56" s="261"/>
      <c r="AL56" s="260" t="s">
        <v>0</v>
      </c>
      <c r="AM56" s="258" t="s">
        <v>168</v>
      </c>
      <c r="AN56" s="259"/>
      <c r="AO56" s="259"/>
      <c r="AP56" s="259"/>
      <c r="AQ56" s="259"/>
      <c r="AR56" s="259"/>
      <c r="AS56" s="259"/>
      <c r="AT56" s="259"/>
      <c r="AU56" s="259"/>
      <c r="AV56" s="259"/>
    </row>
    <row r="57" spans="26:48" ht="50.1" customHeight="1" x14ac:dyDescent="0.25">
      <c r="Z57" s="260"/>
      <c r="AA57" s="5" t="s">
        <v>3</v>
      </c>
      <c r="AB57" s="6" t="s">
        <v>4</v>
      </c>
      <c r="AC57" s="7" t="s">
        <v>5</v>
      </c>
      <c r="AD57" s="8" t="s">
        <v>6</v>
      </c>
      <c r="AE57" s="9" t="s">
        <v>7</v>
      </c>
      <c r="AF57" s="181" t="s">
        <v>133</v>
      </c>
      <c r="AG57" s="182" t="s">
        <v>134</v>
      </c>
      <c r="AH57" s="183" t="s">
        <v>135</v>
      </c>
      <c r="AI57" s="184" t="s">
        <v>136</v>
      </c>
      <c r="AJ57" s="185" t="s">
        <v>137</v>
      </c>
      <c r="AL57" s="260"/>
      <c r="AM57" s="5" t="s">
        <v>3</v>
      </c>
      <c r="AN57" s="6" t="s">
        <v>4</v>
      </c>
      <c r="AO57" s="7" t="s">
        <v>5</v>
      </c>
      <c r="AP57" s="8" t="s">
        <v>6</v>
      </c>
      <c r="AQ57" s="9" t="s">
        <v>7</v>
      </c>
      <c r="AR57" s="181" t="s">
        <v>133</v>
      </c>
      <c r="AS57" s="182" t="s">
        <v>134</v>
      </c>
      <c r="AT57" s="183" t="s">
        <v>135</v>
      </c>
      <c r="AU57" s="184" t="s">
        <v>136</v>
      </c>
      <c r="AV57" s="185" t="s">
        <v>137</v>
      </c>
    </row>
    <row r="58" spans="26:48" x14ac:dyDescent="0.25">
      <c r="Z58" s="3">
        <v>53</v>
      </c>
      <c r="AA58" s="103" t="s">
        <v>2</v>
      </c>
      <c r="AB58" s="105">
        <v>0.5</v>
      </c>
      <c r="AC58" s="105">
        <v>0.5</v>
      </c>
      <c r="AD58" s="103" t="s">
        <v>2</v>
      </c>
      <c r="AE58" s="103" t="s">
        <v>2</v>
      </c>
      <c r="AF58" s="103" t="s">
        <v>2</v>
      </c>
      <c r="AG58" s="103" t="s">
        <v>2</v>
      </c>
      <c r="AH58" s="103" t="s">
        <v>2</v>
      </c>
      <c r="AI58" s="103" t="s">
        <v>2</v>
      </c>
      <c r="AJ58" s="103" t="s">
        <v>2</v>
      </c>
      <c r="AL58" s="3">
        <v>53</v>
      </c>
      <c r="AM58" s="14" t="s">
        <v>2</v>
      </c>
      <c r="AN58" s="194">
        <v>0</v>
      </c>
      <c r="AO58" s="196">
        <v>0.5</v>
      </c>
      <c r="AP58" s="14" t="s">
        <v>2</v>
      </c>
      <c r="AQ58" s="14" t="s">
        <v>2</v>
      </c>
      <c r="AR58" s="14" t="s">
        <v>2</v>
      </c>
      <c r="AS58" s="14" t="s">
        <v>2</v>
      </c>
      <c r="AT58" s="14" t="s">
        <v>2</v>
      </c>
      <c r="AU58" s="14" t="s">
        <v>2</v>
      </c>
      <c r="AV58" s="14" t="s">
        <v>2</v>
      </c>
    </row>
    <row r="59" spans="26:48" x14ac:dyDescent="0.25">
      <c r="Z59" s="3">
        <v>54</v>
      </c>
      <c r="AA59" s="103" t="s">
        <v>2</v>
      </c>
      <c r="AB59" s="105">
        <v>0.5</v>
      </c>
      <c r="AC59" s="105">
        <v>0.5</v>
      </c>
      <c r="AD59" s="103" t="s">
        <v>2</v>
      </c>
      <c r="AE59" s="103" t="s">
        <v>2</v>
      </c>
      <c r="AF59" s="103" t="s">
        <v>2</v>
      </c>
      <c r="AG59" s="103" t="s">
        <v>2</v>
      </c>
      <c r="AH59" s="103" t="s">
        <v>2</v>
      </c>
      <c r="AI59" s="103" t="s">
        <v>2</v>
      </c>
      <c r="AJ59" s="103" t="s">
        <v>2</v>
      </c>
      <c r="AL59" s="3">
        <v>54</v>
      </c>
      <c r="AM59" s="14" t="s">
        <v>2</v>
      </c>
      <c r="AN59" s="194">
        <v>0</v>
      </c>
      <c r="AO59" s="196">
        <v>0.5</v>
      </c>
      <c r="AP59" s="14" t="s">
        <v>2</v>
      </c>
      <c r="AQ59" s="14" t="s">
        <v>2</v>
      </c>
      <c r="AR59" s="14" t="s">
        <v>2</v>
      </c>
      <c r="AS59" s="14" t="s">
        <v>2</v>
      </c>
      <c r="AT59" s="14" t="s">
        <v>2</v>
      </c>
      <c r="AU59" s="14" t="s">
        <v>2</v>
      </c>
      <c r="AV59" s="14" t="s">
        <v>2</v>
      </c>
    </row>
    <row r="60" spans="26:48" x14ac:dyDescent="0.25">
      <c r="Z60" s="4" t="s">
        <v>1</v>
      </c>
      <c r="AA60" s="103" t="s">
        <v>2</v>
      </c>
      <c r="AB60" s="105">
        <v>0.5</v>
      </c>
      <c r="AC60" s="105">
        <v>0.5</v>
      </c>
      <c r="AD60" s="103" t="s">
        <v>2</v>
      </c>
      <c r="AE60" s="103" t="s">
        <v>2</v>
      </c>
      <c r="AF60" s="103" t="s">
        <v>2</v>
      </c>
      <c r="AG60" s="103" t="s">
        <v>2</v>
      </c>
      <c r="AH60" s="103" t="s">
        <v>2</v>
      </c>
      <c r="AI60" s="103" t="s">
        <v>2</v>
      </c>
      <c r="AJ60" s="103" t="s">
        <v>2</v>
      </c>
      <c r="AL60" s="4" t="s">
        <v>1</v>
      </c>
      <c r="AM60" s="14" t="s">
        <v>2</v>
      </c>
      <c r="AN60" s="194">
        <v>0</v>
      </c>
      <c r="AO60" s="196">
        <v>0.5</v>
      </c>
      <c r="AP60" s="14" t="s">
        <v>2</v>
      </c>
      <c r="AQ60" s="14" t="s">
        <v>2</v>
      </c>
      <c r="AR60" s="14" t="s">
        <v>2</v>
      </c>
      <c r="AS60" s="14" t="s">
        <v>2</v>
      </c>
      <c r="AT60" s="14" t="s">
        <v>2</v>
      </c>
      <c r="AU60" s="14" t="s">
        <v>2</v>
      </c>
      <c r="AV60" s="14" t="s">
        <v>2</v>
      </c>
    </row>
    <row r="61" spans="26:48" x14ac:dyDescent="0.25">
      <c r="Z61" s="4">
        <v>1</v>
      </c>
      <c r="AA61" s="103" t="s">
        <v>2</v>
      </c>
      <c r="AB61" s="105">
        <v>0.5</v>
      </c>
      <c r="AC61" s="105">
        <v>0.5</v>
      </c>
      <c r="AD61" s="103" t="s">
        <v>2</v>
      </c>
      <c r="AE61" s="103" t="s">
        <v>2</v>
      </c>
      <c r="AF61" s="103" t="s">
        <v>2</v>
      </c>
      <c r="AG61" s="103" t="s">
        <v>2</v>
      </c>
      <c r="AH61" s="103" t="s">
        <v>2</v>
      </c>
      <c r="AI61" s="103" t="s">
        <v>2</v>
      </c>
      <c r="AJ61" s="103" t="s">
        <v>2</v>
      </c>
      <c r="AL61" s="4">
        <v>1</v>
      </c>
      <c r="AM61" s="14" t="s">
        <v>2</v>
      </c>
      <c r="AN61" s="194">
        <v>0</v>
      </c>
      <c r="AO61" s="196">
        <v>0.5</v>
      </c>
      <c r="AP61" s="14" t="s">
        <v>2</v>
      </c>
      <c r="AQ61" s="14" t="s">
        <v>2</v>
      </c>
      <c r="AR61" s="14" t="s">
        <v>2</v>
      </c>
      <c r="AS61" s="14" t="s">
        <v>2</v>
      </c>
      <c r="AT61" s="14" t="s">
        <v>2</v>
      </c>
      <c r="AU61" s="14" t="s">
        <v>2</v>
      </c>
      <c r="AV61" s="14" t="s">
        <v>2</v>
      </c>
    </row>
    <row r="62" spans="26:48" x14ac:dyDescent="0.25">
      <c r="Z62" s="4">
        <v>2</v>
      </c>
      <c r="AA62" s="105">
        <v>0.5</v>
      </c>
      <c r="AB62" s="105">
        <v>0.5</v>
      </c>
      <c r="AC62" s="105">
        <v>0.5</v>
      </c>
      <c r="AD62" s="103" t="s">
        <v>2</v>
      </c>
      <c r="AE62" s="103" t="s">
        <v>2</v>
      </c>
      <c r="AF62" s="103" t="s">
        <v>2</v>
      </c>
      <c r="AG62" s="103" t="s">
        <v>2</v>
      </c>
      <c r="AH62" s="103" t="s">
        <v>2</v>
      </c>
      <c r="AI62" s="103" t="s">
        <v>2</v>
      </c>
      <c r="AJ62" s="103" t="s">
        <v>2</v>
      </c>
      <c r="AL62" s="4">
        <v>2</v>
      </c>
      <c r="AM62" s="194">
        <v>0</v>
      </c>
      <c r="AN62" s="195">
        <v>0</v>
      </c>
      <c r="AO62" s="196">
        <v>0.5</v>
      </c>
      <c r="AP62" s="14" t="s">
        <v>2</v>
      </c>
      <c r="AQ62" s="14" t="s">
        <v>2</v>
      </c>
      <c r="AR62" s="14" t="s">
        <v>2</v>
      </c>
      <c r="AS62" s="14" t="s">
        <v>2</v>
      </c>
      <c r="AT62" s="14" t="s">
        <v>2</v>
      </c>
      <c r="AU62" s="14" t="s">
        <v>2</v>
      </c>
      <c r="AV62" s="14" t="s">
        <v>2</v>
      </c>
    </row>
    <row r="63" spans="26:48" x14ac:dyDescent="0.25">
      <c r="Z63" s="4">
        <v>3</v>
      </c>
      <c r="AA63" s="103" t="s">
        <v>2</v>
      </c>
      <c r="AB63" s="105">
        <v>0.5</v>
      </c>
      <c r="AC63" s="105">
        <v>0.5</v>
      </c>
      <c r="AD63" s="103" t="s">
        <v>2</v>
      </c>
      <c r="AE63" s="103" t="s">
        <v>2</v>
      </c>
      <c r="AF63" s="103" t="s">
        <v>2</v>
      </c>
      <c r="AG63" s="103" t="s">
        <v>2</v>
      </c>
      <c r="AH63" s="103" t="s">
        <v>2</v>
      </c>
      <c r="AI63" s="103" t="s">
        <v>2</v>
      </c>
      <c r="AJ63" s="103" t="s">
        <v>2</v>
      </c>
      <c r="AL63" s="4">
        <v>3</v>
      </c>
      <c r="AM63" s="14" t="s">
        <v>2</v>
      </c>
      <c r="AN63" s="194">
        <v>0</v>
      </c>
      <c r="AO63" s="196">
        <v>0.5</v>
      </c>
      <c r="AP63" s="14" t="s">
        <v>2</v>
      </c>
      <c r="AQ63" s="14" t="s">
        <v>2</v>
      </c>
      <c r="AR63" s="14" t="s">
        <v>2</v>
      </c>
      <c r="AS63" s="14" t="s">
        <v>2</v>
      </c>
      <c r="AT63" s="14" t="s">
        <v>2</v>
      </c>
      <c r="AU63" s="14" t="s">
        <v>2</v>
      </c>
      <c r="AV63" s="14" t="s">
        <v>2</v>
      </c>
    </row>
    <row r="64" spans="26:48" x14ac:dyDescent="0.25">
      <c r="Z64" s="4">
        <v>4</v>
      </c>
      <c r="AA64" s="105">
        <v>0.5</v>
      </c>
      <c r="AB64" s="105">
        <v>0.5</v>
      </c>
      <c r="AC64" s="105">
        <v>0.5</v>
      </c>
      <c r="AD64" s="105">
        <v>0.5</v>
      </c>
      <c r="AE64" s="105">
        <v>0.5</v>
      </c>
      <c r="AF64" s="103" t="s">
        <v>2</v>
      </c>
      <c r="AG64" s="103" t="s">
        <v>2</v>
      </c>
      <c r="AH64" s="103" t="s">
        <v>2</v>
      </c>
      <c r="AI64" s="103" t="s">
        <v>2</v>
      </c>
      <c r="AJ64" s="103" t="s">
        <v>2</v>
      </c>
      <c r="AL64" s="4">
        <v>4</v>
      </c>
      <c r="AM64" s="194">
        <v>0</v>
      </c>
      <c r="AN64" s="194">
        <v>0</v>
      </c>
      <c r="AO64" s="196">
        <v>0.5</v>
      </c>
      <c r="AP64" s="196">
        <v>0.5</v>
      </c>
      <c r="AQ64" s="195">
        <v>0</v>
      </c>
      <c r="AR64" s="14" t="s">
        <v>2</v>
      </c>
      <c r="AS64" s="14" t="s">
        <v>2</v>
      </c>
      <c r="AT64" s="14" t="s">
        <v>2</v>
      </c>
      <c r="AU64" s="14" t="s">
        <v>2</v>
      </c>
      <c r="AV64" s="14" t="s">
        <v>2</v>
      </c>
    </row>
    <row r="65" spans="26:48" x14ac:dyDescent="0.25">
      <c r="Z65" s="4">
        <v>5</v>
      </c>
      <c r="AA65" s="105">
        <v>0.5</v>
      </c>
      <c r="AB65" s="105">
        <v>0.5</v>
      </c>
      <c r="AC65" s="105">
        <v>0.5</v>
      </c>
      <c r="AD65" s="103" t="s">
        <v>2</v>
      </c>
      <c r="AE65" s="105">
        <v>0.5</v>
      </c>
      <c r="AF65" s="103" t="s">
        <v>2</v>
      </c>
      <c r="AG65" s="103" t="s">
        <v>2</v>
      </c>
      <c r="AH65" s="103" t="s">
        <v>2</v>
      </c>
      <c r="AI65" s="103" t="s">
        <v>2</v>
      </c>
      <c r="AJ65" s="103" t="s">
        <v>2</v>
      </c>
      <c r="AL65" s="4">
        <v>5</v>
      </c>
      <c r="AM65" s="194">
        <v>0</v>
      </c>
      <c r="AN65" s="194">
        <v>0</v>
      </c>
      <c r="AO65" s="196">
        <v>0.5</v>
      </c>
      <c r="AP65" s="14" t="s">
        <v>2</v>
      </c>
      <c r="AQ65" s="195">
        <v>0</v>
      </c>
      <c r="AR65" s="14" t="s">
        <v>2</v>
      </c>
      <c r="AS65" s="14" t="s">
        <v>2</v>
      </c>
      <c r="AT65" s="14" t="s">
        <v>2</v>
      </c>
      <c r="AU65" s="14" t="s">
        <v>2</v>
      </c>
      <c r="AV65" s="14" t="s">
        <v>2</v>
      </c>
    </row>
    <row r="66" spans="26:48" x14ac:dyDescent="0.25">
      <c r="Z66" s="4">
        <v>9</v>
      </c>
      <c r="AA66" s="105">
        <v>0.5</v>
      </c>
      <c r="AB66" s="105">
        <v>0.5</v>
      </c>
      <c r="AC66" s="103" t="s">
        <v>2</v>
      </c>
      <c r="AD66" s="105">
        <v>0.5</v>
      </c>
      <c r="AE66" s="105">
        <v>0.5</v>
      </c>
      <c r="AF66" s="103" t="s">
        <v>2</v>
      </c>
      <c r="AG66" s="103" t="s">
        <v>2</v>
      </c>
      <c r="AH66" s="103" t="s">
        <v>2</v>
      </c>
      <c r="AI66" s="103" t="s">
        <v>2</v>
      </c>
      <c r="AJ66" s="103" t="s">
        <v>2</v>
      </c>
      <c r="AL66" s="4">
        <v>9</v>
      </c>
      <c r="AM66" s="194">
        <v>0</v>
      </c>
      <c r="AN66" s="194">
        <v>0</v>
      </c>
      <c r="AO66" s="14" t="s">
        <v>2</v>
      </c>
      <c r="AP66" s="196">
        <v>0.5</v>
      </c>
      <c r="AQ66" s="195">
        <v>0</v>
      </c>
      <c r="AR66" s="14" t="s">
        <v>2</v>
      </c>
      <c r="AS66" s="14" t="s">
        <v>2</v>
      </c>
      <c r="AT66" s="14" t="s">
        <v>2</v>
      </c>
      <c r="AU66" s="14" t="s">
        <v>2</v>
      </c>
      <c r="AV66" s="14" t="s">
        <v>2</v>
      </c>
    </row>
    <row r="67" spans="26:48" x14ac:dyDescent="0.25">
      <c r="Z67" s="4">
        <v>10</v>
      </c>
      <c r="AA67" s="105">
        <v>0.5</v>
      </c>
      <c r="AB67" s="105">
        <v>0.5</v>
      </c>
      <c r="AC67" s="103" t="s">
        <v>2</v>
      </c>
      <c r="AD67" s="103" t="s">
        <v>2</v>
      </c>
      <c r="AE67" s="105">
        <v>0.5</v>
      </c>
      <c r="AF67" s="103" t="s">
        <v>2</v>
      </c>
      <c r="AG67" s="103" t="s">
        <v>2</v>
      </c>
      <c r="AH67" s="103" t="s">
        <v>2</v>
      </c>
      <c r="AI67" s="103" t="s">
        <v>2</v>
      </c>
      <c r="AJ67" s="103" t="s">
        <v>2</v>
      </c>
      <c r="AL67" s="4">
        <v>10</v>
      </c>
      <c r="AM67" s="194">
        <v>0</v>
      </c>
      <c r="AN67" s="194">
        <v>0</v>
      </c>
      <c r="AO67" s="14" t="s">
        <v>2</v>
      </c>
      <c r="AP67" s="14" t="s">
        <v>2</v>
      </c>
      <c r="AQ67" s="195">
        <v>0</v>
      </c>
      <c r="AR67" s="14" t="s">
        <v>2</v>
      </c>
      <c r="AS67" s="14" t="s">
        <v>2</v>
      </c>
      <c r="AT67" s="14" t="s">
        <v>2</v>
      </c>
      <c r="AU67" s="14" t="s">
        <v>2</v>
      </c>
      <c r="AV67" s="14" t="s">
        <v>2</v>
      </c>
    </row>
    <row r="68" spans="26:48" x14ac:dyDescent="0.25">
      <c r="Z68" s="4">
        <v>11</v>
      </c>
      <c r="AA68" s="105">
        <v>0.5</v>
      </c>
      <c r="AB68" s="105">
        <v>0.5</v>
      </c>
      <c r="AC68" s="103" t="s">
        <v>2</v>
      </c>
      <c r="AD68" s="105">
        <v>0.5</v>
      </c>
      <c r="AE68" s="105">
        <v>0.5</v>
      </c>
      <c r="AF68" s="103" t="s">
        <v>2</v>
      </c>
      <c r="AG68" s="103" t="s">
        <v>2</v>
      </c>
      <c r="AH68" s="103" t="s">
        <v>2</v>
      </c>
      <c r="AI68" s="103" t="s">
        <v>2</v>
      </c>
      <c r="AJ68" s="103" t="s">
        <v>2</v>
      </c>
      <c r="AL68" s="4">
        <v>11</v>
      </c>
      <c r="AM68" s="194">
        <v>0</v>
      </c>
      <c r="AN68" s="194">
        <v>0</v>
      </c>
      <c r="AO68" s="14" t="s">
        <v>2</v>
      </c>
      <c r="AP68" s="196">
        <v>0.5</v>
      </c>
      <c r="AQ68" s="195">
        <v>0</v>
      </c>
      <c r="AR68" s="14" t="s">
        <v>2</v>
      </c>
      <c r="AS68" s="14" t="s">
        <v>2</v>
      </c>
      <c r="AT68" s="14" t="s">
        <v>2</v>
      </c>
      <c r="AU68" s="14" t="s">
        <v>2</v>
      </c>
      <c r="AV68" s="14" t="s">
        <v>2</v>
      </c>
    </row>
    <row r="69" spans="26:48" x14ac:dyDescent="0.25">
      <c r="Z69" s="4">
        <v>12</v>
      </c>
      <c r="AA69" s="105">
        <v>0.5</v>
      </c>
      <c r="AB69" s="105">
        <v>0.5</v>
      </c>
      <c r="AC69" s="103" t="s">
        <v>2</v>
      </c>
      <c r="AD69" s="103" t="s">
        <v>2</v>
      </c>
      <c r="AE69" s="105">
        <v>0.5</v>
      </c>
      <c r="AF69" s="103" t="s">
        <v>2</v>
      </c>
      <c r="AG69" s="103" t="s">
        <v>2</v>
      </c>
      <c r="AH69" s="103" t="s">
        <v>2</v>
      </c>
      <c r="AI69" s="103" t="s">
        <v>2</v>
      </c>
      <c r="AJ69" s="103" t="s">
        <v>2</v>
      </c>
      <c r="AL69" s="4">
        <v>12</v>
      </c>
      <c r="AM69" s="194">
        <v>0</v>
      </c>
      <c r="AN69" s="194">
        <v>0</v>
      </c>
      <c r="AO69" s="14" t="s">
        <v>2</v>
      </c>
      <c r="AP69" s="14" t="s">
        <v>2</v>
      </c>
      <c r="AQ69" s="195">
        <v>0</v>
      </c>
      <c r="AR69" s="14" t="s">
        <v>2</v>
      </c>
      <c r="AS69" s="14" t="s">
        <v>2</v>
      </c>
      <c r="AT69" s="14" t="s">
        <v>2</v>
      </c>
      <c r="AU69" s="14" t="s">
        <v>2</v>
      </c>
      <c r="AV69" s="14" t="s">
        <v>2</v>
      </c>
    </row>
    <row r="70" spans="26:48" x14ac:dyDescent="0.25">
      <c r="Z70" s="4">
        <v>16</v>
      </c>
      <c r="AA70" s="103" t="s">
        <v>2</v>
      </c>
      <c r="AB70" s="103" t="s">
        <v>2</v>
      </c>
      <c r="AC70" s="103" t="s">
        <v>2</v>
      </c>
      <c r="AD70" s="103" t="s">
        <v>2</v>
      </c>
      <c r="AE70" s="105">
        <v>0.5</v>
      </c>
      <c r="AF70" s="103" t="s">
        <v>2</v>
      </c>
      <c r="AG70" s="103" t="s">
        <v>2</v>
      </c>
      <c r="AH70" s="103" t="s">
        <v>2</v>
      </c>
      <c r="AI70" s="103" t="s">
        <v>2</v>
      </c>
      <c r="AJ70" s="103" t="s">
        <v>2</v>
      </c>
      <c r="AL70" s="4">
        <v>16</v>
      </c>
      <c r="AM70" s="14" t="s">
        <v>2</v>
      </c>
      <c r="AN70" s="14" t="s">
        <v>2</v>
      </c>
      <c r="AO70" s="14" t="s">
        <v>2</v>
      </c>
      <c r="AP70" s="14" t="s">
        <v>2</v>
      </c>
      <c r="AQ70" s="195">
        <v>0</v>
      </c>
      <c r="AR70" s="14" t="s">
        <v>2</v>
      </c>
      <c r="AS70" s="14" t="s">
        <v>2</v>
      </c>
      <c r="AT70" s="14" t="s">
        <v>2</v>
      </c>
      <c r="AU70" s="14" t="s">
        <v>2</v>
      </c>
      <c r="AV70" s="14" t="s">
        <v>2</v>
      </c>
    </row>
    <row r="71" spans="26:48" x14ac:dyDescent="0.25">
      <c r="Z71" s="186">
        <v>31</v>
      </c>
      <c r="AA71" s="103" t="s">
        <v>2</v>
      </c>
      <c r="AB71" s="103" t="s">
        <v>2</v>
      </c>
      <c r="AC71" s="103" t="s">
        <v>2</v>
      </c>
      <c r="AD71" s="103" t="s">
        <v>2</v>
      </c>
      <c r="AE71" s="103" t="s">
        <v>2</v>
      </c>
      <c r="AF71" s="105">
        <f>1/6</f>
        <v>0.16666666666666666</v>
      </c>
      <c r="AG71" s="105">
        <f t="shared" ref="AG71:AI80" si="13">1/6</f>
        <v>0.16666666666666666</v>
      </c>
      <c r="AH71" s="105">
        <f t="shared" si="13"/>
        <v>0.16666666666666666</v>
      </c>
      <c r="AI71" s="105">
        <f t="shared" si="13"/>
        <v>0.16666666666666666</v>
      </c>
      <c r="AJ71" s="103" t="s">
        <v>2</v>
      </c>
      <c r="AL71" s="186">
        <v>31</v>
      </c>
      <c r="AM71" s="14" t="s">
        <v>2</v>
      </c>
      <c r="AN71" s="14" t="s">
        <v>2</v>
      </c>
      <c r="AO71" s="14" t="s">
        <v>2</v>
      </c>
      <c r="AP71" s="14" t="s">
        <v>2</v>
      </c>
      <c r="AQ71" s="14" t="s">
        <v>2</v>
      </c>
      <c r="AR71" s="222">
        <v>0.5</v>
      </c>
      <c r="AS71" s="222">
        <v>0.5</v>
      </c>
      <c r="AT71" s="222">
        <v>0.5</v>
      </c>
      <c r="AU71" s="195">
        <v>0</v>
      </c>
      <c r="AV71" s="14" t="s">
        <v>2</v>
      </c>
    </row>
    <row r="72" spans="26:48" x14ac:dyDescent="0.25">
      <c r="Z72" s="187">
        <v>32</v>
      </c>
      <c r="AA72" s="103" t="s">
        <v>2</v>
      </c>
      <c r="AB72" s="103" t="s">
        <v>2</v>
      </c>
      <c r="AC72" s="103" t="s">
        <v>2</v>
      </c>
      <c r="AD72" s="103" t="s">
        <v>2</v>
      </c>
      <c r="AE72" s="103" t="s">
        <v>2</v>
      </c>
      <c r="AF72" s="103" t="s">
        <v>2</v>
      </c>
      <c r="AG72" s="103" t="s">
        <v>2</v>
      </c>
      <c r="AH72" s="103" t="s">
        <v>2</v>
      </c>
      <c r="AI72" s="105">
        <f t="shared" si="13"/>
        <v>0.16666666666666666</v>
      </c>
      <c r="AJ72" s="105">
        <v>0.75</v>
      </c>
      <c r="AL72" s="187">
        <v>32</v>
      </c>
      <c r="AM72" s="14" t="s">
        <v>2</v>
      </c>
      <c r="AN72" s="14" t="s">
        <v>2</v>
      </c>
      <c r="AO72" s="14" t="s">
        <v>2</v>
      </c>
      <c r="AP72" s="14" t="s">
        <v>2</v>
      </c>
      <c r="AQ72" s="14" t="s">
        <v>2</v>
      </c>
      <c r="AR72" s="14" t="s">
        <v>2</v>
      </c>
      <c r="AS72" s="14" t="s">
        <v>2</v>
      </c>
      <c r="AT72" s="14" t="s">
        <v>2</v>
      </c>
      <c r="AU72" s="195">
        <v>0</v>
      </c>
      <c r="AV72" s="195">
        <v>0</v>
      </c>
    </row>
    <row r="73" spans="26:48" x14ac:dyDescent="0.25">
      <c r="Z73" s="186">
        <v>33</v>
      </c>
      <c r="AA73" s="103" t="s">
        <v>2</v>
      </c>
      <c r="AB73" s="103" t="s">
        <v>2</v>
      </c>
      <c r="AC73" s="103" t="s">
        <v>2</v>
      </c>
      <c r="AD73" s="103" t="s">
        <v>2</v>
      </c>
      <c r="AE73" s="103" t="s">
        <v>2</v>
      </c>
      <c r="AF73" s="105">
        <f>1/6</f>
        <v>0.16666666666666666</v>
      </c>
      <c r="AG73" s="105">
        <f t="shared" si="13"/>
        <v>0.16666666666666666</v>
      </c>
      <c r="AH73" s="105">
        <f t="shared" si="13"/>
        <v>0.16666666666666666</v>
      </c>
      <c r="AI73" s="105">
        <f t="shared" si="13"/>
        <v>0.16666666666666666</v>
      </c>
      <c r="AJ73" s="103" t="s">
        <v>2</v>
      </c>
      <c r="AL73" s="186">
        <v>33</v>
      </c>
      <c r="AM73" s="14" t="s">
        <v>2</v>
      </c>
      <c r="AN73" s="14" t="s">
        <v>2</v>
      </c>
      <c r="AO73" s="14" t="s">
        <v>2</v>
      </c>
      <c r="AP73" s="14" t="s">
        <v>2</v>
      </c>
      <c r="AQ73" s="14" t="s">
        <v>2</v>
      </c>
      <c r="AR73" s="222">
        <v>0.5</v>
      </c>
      <c r="AS73" s="222">
        <v>0.5</v>
      </c>
      <c r="AT73" s="222">
        <v>0.5</v>
      </c>
      <c r="AU73" s="195">
        <v>0</v>
      </c>
      <c r="AV73" s="14" t="s">
        <v>2</v>
      </c>
    </row>
    <row r="74" spans="26:48" x14ac:dyDescent="0.25">
      <c r="Z74" s="187">
        <v>34</v>
      </c>
      <c r="AA74" s="103" t="s">
        <v>2</v>
      </c>
      <c r="AB74" s="103" t="s">
        <v>2</v>
      </c>
      <c r="AC74" s="103" t="s">
        <v>2</v>
      </c>
      <c r="AD74" s="103" t="s">
        <v>2</v>
      </c>
      <c r="AE74" s="103" t="s">
        <v>2</v>
      </c>
      <c r="AF74" s="103" t="s">
        <v>2</v>
      </c>
      <c r="AG74" s="103" t="s">
        <v>2</v>
      </c>
      <c r="AH74" s="103" t="s">
        <v>2</v>
      </c>
      <c r="AI74" s="105">
        <f t="shared" si="13"/>
        <v>0.16666666666666666</v>
      </c>
      <c r="AJ74" s="105">
        <v>0.75</v>
      </c>
      <c r="AL74" s="187">
        <v>34</v>
      </c>
      <c r="AM74" s="14" t="s">
        <v>2</v>
      </c>
      <c r="AN74" s="14" t="s">
        <v>2</v>
      </c>
      <c r="AO74" s="14" t="s">
        <v>2</v>
      </c>
      <c r="AP74" s="14" t="s">
        <v>2</v>
      </c>
      <c r="AQ74" s="14" t="s">
        <v>2</v>
      </c>
      <c r="AR74" s="14" t="s">
        <v>2</v>
      </c>
      <c r="AS74" s="14" t="s">
        <v>2</v>
      </c>
      <c r="AT74" s="14" t="s">
        <v>2</v>
      </c>
      <c r="AU74" s="195">
        <v>0</v>
      </c>
      <c r="AV74" s="195">
        <v>0</v>
      </c>
    </row>
    <row r="75" spans="26:48" x14ac:dyDescent="0.25">
      <c r="Z75" s="186">
        <v>35</v>
      </c>
      <c r="AA75" s="103" t="s">
        <v>2</v>
      </c>
      <c r="AB75" s="103" t="s">
        <v>2</v>
      </c>
      <c r="AC75" s="103" t="s">
        <v>2</v>
      </c>
      <c r="AD75" s="103" t="s">
        <v>2</v>
      </c>
      <c r="AE75" s="103" t="s">
        <v>2</v>
      </c>
      <c r="AF75" s="105">
        <f>1/6</f>
        <v>0.16666666666666666</v>
      </c>
      <c r="AG75" s="105">
        <f t="shared" si="13"/>
        <v>0.16666666666666666</v>
      </c>
      <c r="AH75" s="105">
        <f t="shared" si="13"/>
        <v>0.16666666666666666</v>
      </c>
      <c r="AI75" s="105">
        <f t="shared" si="13"/>
        <v>0.16666666666666666</v>
      </c>
      <c r="AJ75" s="103" t="s">
        <v>2</v>
      </c>
      <c r="AL75" s="186">
        <v>35</v>
      </c>
      <c r="AM75" s="14" t="s">
        <v>2</v>
      </c>
      <c r="AN75" s="14" t="s">
        <v>2</v>
      </c>
      <c r="AO75" s="14" t="s">
        <v>2</v>
      </c>
      <c r="AP75" s="14" t="s">
        <v>2</v>
      </c>
      <c r="AQ75" s="14" t="s">
        <v>2</v>
      </c>
      <c r="AR75" s="222">
        <v>0.5</v>
      </c>
      <c r="AS75" s="222">
        <v>0.5</v>
      </c>
      <c r="AT75" s="222">
        <v>0.5</v>
      </c>
      <c r="AU75" s="195">
        <v>0</v>
      </c>
      <c r="AV75" s="14" t="s">
        <v>2</v>
      </c>
    </row>
    <row r="76" spans="26:48" x14ac:dyDescent="0.25">
      <c r="Z76" s="187">
        <v>36</v>
      </c>
      <c r="AA76" s="103" t="s">
        <v>2</v>
      </c>
      <c r="AB76" s="103" t="s">
        <v>2</v>
      </c>
      <c r="AC76" s="103" t="s">
        <v>2</v>
      </c>
      <c r="AD76" s="103" t="s">
        <v>2</v>
      </c>
      <c r="AE76" s="103" t="s">
        <v>2</v>
      </c>
      <c r="AF76" s="103" t="s">
        <v>2</v>
      </c>
      <c r="AG76" s="103" t="s">
        <v>2</v>
      </c>
      <c r="AH76" s="103" t="s">
        <v>2</v>
      </c>
      <c r="AI76" s="105">
        <f t="shared" si="13"/>
        <v>0.16666666666666666</v>
      </c>
      <c r="AJ76" s="105">
        <v>0.75</v>
      </c>
      <c r="AL76" s="187">
        <v>36</v>
      </c>
      <c r="AM76" s="14" t="s">
        <v>2</v>
      </c>
      <c r="AN76" s="14" t="s">
        <v>2</v>
      </c>
      <c r="AO76" s="14" t="s">
        <v>2</v>
      </c>
      <c r="AP76" s="14" t="s">
        <v>2</v>
      </c>
      <c r="AQ76" s="14" t="s">
        <v>2</v>
      </c>
      <c r="AR76" s="14" t="s">
        <v>2</v>
      </c>
      <c r="AS76" s="14" t="s">
        <v>2</v>
      </c>
      <c r="AT76" s="14" t="s">
        <v>2</v>
      </c>
      <c r="AU76" s="195">
        <v>0</v>
      </c>
      <c r="AV76" s="195">
        <v>0</v>
      </c>
    </row>
    <row r="77" spans="26:48" x14ac:dyDescent="0.25">
      <c r="Z77" s="186">
        <v>37</v>
      </c>
      <c r="AA77" s="103" t="s">
        <v>2</v>
      </c>
      <c r="AB77" s="103" t="s">
        <v>2</v>
      </c>
      <c r="AC77" s="103" t="s">
        <v>2</v>
      </c>
      <c r="AD77" s="103" t="s">
        <v>2</v>
      </c>
      <c r="AE77" s="103" t="s">
        <v>2</v>
      </c>
      <c r="AF77" s="105">
        <f>1/6</f>
        <v>0.16666666666666666</v>
      </c>
      <c r="AG77" s="105">
        <f t="shared" si="13"/>
        <v>0.16666666666666666</v>
      </c>
      <c r="AH77" s="105">
        <f t="shared" si="13"/>
        <v>0.16666666666666666</v>
      </c>
      <c r="AI77" s="105">
        <f t="shared" si="13"/>
        <v>0.16666666666666666</v>
      </c>
      <c r="AJ77" s="103" t="s">
        <v>2</v>
      </c>
      <c r="AL77" s="186">
        <v>37</v>
      </c>
      <c r="AM77" s="14" t="s">
        <v>2</v>
      </c>
      <c r="AN77" s="14" t="s">
        <v>2</v>
      </c>
      <c r="AO77" s="14" t="s">
        <v>2</v>
      </c>
      <c r="AP77" s="14" t="s">
        <v>2</v>
      </c>
      <c r="AQ77" s="14" t="s">
        <v>2</v>
      </c>
      <c r="AR77" s="222">
        <v>0.5</v>
      </c>
      <c r="AS77" s="222">
        <v>0.5</v>
      </c>
      <c r="AT77" s="222">
        <v>0.5</v>
      </c>
      <c r="AU77" s="195">
        <v>0</v>
      </c>
      <c r="AV77" s="14" t="s">
        <v>2</v>
      </c>
    </row>
    <row r="78" spans="26:48" x14ac:dyDescent="0.25">
      <c r="Z78" s="187">
        <v>38</v>
      </c>
      <c r="AA78" s="103" t="s">
        <v>2</v>
      </c>
      <c r="AB78" s="103" t="s">
        <v>2</v>
      </c>
      <c r="AC78" s="103" t="s">
        <v>2</v>
      </c>
      <c r="AD78" s="103" t="s">
        <v>2</v>
      </c>
      <c r="AE78" s="103" t="s">
        <v>2</v>
      </c>
      <c r="AF78" s="103" t="s">
        <v>2</v>
      </c>
      <c r="AG78" s="103" t="s">
        <v>2</v>
      </c>
      <c r="AH78" s="103" t="s">
        <v>2</v>
      </c>
      <c r="AI78" s="105">
        <f t="shared" si="13"/>
        <v>0.16666666666666666</v>
      </c>
      <c r="AJ78" s="105">
        <v>0.75</v>
      </c>
      <c r="AL78" s="187">
        <v>38</v>
      </c>
      <c r="AM78" s="14" t="s">
        <v>2</v>
      </c>
      <c r="AN78" s="14" t="s">
        <v>2</v>
      </c>
      <c r="AO78" s="14" t="s">
        <v>2</v>
      </c>
      <c r="AP78" s="14" t="s">
        <v>2</v>
      </c>
      <c r="AQ78" s="14" t="s">
        <v>2</v>
      </c>
      <c r="AR78" s="14" t="s">
        <v>2</v>
      </c>
      <c r="AS78" s="14" t="s">
        <v>2</v>
      </c>
      <c r="AT78" s="14" t="s">
        <v>2</v>
      </c>
      <c r="AU78" s="195">
        <v>0</v>
      </c>
      <c r="AV78" s="195">
        <v>0</v>
      </c>
    </row>
    <row r="79" spans="26:48" x14ac:dyDescent="0.25">
      <c r="Z79" s="186">
        <v>39</v>
      </c>
      <c r="AA79" s="103" t="s">
        <v>2</v>
      </c>
      <c r="AB79" s="103" t="s">
        <v>2</v>
      </c>
      <c r="AC79" s="103" t="s">
        <v>2</v>
      </c>
      <c r="AD79" s="103" t="s">
        <v>2</v>
      </c>
      <c r="AE79" s="103" t="s">
        <v>2</v>
      </c>
      <c r="AF79" s="105">
        <f>1/6</f>
        <v>0.16666666666666666</v>
      </c>
      <c r="AG79" s="105">
        <f t="shared" si="13"/>
        <v>0.16666666666666666</v>
      </c>
      <c r="AH79" s="105">
        <f t="shared" si="13"/>
        <v>0.16666666666666666</v>
      </c>
      <c r="AI79" s="105">
        <f t="shared" si="13"/>
        <v>0.16666666666666666</v>
      </c>
      <c r="AJ79" s="103" t="s">
        <v>2</v>
      </c>
      <c r="AL79" s="186">
        <v>39</v>
      </c>
      <c r="AM79" s="14" t="s">
        <v>2</v>
      </c>
      <c r="AN79" s="14" t="s">
        <v>2</v>
      </c>
      <c r="AO79" s="14" t="s">
        <v>2</v>
      </c>
      <c r="AP79" s="14" t="s">
        <v>2</v>
      </c>
      <c r="AQ79" s="14" t="s">
        <v>2</v>
      </c>
      <c r="AR79" s="222">
        <v>0.5</v>
      </c>
      <c r="AS79" s="222">
        <v>0.5</v>
      </c>
      <c r="AT79" s="222">
        <v>0.5</v>
      </c>
      <c r="AU79" s="195">
        <v>0</v>
      </c>
      <c r="AV79" s="14" t="s">
        <v>2</v>
      </c>
    </row>
    <row r="80" spans="26:48" x14ac:dyDescent="0.25">
      <c r="Z80" s="187">
        <v>40</v>
      </c>
      <c r="AA80" s="103" t="s">
        <v>2</v>
      </c>
      <c r="AB80" s="103" t="s">
        <v>2</v>
      </c>
      <c r="AC80" s="103" t="s">
        <v>2</v>
      </c>
      <c r="AD80" s="103" t="s">
        <v>2</v>
      </c>
      <c r="AE80" s="103" t="s">
        <v>2</v>
      </c>
      <c r="AF80" s="103" t="s">
        <v>2</v>
      </c>
      <c r="AG80" s="103" t="s">
        <v>2</v>
      </c>
      <c r="AH80" s="103" t="s">
        <v>2</v>
      </c>
      <c r="AI80" s="105">
        <f t="shared" si="13"/>
        <v>0.16666666666666666</v>
      </c>
      <c r="AJ80" s="105">
        <v>0.75</v>
      </c>
      <c r="AL80" s="187">
        <v>40</v>
      </c>
      <c r="AM80" s="14" t="s">
        <v>2</v>
      </c>
      <c r="AN80" s="14" t="s">
        <v>2</v>
      </c>
      <c r="AO80" s="14" t="s">
        <v>2</v>
      </c>
      <c r="AP80" s="14" t="s">
        <v>2</v>
      </c>
      <c r="AQ80" s="14" t="s">
        <v>2</v>
      </c>
      <c r="AR80" s="14" t="s">
        <v>2</v>
      </c>
      <c r="AS80" s="14" t="s">
        <v>2</v>
      </c>
      <c r="AT80" s="14" t="s">
        <v>2</v>
      </c>
      <c r="AU80" s="195">
        <v>0</v>
      </c>
      <c r="AV80" s="195">
        <v>0</v>
      </c>
    </row>
    <row r="83" spans="26:36" ht="30" customHeight="1" x14ac:dyDescent="0.25">
      <c r="Z83" s="260" t="s">
        <v>0</v>
      </c>
      <c r="AA83" s="261" t="s">
        <v>50</v>
      </c>
      <c r="AB83" s="261"/>
      <c r="AC83" s="261"/>
      <c r="AD83" s="261"/>
      <c r="AE83" s="261"/>
      <c r="AF83" s="261"/>
      <c r="AG83" s="261"/>
      <c r="AH83" s="261"/>
      <c r="AI83" s="261"/>
      <c r="AJ83" s="261"/>
    </row>
    <row r="84" spans="26:36" ht="50.1" customHeight="1" x14ac:dyDescent="0.25">
      <c r="Z84" s="260"/>
      <c r="AA84" s="5" t="s">
        <v>3</v>
      </c>
      <c r="AB84" s="6" t="s">
        <v>4</v>
      </c>
      <c r="AC84" s="7" t="s">
        <v>5</v>
      </c>
      <c r="AD84" s="8" t="s">
        <v>45</v>
      </c>
      <c r="AE84" s="9" t="s">
        <v>7</v>
      </c>
      <c r="AF84" s="181" t="s">
        <v>133</v>
      </c>
      <c r="AG84" s="182" t="s">
        <v>134</v>
      </c>
      <c r="AH84" s="183" t="s">
        <v>135</v>
      </c>
      <c r="AI84" s="184" t="s">
        <v>136</v>
      </c>
      <c r="AJ84" s="185" t="s">
        <v>137</v>
      </c>
    </row>
    <row r="85" spans="26:36" x14ac:dyDescent="0.25">
      <c r="Z85" s="3">
        <v>53</v>
      </c>
      <c r="AA85" s="106" t="s">
        <v>2</v>
      </c>
      <c r="AB85" s="107">
        <v>2</v>
      </c>
      <c r="AC85" s="107">
        <v>4</v>
      </c>
      <c r="AD85" s="106" t="s">
        <v>2</v>
      </c>
      <c r="AE85" s="106" t="s">
        <v>2</v>
      </c>
      <c r="AF85" s="189" t="s">
        <v>2</v>
      </c>
      <c r="AG85" s="189" t="s">
        <v>2</v>
      </c>
      <c r="AH85" s="189" t="s">
        <v>2</v>
      </c>
      <c r="AI85" s="189" t="s">
        <v>2</v>
      </c>
      <c r="AJ85" s="189" t="s">
        <v>2</v>
      </c>
    </row>
    <row r="86" spans="26:36" x14ac:dyDescent="0.25">
      <c r="Z86" s="3">
        <v>54</v>
      </c>
      <c r="AA86" s="106" t="s">
        <v>2</v>
      </c>
      <c r="AB86" s="107">
        <v>2</v>
      </c>
      <c r="AC86" s="107">
        <v>4</v>
      </c>
      <c r="AD86" s="106" t="s">
        <v>2</v>
      </c>
      <c r="AE86" s="106" t="s">
        <v>2</v>
      </c>
      <c r="AF86" s="189" t="s">
        <v>2</v>
      </c>
      <c r="AG86" s="189" t="s">
        <v>2</v>
      </c>
      <c r="AH86" s="189" t="s">
        <v>2</v>
      </c>
      <c r="AI86" s="189" t="s">
        <v>2</v>
      </c>
      <c r="AJ86" s="189" t="s">
        <v>2</v>
      </c>
    </row>
    <row r="87" spans="26:36" x14ac:dyDescent="0.25">
      <c r="Z87" s="4" t="s">
        <v>1</v>
      </c>
      <c r="AA87" s="106" t="s">
        <v>2</v>
      </c>
      <c r="AB87" s="107">
        <v>2</v>
      </c>
      <c r="AC87" s="107">
        <v>4</v>
      </c>
      <c r="AD87" s="106" t="s">
        <v>2</v>
      </c>
      <c r="AE87" s="106" t="s">
        <v>2</v>
      </c>
      <c r="AF87" s="189" t="s">
        <v>2</v>
      </c>
      <c r="AG87" s="189" t="s">
        <v>2</v>
      </c>
      <c r="AH87" s="189" t="s">
        <v>2</v>
      </c>
      <c r="AI87" s="189" t="s">
        <v>2</v>
      </c>
      <c r="AJ87" s="189" t="s">
        <v>2</v>
      </c>
    </row>
    <row r="88" spans="26:36" x14ac:dyDescent="0.25">
      <c r="Z88" s="4">
        <v>1</v>
      </c>
      <c r="AA88" s="106" t="s">
        <v>2</v>
      </c>
      <c r="AB88" s="107">
        <v>2</v>
      </c>
      <c r="AC88" s="107">
        <v>4</v>
      </c>
      <c r="AD88" s="106" t="s">
        <v>2</v>
      </c>
      <c r="AE88" s="106" t="s">
        <v>2</v>
      </c>
      <c r="AF88" s="189" t="s">
        <v>2</v>
      </c>
      <c r="AG88" s="189" t="s">
        <v>2</v>
      </c>
      <c r="AH88" s="189" t="s">
        <v>2</v>
      </c>
      <c r="AI88" s="189" t="s">
        <v>2</v>
      </c>
      <c r="AJ88" s="189" t="s">
        <v>2</v>
      </c>
    </row>
    <row r="89" spans="26:36" x14ac:dyDescent="0.25">
      <c r="Z89" s="4">
        <v>2</v>
      </c>
      <c r="AA89" s="107">
        <v>1</v>
      </c>
      <c r="AB89" s="107">
        <v>2</v>
      </c>
      <c r="AC89" s="107">
        <v>4</v>
      </c>
      <c r="AD89" s="106" t="s">
        <v>2</v>
      </c>
      <c r="AE89" s="106" t="s">
        <v>2</v>
      </c>
      <c r="AF89" s="189" t="s">
        <v>2</v>
      </c>
      <c r="AG89" s="189" t="s">
        <v>2</v>
      </c>
      <c r="AH89" s="189" t="s">
        <v>2</v>
      </c>
      <c r="AI89" s="189" t="s">
        <v>2</v>
      </c>
      <c r="AJ89" s="189" t="s">
        <v>2</v>
      </c>
    </row>
    <row r="90" spans="26:36" x14ac:dyDescent="0.25">
      <c r="Z90" s="4">
        <v>3</v>
      </c>
      <c r="AA90" s="106" t="s">
        <v>2</v>
      </c>
      <c r="AB90" s="107">
        <v>2</v>
      </c>
      <c r="AC90" s="107">
        <v>4</v>
      </c>
      <c r="AD90" s="106" t="s">
        <v>2</v>
      </c>
      <c r="AE90" s="106" t="s">
        <v>2</v>
      </c>
      <c r="AF90" s="189" t="s">
        <v>2</v>
      </c>
      <c r="AG90" s="189" t="s">
        <v>2</v>
      </c>
      <c r="AH90" s="189" t="s">
        <v>2</v>
      </c>
      <c r="AI90" s="189" t="s">
        <v>2</v>
      </c>
      <c r="AJ90" s="189" t="s">
        <v>2</v>
      </c>
    </row>
    <row r="91" spans="26:36" x14ac:dyDescent="0.25">
      <c r="Z91" s="4">
        <v>4</v>
      </c>
      <c r="AA91" s="107">
        <v>1</v>
      </c>
      <c r="AB91" s="107">
        <v>2</v>
      </c>
      <c r="AC91" s="107">
        <v>4</v>
      </c>
      <c r="AD91" s="107">
        <v>4</v>
      </c>
      <c r="AE91" s="107">
        <v>2</v>
      </c>
      <c r="AF91" s="189" t="s">
        <v>2</v>
      </c>
      <c r="AG91" s="189" t="s">
        <v>2</v>
      </c>
      <c r="AH91" s="189" t="s">
        <v>2</v>
      </c>
      <c r="AI91" s="189" t="s">
        <v>2</v>
      </c>
      <c r="AJ91" s="189" t="s">
        <v>2</v>
      </c>
    </row>
    <row r="92" spans="26:36" x14ac:dyDescent="0.25">
      <c r="Z92" s="4">
        <v>5</v>
      </c>
      <c r="AA92" s="107">
        <v>1</v>
      </c>
      <c r="AB92" s="107">
        <v>2</v>
      </c>
      <c r="AC92" s="107">
        <v>4</v>
      </c>
      <c r="AD92" s="106" t="s">
        <v>2</v>
      </c>
      <c r="AE92" s="107">
        <v>2</v>
      </c>
      <c r="AF92" s="189" t="s">
        <v>2</v>
      </c>
      <c r="AG92" s="189" t="s">
        <v>2</v>
      </c>
      <c r="AH92" s="189" t="s">
        <v>2</v>
      </c>
      <c r="AI92" s="189" t="s">
        <v>2</v>
      </c>
      <c r="AJ92" s="189" t="s">
        <v>2</v>
      </c>
    </row>
    <row r="93" spans="26:36" x14ac:dyDescent="0.25">
      <c r="Z93" s="4">
        <v>9</v>
      </c>
      <c r="AA93" s="107">
        <v>1</v>
      </c>
      <c r="AB93" s="107">
        <v>2</v>
      </c>
      <c r="AC93" s="106" t="s">
        <v>2</v>
      </c>
      <c r="AD93" s="107">
        <v>4</v>
      </c>
      <c r="AE93" s="107">
        <v>2</v>
      </c>
      <c r="AF93" s="189" t="s">
        <v>2</v>
      </c>
      <c r="AG93" s="189" t="s">
        <v>2</v>
      </c>
      <c r="AH93" s="189" t="s">
        <v>2</v>
      </c>
      <c r="AI93" s="189" t="s">
        <v>2</v>
      </c>
      <c r="AJ93" s="189" t="s">
        <v>2</v>
      </c>
    </row>
    <row r="94" spans="26:36" x14ac:dyDescent="0.25">
      <c r="Z94" s="4">
        <v>10</v>
      </c>
      <c r="AA94" s="107">
        <v>1</v>
      </c>
      <c r="AB94" s="107">
        <v>2</v>
      </c>
      <c r="AC94" s="106" t="s">
        <v>2</v>
      </c>
      <c r="AD94" s="106" t="s">
        <v>2</v>
      </c>
      <c r="AE94" s="107">
        <v>2</v>
      </c>
      <c r="AF94" s="189" t="s">
        <v>2</v>
      </c>
      <c r="AG94" s="189" t="s">
        <v>2</v>
      </c>
      <c r="AH94" s="189" t="s">
        <v>2</v>
      </c>
      <c r="AI94" s="189" t="s">
        <v>2</v>
      </c>
      <c r="AJ94" s="189" t="s">
        <v>2</v>
      </c>
    </row>
    <row r="95" spans="26:36" x14ac:dyDescent="0.25">
      <c r="Z95" s="4">
        <v>11</v>
      </c>
      <c r="AA95" s="107">
        <v>1</v>
      </c>
      <c r="AB95" s="107">
        <v>2</v>
      </c>
      <c r="AC95" s="106" t="s">
        <v>2</v>
      </c>
      <c r="AD95" s="107">
        <v>4</v>
      </c>
      <c r="AE95" s="107">
        <v>2</v>
      </c>
      <c r="AF95" s="189" t="s">
        <v>2</v>
      </c>
      <c r="AG95" s="189" t="s">
        <v>2</v>
      </c>
      <c r="AH95" s="189" t="s">
        <v>2</v>
      </c>
      <c r="AI95" s="189" t="s">
        <v>2</v>
      </c>
      <c r="AJ95" s="189" t="s">
        <v>2</v>
      </c>
    </row>
    <row r="96" spans="26:36" x14ac:dyDescent="0.25">
      <c r="Z96" s="4">
        <v>12</v>
      </c>
      <c r="AA96" s="107">
        <v>1</v>
      </c>
      <c r="AB96" s="107">
        <v>2</v>
      </c>
      <c r="AC96" s="106" t="s">
        <v>2</v>
      </c>
      <c r="AD96" s="106" t="s">
        <v>2</v>
      </c>
      <c r="AE96" s="107">
        <v>2</v>
      </c>
      <c r="AF96" s="189" t="s">
        <v>2</v>
      </c>
      <c r="AG96" s="189" t="s">
        <v>2</v>
      </c>
      <c r="AH96" s="189" t="s">
        <v>2</v>
      </c>
      <c r="AI96" s="189" t="s">
        <v>2</v>
      </c>
      <c r="AJ96" s="189" t="s">
        <v>2</v>
      </c>
    </row>
    <row r="97" spans="26:36" x14ac:dyDescent="0.25">
      <c r="Z97" s="4">
        <v>16</v>
      </c>
      <c r="AA97" s="106" t="s">
        <v>2</v>
      </c>
      <c r="AB97" s="106" t="s">
        <v>2</v>
      </c>
      <c r="AC97" s="106" t="s">
        <v>2</v>
      </c>
      <c r="AD97" s="106" t="s">
        <v>2</v>
      </c>
      <c r="AE97" s="107">
        <v>2</v>
      </c>
      <c r="AF97" s="189" t="s">
        <v>2</v>
      </c>
      <c r="AG97" s="189" t="s">
        <v>2</v>
      </c>
      <c r="AH97" s="189" t="s">
        <v>2</v>
      </c>
      <c r="AI97" s="189" t="s">
        <v>2</v>
      </c>
      <c r="AJ97" s="189" t="s">
        <v>2</v>
      </c>
    </row>
    <row r="98" spans="26:36" x14ac:dyDescent="0.25">
      <c r="Z98" s="186">
        <v>31</v>
      </c>
      <c r="AA98" s="106" t="s">
        <v>2</v>
      </c>
      <c r="AB98" s="106" t="s">
        <v>2</v>
      </c>
      <c r="AC98" s="106" t="s">
        <v>2</v>
      </c>
      <c r="AD98" s="106" t="s">
        <v>2</v>
      </c>
      <c r="AE98" s="106" t="s">
        <v>2</v>
      </c>
      <c r="AF98" s="190">
        <v>10</v>
      </c>
      <c r="AG98" s="190">
        <v>10</v>
      </c>
      <c r="AH98" s="190">
        <v>10</v>
      </c>
      <c r="AI98" s="190">
        <v>5</v>
      </c>
      <c r="AJ98" s="191" t="s">
        <v>2</v>
      </c>
    </row>
    <row r="99" spans="26:36" x14ac:dyDescent="0.25">
      <c r="Z99" s="187">
        <v>32</v>
      </c>
      <c r="AA99" s="106" t="s">
        <v>2</v>
      </c>
      <c r="AB99" s="106" t="s">
        <v>2</v>
      </c>
      <c r="AC99" s="106" t="s">
        <v>2</v>
      </c>
      <c r="AD99" s="106" t="s">
        <v>2</v>
      </c>
      <c r="AE99" s="106" t="s">
        <v>2</v>
      </c>
      <c r="AF99" s="192" t="s">
        <v>2</v>
      </c>
      <c r="AG99" s="192" t="s">
        <v>2</v>
      </c>
      <c r="AH99" s="192" t="s">
        <v>2</v>
      </c>
      <c r="AI99" s="190">
        <v>5</v>
      </c>
      <c r="AJ99" s="190">
        <v>2</v>
      </c>
    </row>
    <row r="100" spans="26:36" x14ac:dyDescent="0.25">
      <c r="Z100" s="186">
        <v>33</v>
      </c>
      <c r="AA100" s="106" t="s">
        <v>2</v>
      </c>
      <c r="AB100" s="106" t="s">
        <v>2</v>
      </c>
      <c r="AC100" s="106" t="s">
        <v>2</v>
      </c>
      <c r="AD100" s="106" t="s">
        <v>2</v>
      </c>
      <c r="AE100" s="106" t="s">
        <v>2</v>
      </c>
      <c r="AF100" s="190">
        <v>10</v>
      </c>
      <c r="AG100" s="190">
        <v>10</v>
      </c>
      <c r="AH100" s="190">
        <v>10</v>
      </c>
      <c r="AI100" s="190">
        <v>5</v>
      </c>
      <c r="AJ100" s="191" t="s">
        <v>2</v>
      </c>
    </row>
    <row r="101" spans="26:36" x14ac:dyDescent="0.25">
      <c r="Z101" s="187">
        <v>34</v>
      </c>
      <c r="AA101" s="106" t="s">
        <v>2</v>
      </c>
      <c r="AB101" s="106" t="s">
        <v>2</v>
      </c>
      <c r="AC101" s="106" t="s">
        <v>2</v>
      </c>
      <c r="AD101" s="106" t="s">
        <v>2</v>
      </c>
      <c r="AE101" s="106" t="s">
        <v>2</v>
      </c>
      <c r="AF101" s="192" t="s">
        <v>2</v>
      </c>
      <c r="AG101" s="192" t="s">
        <v>2</v>
      </c>
      <c r="AH101" s="192" t="s">
        <v>2</v>
      </c>
      <c r="AI101" s="190">
        <v>5</v>
      </c>
      <c r="AJ101" s="190">
        <v>2</v>
      </c>
    </row>
    <row r="102" spans="26:36" x14ac:dyDescent="0.25">
      <c r="Z102" s="186">
        <v>35</v>
      </c>
      <c r="AA102" s="106" t="s">
        <v>2</v>
      </c>
      <c r="AB102" s="106" t="s">
        <v>2</v>
      </c>
      <c r="AC102" s="106" t="s">
        <v>2</v>
      </c>
      <c r="AD102" s="106" t="s">
        <v>2</v>
      </c>
      <c r="AE102" s="106" t="s">
        <v>2</v>
      </c>
      <c r="AF102" s="190">
        <v>10</v>
      </c>
      <c r="AG102" s="190">
        <v>10</v>
      </c>
      <c r="AH102" s="190">
        <v>10</v>
      </c>
      <c r="AI102" s="190">
        <v>5</v>
      </c>
      <c r="AJ102" s="191" t="s">
        <v>2</v>
      </c>
    </row>
    <row r="103" spans="26:36" x14ac:dyDescent="0.25">
      <c r="Z103" s="187">
        <v>36</v>
      </c>
      <c r="AA103" s="106" t="s">
        <v>2</v>
      </c>
      <c r="AB103" s="106" t="s">
        <v>2</v>
      </c>
      <c r="AC103" s="106" t="s">
        <v>2</v>
      </c>
      <c r="AD103" s="106" t="s">
        <v>2</v>
      </c>
      <c r="AE103" s="106" t="s">
        <v>2</v>
      </c>
      <c r="AF103" s="192" t="s">
        <v>2</v>
      </c>
      <c r="AG103" s="192" t="s">
        <v>2</v>
      </c>
      <c r="AH103" s="192" t="s">
        <v>2</v>
      </c>
      <c r="AI103" s="190">
        <v>5</v>
      </c>
      <c r="AJ103" s="190">
        <v>2</v>
      </c>
    </row>
    <row r="104" spans="26:36" x14ac:dyDescent="0.25">
      <c r="Z104" s="186">
        <v>37</v>
      </c>
      <c r="AA104" s="106" t="s">
        <v>2</v>
      </c>
      <c r="AB104" s="106" t="s">
        <v>2</v>
      </c>
      <c r="AC104" s="106" t="s">
        <v>2</v>
      </c>
      <c r="AD104" s="106" t="s">
        <v>2</v>
      </c>
      <c r="AE104" s="106" t="s">
        <v>2</v>
      </c>
      <c r="AF104" s="190">
        <v>10</v>
      </c>
      <c r="AG104" s="190">
        <v>10</v>
      </c>
      <c r="AH104" s="190">
        <v>10</v>
      </c>
      <c r="AI104" s="190">
        <v>5</v>
      </c>
      <c r="AJ104" s="191" t="s">
        <v>2</v>
      </c>
    </row>
    <row r="105" spans="26:36" x14ac:dyDescent="0.25">
      <c r="Z105" s="187">
        <v>38</v>
      </c>
      <c r="AA105" s="106" t="s">
        <v>2</v>
      </c>
      <c r="AB105" s="106" t="s">
        <v>2</v>
      </c>
      <c r="AC105" s="106" t="s">
        <v>2</v>
      </c>
      <c r="AD105" s="106" t="s">
        <v>2</v>
      </c>
      <c r="AE105" s="106" t="s">
        <v>2</v>
      </c>
      <c r="AF105" s="192" t="s">
        <v>2</v>
      </c>
      <c r="AG105" s="192" t="s">
        <v>2</v>
      </c>
      <c r="AH105" s="192" t="s">
        <v>2</v>
      </c>
      <c r="AI105" s="190">
        <v>5</v>
      </c>
      <c r="AJ105" s="190">
        <v>2</v>
      </c>
    </row>
    <row r="106" spans="26:36" x14ac:dyDescent="0.25">
      <c r="Z106" s="186">
        <v>39</v>
      </c>
      <c r="AA106" s="106" t="s">
        <v>2</v>
      </c>
      <c r="AB106" s="106" t="s">
        <v>2</v>
      </c>
      <c r="AC106" s="106" t="s">
        <v>2</v>
      </c>
      <c r="AD106" s="106" t="s">
        <v>2</v>
      </c>
      <c r="AE106" s="106" t="s">
        <v>2</v>
      </c>
      <c r="AF106" s="190">
        <v>10</v>
      </c>
      <c r="AG106" s="190">
        <v>10</v>
      </c>
      <c r="AH106" s="190">
        <v>10</v>
      </c>
      <c r="AI106" s="190">
        <v>5</v>
      </c>
      <c r="AJ106" s="191" t="s">
        <v>2</v>
      </c>
    </row>
    <row r="107" spans="26:36" x14ac:dyDescent="0.25">
      <c r="Z107" s="187">
        <v>40</v>
      </c>
      <c r="AA107" s="106" t="s">
        <v>2</v>
      </c>
      <c r="AB107" s="106" t="s">
        <v>2</v>
      </c>
      <c r="AC107" s="106" t="s">
        <v>2</v>
      </c>
      <c r="AD107" s="106" t="s">
        <v>2</v>
      </c>
      <c r="AE107" s="106" t="s">
        <v>2</v>
      </c>
      <c r="AF107" s="192" t="s">
        <v>2</v>
      </c>
      <c r="AG107" s="192" t="s">
        <v>2</v>
      </c>
      <c r="AH107" s="192" t="s">
        <v>2</v>
      </c>
      <c r="AI107" s="190">
        <v>5</v>
      </c>
      <c r="AJ107" s="190">
        <v>2</v>
      </c>
    </row>
  </sheetData>
  <mergeCells count="19">
    <mergeCell ref="AX2:AZ2"/>
    <mergeCell ref="B2:B3"/>
    <mergeCell ref="N2:N3"/>
    <mergeCell ref="O2:X2"/>
    <mergeCell ref="D2:M2"/>
    <mergeCell ref="AA2:AJ2"/>
    <mergeCell ref="AL2:AL3"/>
    <mergeCell ref="AM2:AV2"/>
    <mergeCell ref="Z2:Z3"/>
    <mergeCell ref="AM29:AV29"/>
    <mergeCell ref="AL56:AL57"/>
    <mergeCell ref="AM56:AV56"/>
    <mergeCell ref="Z83:Z84"/>
    <mergeCell ref="AA83:AJ83"/>
    <mergeCell ref="Z29:Z30"/>
    <mergeCell ref="Z56:Z57"/>
    <mergeCell ref="AA29:AJ29"/>
    <mergeCell ref="AA56:AJ56"/>
    <mergeCell ref="AL29:AL30"/>
  </mergeCells>
  <pageMargins left="0.7" right="0.7" top="0.78740157499999996" bottom="0.78740157499999996"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sheetPr>
  <dimension ref="B2:M14"/>
  <sheetViews>
    <sheetView workbookViewId="0">
      <selection activeCell="B11" sqref="B11"/>
    </sheetView>
  </sheetViews>
  <sheetFormatPr baseColWidth="10" defaultRowHeight="15" x14ac:dyDescent="0.25"/>
  <cols>
    <col min="1" max="1" width="2.7109375" customWidth="1"/>
    <col min="2" max="2" width="27.7109375" customWidth="1"/>
    <col min="3" max="13" width="12.7109375" customWidth="1"/>
  </cols>
  <sheetData>
    <row r="2" spans="2:13" ht="37.5" customHeight="1" x14ac:dyDescent="0.25"/>
    <row r="3" spans="2:13" ht="45" x14ac:dyDescent="0.25">
      <c r="J3" s="167" t="s">
        <v>120</v>
      </c>
    </row>
    <row r="4" spans="2:13" x14ac:dyDescent="0.25">
      <c r="J4" s="168">
        <v>0.05</v>
      </c>
    </row>
    <row r="5" spans="2:13" x14ac:dyDescent="0.25">
      <c r="B5" s="169"/>
    </row>
    <row r="6" spans="2:13" s="170" customFormat="1" ht="30" x14ac:dyDescent="0.25">
      <c r="C6" s="171" t="s">
        <v>121</v>
      </c>
      <c r="D6" s="171" t="s">
        <v>121</v>
      </c>
      <c r="E6" s="171" t="s">
        <v>121</v>
      </c>
      <c r="F6" s="171" t="s">
        <v>121</v>
      </c>
      <c r="G6" s="171" t="s">
        <v>121</v>
      </c>
      <c r="H6" s="171" t="s">
        <v>121</v>
      </c>
      <c r="I6" s="171" t="s">
        <v>121</v>
      </c>
      <c r="J6" s="172" t="s">
        <v>122</v>
      </c>
      <c r="K6" s="172" t="s">
        <v>122</v>
      </c>
      <c r="L6" s="172" t="s">
        <v>122</v>
      </c>
      <c r="M6" s="172" t="s">
        <v>122</v>
      </c>
    </row>
    <row r="7" spans="2:13" ht="48" x14ac:dyDescent="0.35">
      <c r="B7" s="173"/>
      <c r="C7" s="167" t="s">
        <v>123</v>
      </c>
      <c r="D7" s="167" t="s">
        <v>124</v>
      </c>
      <c r="E7" s="141" t="s">
        <v>125</v>
      </c>
      <c r="F7" s="141" t="s">
        <v>126</v>
      </c>
      <c r="G7" s="141" t="s">
        <v>127</v>
      </c>
      <c r="H7" s="141" t="s">
        <v>128</v>
      </c>
      <c r="I7" s="141" t="s">
        <v>129</v>
      </c>
      <c r="J7" s="141" t="s">
        <v>129</v>
      </c>
      <c r="K7" s="143" t="s">
        <v>130</v>
      </c>
      <c r="L7" s="141" t="s">
        <v>127</v>
      </c>
      <c r="M7" s="141" t="s">
        <v>128</v>
      </c>
    </row>
    <row r="8" spans="2:13" x14ac:dyDescent="0.25">
      <c r="B8" s="142" t="s">
        <v>65</v>
      </c>
      <c r="C8" s="174">
        <v>0.05</v>
      </c>
      <c r="D8" s="174">
        <v>0.95</v>
      </c>
      <c r="E8" s="175"/>
      <c r="F8" s="175"/>
      <c r="G8" s="176">
        <f>MAX(C8,E8)</f>
        <v>0.05</v>
      </c>
      <c r="H8" s="176">
        <f>MIN(D8,F8)</f>
        <v>0.95</v>
      </c>
      <c r="I8" s="176">
        <f>H8-G8</f>
        <v>0.89999999999999991</v>
      </c>
      <c r="J8" s="177">
        <f>I8*(1-J$4)</f>
        <v>0.85499999999999987</v>
      </c>
      <c r="K8" s="178">
        <f>AVERAGE(G8:H8)</f>
        <v>0.5</v>
      </c>
      <c r="L8" s="179">
        <f>K8-J8/2</f>
        <v>7.2500000000000064E-2</v>
      </c>
      <c r="M8" s="179">
        <f>K8+J8/2</f>
        <v>0.92749999999999999</v>
      </c>
    </row>
    <row r="9" spans="2:13" x14ac:dyDescent="0.25">
      <c r="B9" s="142" t="s">
        <v>199</v>
      </c>
      <c r="C9" s="174">
        <v>0.15</v>
      </c>
      <c r="D9" s="174">
        <v>0.85</v>
      </c>
      <c r="E9" s="175">
        <v>0.3</v>
      </c>
      <c r="F9" s="175">
        <v>0.8</v>
      </c>
      <c r="G9" s="176">
        <f>MAX(C9,E9)</f>
        <v>0.3</v>
      </c>
      <c r="H9" s="176">
        <f>MIN(D9,F9)</f>
        <v>0.8</v>
      </c>
      <c r="I9" s="176">
        <f t="shared" ref="I9:I10" si="0">H9-G9</f>
        <v>0.5</v>
      </c>
      <c r="J9" s="177">
        <f>I9*(1-J$4)</f>
        <v>0.47499999999999998</v>
      </c>
      <c r="K9" s="178">
        <f t="shared" ref="K9:K10" si="1">AVERAGE(G9:H9)</f>
        <v>0.55000000000000004</v>
      </c>
      <c r="L9" s="179">
        <f>K9-J9/2</f>
        <v>0.31250000000000006</v>
      </c>
      <c r="M9" s="179">
        <f t="shared" ref="M9:M10" si="2">K9+J9/2</f>
        <v>0.78750000000000009</v>
      </c>
    </row>
    <row r="10" spans="2:13" s="180" customFormat="1" x14ac:dyDescent="0.25">
      <c r="B10" s="142" t="s">
        <v>200</v>
      </c>
      <c r="C10" s="174">
        <v>0.25</v>
      </c>
      <c r="D10" s="174">
        <v>0.75</v>
      </c>
      <c r="E10" s="175">
        <v>0.4</v>
      </c>
      <c r="F10" s="175">
        <v>0.6</v>
      </c>
      <c r="G10" s="176">
        <f>MAX(C10,E10)</f>
        <v>0.4</v>
      </c>
      <c r="H10" s="176">
        <f>MIN(D10,F10)</f>
        <v>0.6</v>
      </c>
      <c r="I10" s="176">
        <f t="shared" si="0"/>
        <v>0.19999999999999996</v>
      </c>
      <c r="J10" s="177">
        <f>I10*(1-J$4)</f>
        <v>0.18999999999999995</v>
      </c>
      <c r="K10" s="178">
        <f t="shared" si="1"/>
        <v>0.5</v>
      </c>
      <c r="L10" s="179">
        <f t="shared" ref="L10" si="3">K10-J10/2</f>
        <v>0.40500000000000003</v>
      </c>
      <c r="M10" s="179">
        <f t="shared" si="2"/>
        <v>0.59499999999999997</v>
      </c>
    </row>
    <row r="11" spans="2:13" ht="15" customHeight="1" x14ac:dyDescent="0.25"/>
    <row r="13" spans="2:13" x14ac:dyDescent="0.25">
      <c r="B13" s="42" t="s">
        <v>131</v>
      </c>
    </row>
    <row r="14" spans="2:13" x14ac:dyDescent="0.25">
      <c r="B14" t="s">
        <v>132</v>
      </c>
    </row>
  </sheetData>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B3:F33"/>
  <sheetViews>
    <sheetView workbookViewId="0"/>
  </sheetViews>
  <sheetFormatPr baseColWidth="10" defaultRowHeight="15" x14ac:dyDescent="0.25"/>
  <cols>
    <col min="2" max="2" width="70.28515625" bestFit="1" customWidth="1"/>
    <col min="3" max="3" width="11.5703125" customWidth="1"/>
    <col min="4" max="4" width="17.7109375" customWidth="1"/>
    <col min="12" max="12" width="32.140625" bestFit="1" customWidth="1"/>
  </cols>
  <sheetData>
    <row r="3" spans="2:4" x14ac:dyDescent="0.25">
      <c r="B3" s="15" t="s">
        <v>109</v>
      </c>
      <c r="C3" s="133" t="s">
        <v>13</v>
      </c>
      <c r="D3" s="137">
        <f>D9/(D9+D10)*D12  +  D10/(D9+D10)*D13</f>
        <v>0.98554547633711453</v>
      </c>
    </row>
    <row r="6" spans="2:4" x14ac:dyDescent="0.25">
      <c r="B6" s="15" t="s">
        <v>85</v>
      </c>
      <c r="C6" s="133" t="s">
        <v>11</v>
      </c>
      <c r="D6" s="134">
        <f>MAX(10,'Template_OVC-HEV'!D10/6)</f>
        <v>13.333333333333334</v>
      </c>
    </row>
    <row r="7" spans="2:4" x14ac:dyDescent="0.25">
      <c r="B7" s="15" t="s">
        <v>86</v>
      </c>
      <c r="C7" s="133" t="s">
        <v>11</v>
      </c>
      <c r="D7" s="134">
        <f>MIN('Template_OVC-HEV'!D9,'Template_OVC-HEV'!D20)</f>
        <v>150</v>
      </c>
    </row>
    <row r="9" spans="2:4" x14ac:dyDescent="0.25">
      <c r="B9" s="15" t="s">
        <v>87</v>
      </c>
      <c r="C9" s="133" t="s">
        <v>15</v>
      </c>
      <c r="D9" s="134">
        <f>'Template_OVC-HEV'!D23*'Template_OVC-HEV'!D10</f>
        <v>60</v>
      </c>
    </row>
    <row r="10" spans="2:4" x14ac:dyDescent="0.25">
      <c r="B10" s="15" t="s">
        <v>88</v>
      </c>
      <c r="C10" s="133" t="s">
        <v>15</v>
      </c>
      <c r="D10" s="134">
        <f>'Template_OVC-HEV'!D29</f>
        <v>36.255537071398308</v>
      </c>
    </row>
    <row r="12" spans="2:4" x14ac:dyDescent="0.25">
      <c r="B12" s="15" t="s">
        <v>83</v>
      </c>
      <c r="C12" s="133" t="s">
        <v>13</v>
      </c>
      <c r="D12" s="136">
        <f>D18</f>
        <v>0.9968639440694731</v>
      </c>
    </row>
    <row r="13" spans="2:4" x14ac:dyDescent="0.25">
      <c r="B13" s="15" t="s">
        <v>84</v>
      </c>
      <c r="C13" s="133" t="s">
        <v>13</v>
      </c>
      <c r="D13" s="136">
        <f>D22</f>
        <v>0.96681432190395489</v>
      </c>
    </row>
    <row r="16" spans="2:4" x14ac:dyDescent="0.25">
      <c r="B16" t="s">
        <v>112</v>
      </c>
      <c r="C16" s="139" t="s">
        <v>11</v>
      </c>
      <c r="D16" s="44">
        <f>D6</f>
        <v>13.333333333333334</v>
      </c>
    </row>
    <row r="17" spans="2:6" x14ac:dyDescent="0.25">
      <c r="B17" t="s">
        <v>113</v>
      </c>
      <c r="C17" s="139" t="s">
        <v>11</v>
      </c>
      <c r="D17" s="140">
        <f>D30</f>
        <v>4.1814079073692716E-2</v>
      </c>
    </row>
    <row r="18" spans="2:6" x14ac:dyDescent="0.25">
      <c r="B18" t="s">
        <v>107</v>
      </c>
      <c r="C18" s="139" t="s">
        <v>95</v>
      </c>
      <c r="D18" s="138">
        <f>1-D17/D16</f>
        <v>0.9968639440694731</v>
      </c>
    </row>
    <row r="19" spans="2:6" x14ac:dyDescent="0.25">
      <c r="C19" s="139"/>
    </row>
    <row r="20" spans="2:6" x14ac:dyDescent="0.25">
      <c r="B20" t="s">
        <v>114</v>
      </c>
      <c r="C20" s="139" t="s">
        <v>11</v>
      </c>
      <c r="D20" s="44">
        <f>D7</f>
        <v>150</v>
      </c>
    </row>
    <row r="21" spans="2:6" x14ac:dyDescent="0.25">
      <c r="B21" t="s">
        <v>115</v>
      </c>
      <c r="C21" s="139" t="s">
        <v>11</v>
      </c>
      <c r="D21" s="140">
        <f>D33</f>
        <v>4.977851714406774</v>
      </c>
    </row>
    <row r="22" spans="2:6" x14ac:dyDescent="0.25">
      <c r="B22" t="s">
        <v>108</v>
      </c>
      <c r="C22" s="139" t="s">
        <v>95</v>
      </c>
      <c r="D22" s="138">
        <f>1-D21/D20</f>
        <v>0.96681432190395489</v>
      </c>
    </row>
    <row r="23" spans="2:6" x14ac:dyDescent="0.25">
      <c r="C23" s="139"/>
      <c r="D23" s="138"/>
    </row>
    <row r="24" spans="2:6" x14ac:dyDescent="0.25">
      <c r="C24" s="139"/>
      <c r="D24" s="138"/>
    </row>
    <row r="25" spans="2:6" ht="15.75" thickBot="1" x14ac:dyDescent="0.3">
      <c r="B25" s="35" t="s">
        <v>111</v>
      </c>
      <c r="C25" s="139"/>
    </row>
    <row r="26" spans="2:6" x14ac:dyDescent="0.25">
      <c r="B26" s="156" t="s">
        <v>103</v>
      </c>
      <c r="C26" s="157" t="s">
        <v>117</v>
      </c>
      <c r="D26" s="110">
        <v>650</v>
      </c>
      <c r="F26" s="35" t="s">
        <v>110</v>
      </c>
    </row>
    <row r="27" spans="2:6" x14ac:dyDescent="0.25">
      <c r="B27" s="158" t="s">
        <v>104</v>
      </c>
      <c r="C27" s="159" t="s">
        <v>118</v>
      </c>
      <c r="D27" s="160">
        <v>0.1</v>
      </c>
      <c r="F27" s="35" t="s">
        <v>110</v>
      </c>
    </row>
    <row r="28" spans="2:6" x14ac:dyDescent="0.25">
      <c r="B28" s="158"/>
      <c r="C28" s="159"/>
      <c r="D28" s="161"/>
    </row>
    <row r="29" spans="2:6" x14ac:dyDescent="0.25">
      <c r="B29" s="158" t="s">
        <v>91</v>
      </c>
      <c r="C29" s="159" t="s">
        <v>119</v>
      </c>
      <c r="D29" s="162">
        <f>(-D26+SQRT(D26*D26-4*D27*D16*-1*1000))/2/D27</f>
        <v>20.448491160399271</v>
      </c>
    </row>
    <row r="30" spans="2:6" x14ac:dyDescent="0.25">
      <c r="B30" s="158" t="s">
        <v>92</v>
      </c>
      <c r="C30" s="159" t="s">
        <v>11</v>
      </c>
      <c r="D30" s="162">
        <f>D29*D29*D27/1000</f>
        <v>4.1814079073692716E-2</v>
      </c>
    </row>
    <row r="31" spans="2:6" x14ac:dyDescent="0.25">
      <c r="B31" s="158"/>
      <c r="C31" s="159"/>
      <c r="D31" s="161"/>
    </row>
    <row r="32" spans="2:6" x14ac:dyDescent="0.25">
      <c r="B32" s="158" t="s">
        <v>93</v>
      </c>
      <c r="C32" s="159" t="s">
        <v>119</v>
      </c>
      <c r="D32" s="162">
        <f>(-D26+SQRT(D26*D26-4*D27*D20*-1*1000))/2/D27</f>
        <v>223.11099736245126</v>
      </c>
    </row>
    <row r="33" spans="2:4" ht="15.75" thickBot="1" x14ac:dyDescent="0.3">
      <c r="B33" s="163" t="s">
        <v>94</v>
      </c>
      <c r="C33" s="164" t="s">
        <v>11</v>
      </c>
      <c r="D33" s="165">
        <f>D32*D32*D27/1000</f>
        <v>4.977851714406774</v>
      </c>
    </row>
  </sheetData>
  <pageMargins left="0.7" right="0.7" top="0.78740157499999996" bottom="0.78740157499999996"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30A0"/>
  </sheetPr>
  <dimension ref="B2:F37"/>
  <sheetViews>
    <sheetView workbookViewId="0">
      <selection activeCell="L34" sqref="L34"/>
    </sheetView>
  </sheetViews>
  <sheetFormatPr baseColWidth="10" defaultRowHeight="15" x14ac:dyDescent="0.25"/>
  <cols>
    <col min="1" max="1" width="2.7109375" customWidth="1"/>
    <col min="2" max="2" width="67.7109375" customWidth="1"/>
    <col min="3" max="4" width="12.7109375" customWidth="1"/>
    <col min="5" max="5" width="4" customWidth="1"/>
    <col min="6" max="12" width="12.7109375" customWidth="1"/>
  </cols>
  <sheetData>
    <row r="2" spans="2:6" x14ac:dyDescent="0.25">
      <c r="B2" s="21" t="s">
        <v>58</v>
      </c>
    </row>
    <row r="3" spans="2:6" x14ac:dyDescent="0.25">
      <c r="B3" s="21"/>
    </row>
    <row r="4" spans="2:6" x14ac:dyDescent="0.25">
      <c r="B4" s="35" t="s">
        <v>54</v>
      </c>
      <c r="C4" s="36"/>
      <c r="D4" s="36"/>
    </row>
    <row r="5" spans="2:6" x14ac:dyDescent="0.25">
      <c r="B5" s="266" t="s">
        <v>53</v>
      </c>
      <c r="C5" s="267"/>
      <c r="D5" s="37">
        <v>123</v>
      </c>
    </row>
    <row r="6" spans="2:6" x14ac:dyDescent="0.25">
      <c r="B6" s="266" t="s">
        <v>55</v>
      </c>
      <c r="C6" s="268"/>
      <c r="D6" s="38">
        <v>123</v>
      </c>
    </row>
    <row r="7" spans="2:6" x14ac:dyDescent="0.25">
      <c r="B7" s="266" t="s">
        <v>56</v>
      </c>
      <c r="C7" s="267"/>
      <c r="D7" s="39">
        <v>123</v>
      </c>
    </row>
    <row r="8" spans="2:6" ht="15.75" thickBot="1" x14ac:dyDescent="0.3">
      <c r="B8" s="16"/>
    </row>
    <row r="9" spans="2:6" x14ac:dyDescent="0.25">
      <c r="B9" s="108" t="s">
        <v>60</v>
      </c>
      <c r="C9" s="109" t="s">
        <v>11</v>
      </c>
      <c r="D9" s="110">
        <v>150</v>
      </c>
      <c r="F9" s="36" t="s">
        <v>33</v>
      </c>
    </row>
    <row r="10" spans="2:6" x14ac:dyDescent="0.25">
      <c r="B10" s="111" t="s">
        <v>82</v>
      </c>
      <c r="C10" s="13" t="s">
        <v>15</v>
      </c>
      <c r="D10" s="112">
        <v>80</v>
      </c>
      <c r="F10" s="36" t="s">
        <v>105</v>
      </c>
    </row>
    <row r="11" spans="2:6" x14ac:dyDescent="0.25">
      <c r="B11" s="111" t="s">
        <v>66</v>
      </c>
      <c r="C11" s="13" t="s">
        <v>16</v>
      </c>
      <c r="D11" s="113">
        <v>1.0369999999999999</v>
      </c>
      <c r="F11" s="36" t="s">
        <v>59</v>
      </c>
    </row>
    <row r="12" spans="2:6" x14ac:dyDescent="0.25">
      <c r="B12" s="111" t="s">
        <v>96</v>
      </c>
      <c r="C12" s="13" t="s">
        <v>64</v>
      </c>
      <c r="D12" s="113">
        <v>3.85</v>
      </c>
    </row>
    <row r="13" spans="2:6" ht="15.75" thickBot="1" x14ac:dyDescent="0.3">
      <c r="B13" s="114" t="s">
        <v>97</v>
      </c>
      <c r="C13" s="115" t="s">
        <v>64</v>
      </c>
      <c r="D13" s="116">
        <v>27.35</v>
      </c>
    </row>
    <row r="14" spans="2:6" ht="15.75" thickBot="1" x14ac:dyDescent="0.3"/>
    <row r="15" spans="2:6" ht="18" x14ac:dyDescent="0.35">
      <c r="B15" s="108" t="s">
        <v>81</v>
      </c>
      <c r="C15" s="109" t="s">
        <v>25</v>
      </c>
      <c r="D15" s="117">
        <f>D10/D11</f>
        <v>77.145612343297984</v>
      </c>
    </row>
    <row r="16" spans="2:6" x14ac:dyDescent="0.25">
      <c r="B16" s="111" t="s">
        <v>49</v>
      </c>
      <c r="C16" s="13" t="s">
        <v>25</v>
      </c>
      <c r="D16" s="118">
        <f>D15*((D13-D12)/D13)</f>
        <v>66.28599232422313</v>
      </c>
    </row>
    <row r="17" spans="2:6" ht="15.75" thickBot="1" x14ac:dyDescent="0.3">
      <c r="B17" s="114" t="s">
        <v>51</v>
      </c>
      <c r="C17" s="115" t="s">
        <v>25</v>
      </c>
      <c r="D17" s="119">
        <f>D16</f>
        <v>66.28599232422313</v>
      </c>
    </row>
    <row r="18" spans="2:6" ht="15.75" thickBot="1" x14ac:dyDescent="0.3"/>
    <row r="19" spans="2:6" x14ac:dyDescent="0.25">
      <c r="B19" s="120" t="s">
        <v>27</v>
      </c>
      <c r="C19" s="121" t="s">
        <v>10</v>
      </c>
      <c r="D19" s="122">
        <f>GenericData_VehicleOperation!$O$11</f>
        <v>480</v>
      </c>
    </row>
    <row r="20" spans="2:6" x14ac:dyDescent="0.25">
      <c r="B20" s="123" t="s">
        <v>34</v>
      </c>
      <c r="C20" s="12" t="s">
        <v>11</v>
      </c>
      <c r="D20" s="124">
        <f>GenericData_VehicleOperation!$AA$38</f>
        <v>500</v>
      </c>
    </row>
    <row r="21" spans="2:6" x14ac:dyDescent="0.25">
      <c r="B21" s="123" t="s">
        <v>43</v>
      </c>
      <c r="C21" s="12" t="s">
        <v>12</v>
      </c>
      <c r="D21" s="124">
        <f>GenericData_VehicleOperation!$AA$65</f>
        <v>0.5</v>
      </c>
    </row>
    <row r="22" spans="2:6" x14ac:dyDescent="0.25">
      <c r="B22" s="123" t="s">
        <v>44</v>
      </c>
      <c r="C22" s="12" t="s">
        <v>13</v>
      </c>
      <c r="D22" s="125">
        <f>GenericData_VehicleOperation!$AA$92</f>
        <v>1</v>
      </c>
    </row>
    <row r="23" spans="2:6" x14ac:dyDescent="0.25">
      <c r="B23" s="123" t="s">
        <v>40</v>
      </c>
      <c r="C23" s="12" t="s">
        <v>13</v>
      </c>
      <c r="D23" s="124">
        <f>GenericData_VehicleOperation!$AX$11</f>
        <v>0.75</v>
      </c>
    </row>
    <row r="24" spans="2:6" x14ac:dyDescent="0.25">
      <c r="B24" s="123" t="s">
        <v>32</v>
      </c>
      <c r="C24" s="12" t="s">
        <v>13</v>
      </c>
      <c r="D24" s="125">
        <f>GenericData_VehicleOperation!$AY$11</f>
        <v>0.5</v>
      </c>
    </row>
    <row r="25" spans="2:6" ht="15.75" thickBot="1" x14ac:dyDescent="0.3">
      <c r="B25" s="126" t="s">
        <v>116</v>
      </c>
      <c r="C25" s="127" t="s">
        <v>13</v>
      </c>
      <c r="D25" s="152">
        <f>'BatteryData OVC-HEV'!D3</f>
        <v>0.98554547633711453</v>
      </c>
      <c r="F25" s="43"/>
    </row>
    <row r="26" spans="2:6" ht="15.75" thickBot="1" x14ac:dyDescent="0.3">
      <c r="F26" s="36"/>
    </row>
    <row r="27" spans="2:6" x14ac:dyDescent="0.25">
      <c r="B27" s="108" t="s">
        <v>35</v>
      </c>
      <c r="C27" s="109" t="s">
        <v>25</v>
      </c>
      <c r="D27" s="117">
        <f>D15*D23</f>
        <v>57.859209257473488</v>
      </c>
      <c r="F27" s="36"/>
    </row>
    <row r="28" spans="2:6" x14ac:dyDescent="0.25">
      <c r="B28" s="111" t="s">
        <v>90</v>
      </c>
      <c r="C28" s="153" t="s">
        <v>13</v>
      </c>
      <c r="D28" s="154">
        <f>'BatteryData OVC-HEV'!D13</f>
        <v>0.96681432190395489</v>
      </c>
      <c r="F28" s="36"/>
    </row>
    <row r="29" spans="2:6" x14ac:dyDescent="0.25">
      <c r="B29" s="111" t="s">
        <v>36</v>
      </c>
      <c r="C29" s="13" t="s">
        <v>15</v>
      </c>
      <c r="D29" s="118">
        <f>MIN(MIN(D9,D20)*D21*D28,D10)*D22*D24</f>
        <v>36.255537071398308</v>
      </c>
      <c r="F29" s="36" t="s">
        <v>61</v>
      </c>
    </row>
    <row r="30" spans="2:6" ht="15.75" thickBot="1" x14ac:dyDescent="0.3">
      <c r="B30" s="114" t="s">
        <v>29</v>
      </c>
      <c r="C30" s="115" t="s">
        <v>25</v>
      </c>
      <c r="D30" s="119">
        <f>D29/D11</f>
        <v>34.961945102602037</v>
      </c>
      <c r="F30" s="36"/>
    </row>
    <row r="31" spans="2:6" ht="15.75" thickBot="1" x14ac:dyDescent="0.3">
      <c r="F31" s="36"/>
    </row>
    <row r="32" spans="2:6" ht="15.75" thickBot="1" x14ac:dyDescent="0.3">
      <c r="B32" s="128" t="s">
        <v>24</v>
      </c>
      <c r="C32" s="129" t="s">
        <v>13</v>
      </c>
      <c r="D32" s="130">
        <f>MIN(1,(D27+D30)/D19)</f>
        <v>0.19337740491682401</v>
      </c>
      <c r="F32" s="36" t="s">
        <v>38</v>
      </c>
    </row>
    <row r="33" spans="2:6" ht="12" customHeight="1" thickBot="1" x14ac:dyDescent="0.3">
      <c r="F33" s="36"/>
    </row>
    <row r="34" spans="2:6" ht="15.75" thickBot="1" x14ac:dyDescent="0.3">
      <c r="B34" s="128" t="s">
        <v>106</v>
      </c>
      <c r="C34" s="129" t="s">
        <v>16</v>
      </c>
      <c r="D34" s="130">
        <f>D11/D25</f>
        <v>1.0522091825271438</v>
      </c>
      <c r="F34" s="36" t="s">
        <v>67</v>
      </c>
    </row>
    <row r="35" spans="2:6" ht="12" customHeight="1" thickBot="1" x14ac:dyDescent="0.3"/>
    <row r="36" spans="2:6" x14ac:dyDescent="0.25">
      <c r="B36" s="108" t="s">
        <v>30</v>
      </c>
      <c r="C36" s="109" t="s">
        <v>16</v>
      </c>
      <c r="D36" s="132">
        <f>D32*D34</f>
        <v>0.20347348114675187</v>
      </c>
    </row>
    <row r="37" spans="2:6" ht="15.75" thickBot="1" x14ac:dyDescent="0.3">
      <c r="B37" s="114" t="s">
        <v>31</v>
      </c>
      <c r="C37" s="115" t="s">
        <v>64</v>
      </c>
      <c r="D37" s="131">
        <f>D32*D12+(1-D32)*D13</f>
        <v>22.805630984454638</v>
      </c>
    </row>
  </sheetData>
  <mergeCells count="3">
    <mergeCell ref="B5:C5"/>
    <mergeCell ref="B6:C6"/>
    <mergeCell ref="B7:C7"/>
  </mergeCells>
  <pageMargins left="0.7" right="0.7" top="0.78740157499999996" bottom="0.78740157499999996"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sheetPr>
  <dimension ref="B3:F24"/>
  <sheetViews>
    <sheetView workbookViewId="0">
      <selection activeCell="B34" sqref="B34"/>
    </sheetView>
  </sheetViews>
  <sheetFormatPr baseColWidth="10" defaultRowHeight="15" x14ac:dyDescent="0.25"/>
  <cols>
    <col min="2" max="2" width="70.28515625" bestFit="1" customWidth="1"/>
    <col min="3" max="3" width="11.5703125" customWidth="1"/>
    <col min="4" max="4" width="17.7109375" customWidth="1"/>
    <col min="12" max="12" width="32.140625" bestFit="1" customWidth="1"/>
  </cols>
  <sheetData>
    <row r="3" spans="2:4" x14ac:dyDescent="0.25">
      <c r="B3" s="15" t="s">
        <v>52</v>
      </c>
      <c r="C3" s="133" t="s">
        <v>13</v>
      </c>
      <c r="D3" s="137">
        <f>D10</f>
        <v>0.99608604571805037</v>
      </c>
    </row>
    <row r="6" spans="2:4" x14ac:dyDescent="0.25">
      <c r="B6" s="15" t="s">
        <v>85</v>
      </c>
      <c r="C6" s="133" t="s">
        <v>11</v>
      </c>
      <c r="D6" s="134">
        <f>MAX(10,'Template_OVC-HEV'!D20/6)</f>
        <v>83.333333333333329</v>
      </c>
    </row>
    <row r="8" spans="2:4" x14ac:dyDescent="0.25">
      <c r="B8" s="15" t="s">
        <v>87</v>
      </c>
      <c r="C8" s="133" t="s">
        <v>15</v>
      </c>
      <c r="D8" s="134">
        <f>'Template_OVC-HEV'!D23*'Template_OVC-HEV'!D10</f>
        <v>60</v>
      </c>
    </row>
    <row r="10" spans="2:4" x14ac:dyDescent="0.25">
      <c r="B10" s="15" t="s">
        <v>83</v>
      </c>
      <c r="C10" s="133" t="s">
        <v>13</v>
      </c>
      <c r="D10" s="136">
        <f>D15</f>
        <v>0.99608604571805037</v>
      </c>
    </row>
    <row r="13" spans="2:4" x14ac:dyDescent="0.25">
      <c r="B13" t="s">
        <v>112</v>
      </c>
      <c r="C13" s="139" t="s">
        <v>11</v>
      </c>
      <c r="D13" s="44">
        <f>D6</f>
        <v>83.333333333333329</v>
      </c>
    </row>
    <row r="14" spans="2:4" x14ac:dyDescent="0.25">
      <c r="B14" t="s">
        <v>113</v>
      </c>
      <c r="C14" s="139" t="s">
        <v>11</v>
      </c>
      <c r="D14" s="140">
        <f>D24</f>
        <v>0.32616285682913304</v>
      </c>
    </row>
    <row r="15" spans="2:4" x14ac:dyDescent="0.25">
      <c r="B15" t="s">
        <v>107</v>
      </c>
      <c r="C15" s="139" t="s">
        <v>95</v>
      </c>
      <c r="D15" s="138">
        <f>1-D14/D13</f>
        <v>0.99608604571805037</v>
      </c>
    </row>
    <row r="16" spans="2:4" x14ac:dyDescent="0.25">
      <c r="C16" s="139"/>
      <c r="D16" s="138"/>
    </row>
    <row r="17" spans="2:6" x14ac:dyDescent="0.25">
      <c r="C17" s="139"/>
      <c r="D17" s="138"/>
    </row>
    <row r="18" spans="2:6" x14ac:dyDescent="0.25">
      <c r="C18" s="139"/>
      <c r="D18" s="138"/>
    </row>
    <row r="19" spans="2:6" ht="15.75" thickBot="1" x14ac:dyDescent="0.3">
      <c r="B19" s="35" t="s">
        <v>111</v>
      </c>
      <c r="C19" s="139"/>
    </row>
    <row r="20" spans="2:6" x14ac:dyDescent="0.25">
      <c r="B20" s="156" t="s">
        <v>103</v>
      </c>
      <c r="C20" s="157" t="s">
        <v>117</v>
      </c>
      <c r="D20" s="110">
        <v>650</v>
      </c>
      <c r="F20" s="35" t="s">
        <v>110</v>
      </c>
    </row>
    <row r="21" spans="2:6" x14ac:dyDescent="0.25">
      <c r="B21" s="158" t="s">
        <v>104</v>
      </c>
      <c r="C21" s="159" t="s">
        <v>118</v>
      </c>
      <c r="D21" s="160">
        <v>0.02</v>
      </c>
      <c r="F21" s="35" t="s">
        <v>110</v>
      </c>
    </row>
    <row r="22" spans="2:6" x14ac:dyDescent="0.25">
      <c r="B22" s="158"/>
      <c r="C22" s="159"/>
      <c r="D22" s="161"/>
    </row>
    <row r="23" spans="2:6" x14ac:dyDescent="0.25">
      <c r="B23" s="158" t="s">
        <v>91</v>
      </c>
      <c r="C23" s="159" t="s">
        <v>119</v>
      </c>
      <c r="D23" s="162">
        <f>(-D20+SQRT(D20*D20-4*D21*D13*-1*1000))/2/D21</f>
        <v>127.70333919462189</v>
      </c>
    </row>
    <row r="24" spans="2:6" ht="15.75" thickBot="1" x14ac:dyDescent="0.3">
      <c r="B24" s="163" t="s">
        <v>92</v>
      </c>
      <c r="C24" s="164" t="s">
        <v>11</v>
      </c>
      <c r="D24" s="165">
        <f>D23*D23*D21/1000</f>
        <v>0.32616285682913304</v>
      </c>
    </row>
  </sheetData>
  <pageMargins left="0.7" right="0.7" top="0.78740157499999996" bottom="0.78740157499999996"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70C0"/>
  </sheetPr>
  <dimension ref="B2:F17"/>
  <sheetViews>
    <sheetView workbookViewId="0"/>
  </sheetViews>
  <sheetFormatPr baseColWidth="10" defaultRowHeight="15" x14ac:dyDescent="0.25"/>
  <cols>
    <col min="1" max="1" width="2.7109375" customWidth="1"/>
    <col min="2" max="2" width="74.140625" bestFit="1" customWidth="1"/>
    <col min="3" max="4" width="12.7109375" customWidth="1"/>
    <col min="5" max="5" width="4" customWidth="1"/>
    <col min="6" max="12" width="12.7109375" customWidth="1"/>
  </cols>
  <sheetData>
    <row r="2" spans="2:6" x14ac:dyDescent="0.25">
      <c r="B2" s="21" t="s">
        <v>62</v>
      </c>
    </row>
    <row r="3" spans="2:6" x14ac:dyDescent="0.25">
      <c r="B3" s="21"/>
    </row>
    <row r="4" spans="2:6" x14ac:dyDescent="0.25">
      <c r="B4" s="35" t="s">
        <v>54</v>
      </c>
      <c r="C4" s="36"/>
      <c r="D4" s="36"/>
    </row>
    <row r="5" spans="2:6" x14ac:dyDescent="0.25">
      <c r="B5" s="266" t="s">
        <v>53</v>
      </c>
      <c r="C5" s="267"/>
      <c r="D5" s="37">
        <v>123</v>
      </c>
    </row>
    <row r="6" spans="2:6" x14ac:dyDescent="0.25">
      <c r="B6" s="266" t="s">
        <v>55</v>
      </c>
      <c r="C6" s="268"/>
      <c r="D6" s="38">
        <v>123</v>
      </c>
    </row>
    <row r="7" spans="2:6" x14ac:dyDescent="0.25">
      <c r="B7" s="266" t="s">
        <v>56</v>
      </c>
      <c r="C7" s="267"/>
      <c r="D7" s="39">
        <v>123</v>
      </c>
    </row>
    <row r="8" spans="2:6" ht="15.75" thickBot="1" x14ac:dyDescent="0.3">
      <c r="B8" s="16"/>
    </row>
    <row r="9" spans="2:6" x14ac:dyDescent="0.25">
      <c r="B9" s="108" t="s">
        <v>82</v>
      </c>
      <c r="C9" s="109" t="s">
        <v>15</v>
      </c>
      <c r="D9" s="155">
        <v>600</v>
      </c>
      <c r="F9" s="36" t="s">
        <v>105</v>
      </c>
    </row>
    <row r="10" spans="2:6" ht="15.75" thickBot="1" x14ac:dyDescent="0.3">
      <c r="B10" s="114" t="s">
        <v>66</v>
      </c>
      <c r="C10" s="115" t="s">
        <v>16</v>
      </c>
      <c r="D10" s="116">
        <v>1.234</v>
      </c>
      <c r="F10" s="36" t="s">
        <v>59</v>
      </c>
    </row>
    <row r="11" spans="2:6" ht="15.75" thickBot="1" x14ac:dyDescent="0.3"/>
    <row r="12" spans="2:6" ht="18" x14ac:dyDescent="0.35">
      <c r="B12" s="108" t="s">
        <v>81</v>
      </c>
      <c r="C12" s="109" t="s">
        <v>25</v>
      </c>
      <c r="D12" s="117">
        <f>D9/D10</f>
        <v>486.22366288492708</v>
      </c>
    </row>
    <row r="13" spans="2:6" x14ac:dyDescent="0.25">
      <c r="B13" s="111" t="s">
        <v>49</v>
      </c>
      <c r="C13" s="13" t="s">
        <v>25</v>
      </c>
      <c r="D13" s="118">
        <f>D12</f>
        <v>486.22366288492708</v>
      </c>
    </row>
    <row r="14" spans="2:6" ht="15.75" thickBot="1" x14ac:dyDescent="0.3">
      <c r="B14" s="114" t="s">
        <v>51</v>
      </c>
      <c r="C14" s="115" t="s">
        <v>25</v>
      </c>
      <c r="D14" s="119">
        <f>D13</f>
        <v>486.22366288492708</v>
      </c>
    </row>
    <row r="15" spans="2:6" ht="15.75" thickBot="1" x14ac:dyDescent="0.3"/>
    <row r="16" spans="2:6" x14ac:dyDescent="0.25">
      <c r="B16" s="120" t="s">
        <v>57</v>
      </c>
      <c r="C16" s="121" t="s">
        <v>13</v>
      </c>
      <c r="D16" s="166">
        <f>'BatteryData PEV'!D3</f>
        <v>0.99608604571805037</v>
      </c>
    </row>
    <row r="17" spans="2:6" ht="15.75" thickBot="1" x14ac:dyDescent="0.3">
      <c r="B17" s="114" t="s">
        <v>106</v>
      </c>
      <c r="C17" s="115" t="s">
        <v>16</v>
      </c>
      <c r="D17" s="131">
        <f>D10/D16</f>
        <v>1.238848797555882</v>
      </c>
      <c r="F17" s="36" t="s">
        <v>67</v>
      </c>
    </row>
  </sheetData>
  <mergeCells count="3">
    <mergeCell ref="B5:C5"/>
    <mergeCell ref="B6:C6"/>
    <mergeCell ref="B7:C7"/>
  </mergeCells>
  <pageMargins left="0.7" right="0.7" top="0.78740157499999996" bottom="0.78740157499999996" header="0.3" footer="0.3"/>
  <pageSetup paperSize="9" orientation="portrait"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B2:M43"/>
  <sheetViews>
    <sheetView workbookViewId="0">
      <selection activeCell="F28" sqref="F28"/>
    </sheetView>
  </sheetViews>
  <sheetFormatPr baseColWidth="10" defaultRowHeight="15" x14ac:dyDescent="0.25"/>
  <cols>
    <col min="2" max="2" width="70.28515625" bestFit="1" customWidth="1"/>
    <col min="3" max="3" width="11.5703125" customWidth="1"/>
    <col min="4" max="4" width="17.7109375" customWidth="1"/>
    <col min="12" max="12" width="32.140625" bestFit="1" customWidth="1"/>
    <col min="13" max="13" width="11.42578125" hidden="1" customWidth="1"/>
  </cols>
  <sheetData>
    <row r="2" spans="2:13" x14ac:dyDescent="0.25">
      <c r="B2" s="15" t="s">
        <v>162</v>
      </c>
      <c r="C2" s="221" t="s">
        <v>164</v>
      </c>
    </row>
    <row r="3" spans="2:13" x14ac:dyDescent="0.25">
      <c r="M3" t="s">
        <v>163</v>
      </c>
    </row>
    <row r="4" spans="2:13" x14ac:dyDescent="0.25">
      <c r="B4" s="15" t="s">
        <v>109</v>
      </c>
      <c r="C4" s="133" t="s">
        <v>13</v>
      </c>
      <c r="D4" s="137">
        <f>D10/(D10+D11+D12)*D14  +  D11/(D10+D11+D12)*D15 +  D12/(D10+D11+D12)*D16</f>
        <v>0.98907419711972211</v>
      </c>
      <c r="M4" t="s">
        <v>164</v>
      </c>
    </row>
    <row r="6" spans="2:13" x14ac:dyDescent="0.25">
      <c r="B6" s="15" t="s">
        <v>85</v>
      </c>
      <c r="C6" s="133" t="s">
        <v>11</v>
      </c>
      <c r="D6" s="134">
        <f>MAX(10,'Template IMC_OVC-HEV'!D10/6)</f>
        <v>13.333333333333334</v>
      </c>
    </row>
    <row r="7" spans="2:13" x14ac:dyDescent="0.25">
      <c r="B7" s="15" t="s">
        <v>86</v>
      </c>
      <c r="C7" s="133" t="s">
        <v>11</v>
      </c>
      <c r="D7" s="134">
        <f>MIN('Template IMC_OVC-HEV'!D9,'Template IMC_OVC-HEV'!D20)</f>
        <v>150</v>
      </c>
    </row>
    <row r="8" spans="2:13" x14ac:dyDescent="0.25">
      <c r="B8" s="15" t="s">
        <v>156</v>
      </c>
      <c r="C8" s="133" t="s">
        <v>11</v>
      </c>
      <c r="D8" s="134">
        <f>IF(C2="No",100,30)</f>
        <v>100</v>
      </c>
    </row>
    <row r="10" spans="2:13" x14ac:dyDescent="0.25">
      <c r="B10" s="15" t="s">
        <v>87</v>
      </c>
      <c r="C10" s="133" t="s">
        <v>15</v>
      </c>
      <c r="D10" s="134">
        <f>'Template IMC_OVC-HEV'!D29</f>
        <v>60</v>
      </c>
    </row>
    <row r="11" spans="2:13" x14ac:dyDescent="0.25">
      <c r="B11" s="15" t="s">
        <v>88</v>
      </c>
      <c r="C11" s="133" t="s">
        <v>15</v>
      </c>
      <c r="D11" s="134">
        <f>'Template IMC_OVC-HEV'!D31</f>
        <v>0</v>
      </c>
    </row>
    <row r="12" spans="2:13" x14ac:dyDescent="0.25">
      <c r="B12" s="15" t="s">
        <v>157</v>
      </c>
      <c r="C12" s="133" t="s">
        <v>15</v>
      </c>
      <c r="D12" s="134">
        <f>'Template IMC_OVC-HEV'!D35</f>
        <v>40</v>
      </c>
    </row>
    <row r="14" spans="2:13" x14ac:dyDescent="0.25">
      <c r="B14" s="15" t="s">
        <v>83</v>
      </c>
      <c r="C14" s="133" t="s">
        <v>13</v>
      </c>
      <c r="D14" s="136">
        <f>D21</f>
        <v>0.9968639440694731</v>
      </c>
    </row>
    <row r="15" spans="2:13" x14ac:dyDescent="0.25">
      <c r="B15" s="15" t="s">
        <v>84</v>
      </c>
      <c r="C15" s="133" t="s">
        <v>13</v>
      </c>
      <c r="D15" s="136">
        <f>D25</f>
        <v>0.96681432190395489</v>
      </c>
    </row>
    <row r="16" spans="2:13" x14ac:dyDescent="0.25">
      <c r="B16" s="15" t="s">
        <v>158</v>
      </c>
      <c r="C16" s="133" t="s">
        <v>13</v>
      </c>
      <c r="D16" s="136">
        <f>D29</f>
        <v>0.97738957669509552</v>
      </c>
    </row>
    <row r="19" spans="2:4" x14ac:dyDescent="0.25">
      <c r="B19" t="s">
        <v>112</v>
      </c>
      <c r="C19" s="139" t="s">
        <v>11</v>
      </c>
      <c r="D19" s="44">
        <f>D6</f>
        <v>13.333333333333334</v>
      </c>
    </row>
    <row r="20" spans="2:4" x14ac:dyDescent="0.25">
      <c r="B20" t="s">
        <v>113</v>
      </c>
      <c r="C20" s="139" t="s">
        <v>11</v>
      </c>
      <c r="D20" s="140">
        <f>D37</f>
        <v>4.1814079073692716E-2</v>
      </c>
    </row>
    <row r="21" spans="2:4" x14ac:dyDescent="0.25">
      <c r="B21" t="s">
        <v>107</v>
      </c>
      <c r="C21" s="139" t="s">
        <v>95</v>
      </c>
      <c r="D21" s="138">
        <f>1-D20/D19</f>
        <v>0.9968639440694731</v>
      </c>
    </row>
    <row r="22" spans="2:4" x14ac:dyDescent="0.25">
      <c r="C22" s="139"/>
    </row>
    <row r="23" spans="2:4" x14ac:dyDescent="0.25">
      <c r="B23" t="s">
        <v>114</v>
      </c>
      <c r="C23" s="139" t="s">
        <v>11</v>
      </c>
      <c r="D23" s="44">
        <f>D7</f>
        <v>150</v>
      </c>
    </row>
    <row r="24" spans="2:4" x14ac:dyDescent="0.25">
      <c r="B24" t="s">
        <v>115</v>
      </c>
      <c r="C24" s="139" t="s">
        <v>11</v>
      </c>
      <c r="D24" s="140">
        <f>D40</f>
        <v>4.977851714406774</v>
      </c>
    </row>
    <row r="25" spans="2:4" x14ac:dyDescent="0.25">
      <c r="B25" t="s">
        <v>108</v>
      </c>
      <c r="C25" s="139" t="s">
        <v>95</v>
      </c>
      <c r="D25" s="138">
        <f>1-D24/D23</f>
        <v>0.96681432190395489</v>
      </c>
    </row>
    <row r="26" spans="2:4" x14ac:dyDescent="0.25">
      <c r="C26" s="139"/>
      <c r="D26" s="138"/>
    </row>
    <row r="27" spans="2:4" x14ac:dyDescent="0.25">
      <c r="B27" t="s">
        <v>159</v>
      </c>
      <c r="C27" s="139" t="s">
        <v>11</v>
      </c>
      <c r="D27" s="44">
        <f>D8</f>
        <v>100</v>
      </c>
    </row>
    <row r="28" spans="2:4" x14ac:dyDescent="0.25">
      <c r="B28" t="s">
        <v>160</v>
      </c>
      <c r="C28" s="139" t="s">
        <v>11</v>
      </c>
      <c r="D28" s="140">
        <f>D43</f>
        <v>2.2610423304904486</v>
      </c>
    </row>
    <row r="29" spans="2:4" x14ac:dyDescent="0.25">
      <c r="B29" t="s">
        <v>161</v>
      </c>
      <c r="C29" s="139" t="s">
        <v>95</v>
      </c>
      <c r="D29" s="138">
        <f>1-D28/D27</f>
        <v>0.97738957669509552</v>
      </c>
    </row>
    <row r="30" spans="2:4" x14ac:dyDescent="0.25">
      <c r="C30" s="139"/>
      <c r="D30" s="138"/>
    </row>
    <row r="31" spans="2:4" x14ac:dyDescent="0.25">
      <c r="C31" s="139"/>
      <c r="D31" s="138"/>
    </row>
    <row r="32" spans="2:4" ht="15.75" thickBot="1" x14ac:dyDescent="0.3">
      <c r="B32" s="35" t="s">
        <v>111</v>
      </c>
      <c r="C32" s="139"/>
    </row>
    <row r="33" spans="2:6" x14ac:dyDescent="0.25">
      <c r="B33" s="156" t="s">
        <v>103</v>
      </c>
      <c r="C33" s="157" t="s">
        <v>117</v>
      </c>
      <c r="D33" s="110">
        <v>650</v>
      </c>
      <c r="F33" s="35" t="s">
        <v>110</v>
      </c>
    </row>
    <row r="34" spans="2:6" x14ac:dyDescent="0.25">
      <c r="B34" s="158" t="s">
        <v>104</v>
      </c>
      <c r="C34" s="159" t="s">
        <v>118</v>
      </c>
      <c r="D34" s="160">
        <v>0.1</v>
      </c>
      <c r="F34" s="35" t="s">
        <v>110</v>
      </c>
    </row>
    <row r="35" spans="2:6" x14ac:dyDescent="0.25">
      <c r="B35" s="158"/>
      <c r="C35" s="159"/>
      <c r="D35" s="161"/>
    </row>
    <row r="36" spans="2:6" x14ac:dyDescent="0.25">
      <c r="B36" s="158" t="s">
        <v>91</v>
      </c>
      <c r="C36" s="159" t="s">
        <v>119</v>
      </c>
      <c r="D36" s="162">
        <f>(-$D$33+SQRT($D$33*$D$33-4*$D$34*D19*-1*1000))/2/$D$34</f>
        <v>20.448491160399271</v>
      </c>
    </row>
    <row r="37" spans="2:6" x14ac:dyDescent="0.25">
      <c r="B37" s="158" t="s">
        <v>92</v>
      </c>
      <c r="C37" s="159" t="s">
        <v>11</v>
      </c>
      <c r="D37" s="162">
        <f>D36*D36*$D$34/1000</f>
        <v>4.1814079073692716E-2</v>
      </c>
    </row>
    <row r="38" spans="2:6" x14ac:dyDescent="0.25">
      <c r="B38" s="158"/>
      <c r="C38" s="159"/>
      <c r="D38" s="161"/>
    </row>
    <row r="39" spans="2:6" x14ac:dyDescent="0.25">
      <c r="B39" s="158" t="s">
        <v>93</v>
      </c>
      <c r="C39" s="159" t="s">
        <v>119</v>
      </c>
      <c r="D39" s="162">
        <f>(-$D$33+SQRT($D$33*$D$33-4*$D$34*D23*-1*1000))/2/$D$34</f>
        <v>223.11099736245126</v>
      </c>
    </row>
    <row r="40" spans="2:6" x14ac:dyDescent="0.25">
      <c r="B40" s="158" t="s">
        <v>94</v>
      </c>
      <c r="C40" s="159" t="s">
        <v>11</v>
      </c>
      <c r="D40" s="162">
        <f>D39*D39*$D$34/1000</f>
        <v>4.977851714406774</v>
      </c>
    </row>
    <row r="41" spans="2:6" x14ac:dyDescent="0.25">
      <c r="B41" s="158"/>
      <c r="C41" s="217"/>
      <c r="D41" s="161"/>
    </row>
    <row r="42" spans="2:6" x14ac:dyDescent="0.25">
      <c r="B42" s="158" t="s">
        <v>165</v>
      </c>
      <c r="C42" s="159" t="s">
        <v>119</v>
      </c>
      <c r="D42" s="162">
        <f>(-$D$33+SQRT($D$33*$D$33-4*$D$34*D27*-1*1000))/2/$D$34</f>
        <v>150.36762718386058</v>
      </c>
    </row>
    <row r="43" spans="2:6" ht="15.75" thickBot="1" x14ac:dyDescent="0.3">
      <c r="B43" s="163" t="s">
        <v>166</v>
      </c>
      <c r="C43" s="164" t="s">
        <v>11</v>
      </c>
      <c r="D43" s="165">
        <f>D42*D42*$D$34/1000</f>
        <v>2.2610423304904486</v>
      </c>
    </row>
  </sheetData>
  <dataValidations count="1">
    <dataValidation type="list" showInputMessage="1" showErrorMessage="1" sqref="C2" xr:uid="{00000000-0002-0000-0800-000000000000}">
      <formula1>$M$3:$M$4</formula1>
    </dataValidation>
  </dataValidations>
  <pageMargins left="0.7" right="0.7" top="0.78740157499999996" bottom="0.78740157499999996" header="0.3" footer="0.3"/>
  <pageSetup paperSize="9" orientation="portrait"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030A0"/>
  </sheetPr>
  <dimension ref="B2:F53"/>
  <sheetViews>
    <sheetView workbookViewId="0">
      <selection activeCell="F19" sqref="F19"/>
    </sheetView>
  </sheetViews>
  <sheetFormatPr baseColWidth="10" defaultRowHeight="15" x14ac:dyDescent="0.25"/>
  <cols>
    <col min="1" max="1" width="2.7109375" customWidth="1"/>
    <col min="2" max="2" width="71.42578125" bestFit="1" customWidth="1"/>
    <col min="3" max="4" width="12.7109375" customWidth="1"/>
    <col min="5" max="5" width="4" customWidth="1"/>
    <col min="6" max="12" width="12.7109375" customWidth="1"/>
  </cols>
  <sheetData>
    <row r="2" spans="2:6" x14ac:dyDescent="0.25">
      <c r="B2" s="21" t="s">
        <v>172</v>
      </c>
    </row>
    <row r="3" spans="2:6" x14ac:dyDescent="0.25">
      <c r="B3" s="21"/>
    </row>
    <row r="4" spans="2:6" x14ac:dyDescent="0.25">
      <c r="B4" s="35" t="s">
        <v>54</v>
      </c>
      <c r="C4" s="36"/>
      <c r="D4" s="36"/>
    </row>
    <row r="5" spans="2:6" x14ac:dyDescent="0.25">
      <c r="B5" s="266" t="s">
        <v>53</v>
      </c>
      <c r="C5" s="267"/>
      <c r="D5" s="37">
        <v>123</v>
      </c>
    </row>
    <row r="6" spans="2:6" x14ac:dyDescent="0.25">
      <c r="B6" s="266" t="s">
        <v>55</v>
      </c>
      <c r="C6" s="268"/>
      <c r="D6" s="38">
        <v>123</v>
      </c>
    </row>
    <row r="7" spans="2:6" x14ac:dyDescent="0.25">
      <c r="B7" s="266" t="s">
        <v>56</v>
      </c>
      <c r="C7" s="267"/>
      <c r="D7" s="39">
        <v>123</v>
      </c>
    </row>
    <row r="8" spans="2:6" ht="15.75" thickBot="1" x14ac:dyDescent="0.3">
      <c r="B8" s="16"/>
    </row>
    <row r="9" spans="2:6" x14ac:dyDescent="0.25">
      <c r="B9" s="197" t="s">
        <v>60</v>
      </c>
      <c r="C9" s="198" t="s">
        <v>11</v>
      </c>
      <c r="D9" s="199">
        <v>150</v>
      </c>
      <c r="F9" s="36" t="s">
        <v>143</v>
      </c>
    </row>
    <row r="10" spans="2:6" x14ac:dyDescent="0.25">
      <c r="B10" s="111" t="s">
        <v>82</v>
      </c>
      <c r="C10" s="13" t="s">
        <v>15</v>
      </c>
      <c r="D10" s="112">
        <v>80</v>
      </c>
      <c r="F10" s="36" t="s">
        <v>105</v>
      </c>
    </row>
    <row r="11" spans="2:6" x14ac:dyDescent="0.25">
      <c r="B11" s="111" t="s">
        <v>66</v>
      </c>
      <c r="C11" s="13" t="s">
        <v>16</v>
      </c>
      <c r="D11" s="113">
        <v>1.0369999999999999</v>
      </c>
      <c r="F11" s="36" t="s">
        <v>59</v>
      </c>
    </row>
    <row r="12" spans="2:6" x14ac:dyDescent="0.25">
      <c r="B12" s="111" t="s">
        <v>96</v>
      </c>
      <c r="C12" s="13" t="s">
        <v>64</v>
      </c>
      <c r="D12" s="113">
        <v>3.85</v>
      </c>
    </row>
    <row r="13" spans="2:6" ht="15.75" thickBot="1" x14ac:dyDescent="0.3">
      <c r="B13" s="114" t="s">
        <v>97</v>
      </c>
      <c r="C13" s="115" t="s">
        <v>64</v>
      </c>
      <c r="D13" s="116">
        <v>27.35</v>
      </c>
    </row>
    <row r="14" spans="2:6" ht="15.75" thickBot="1" x14ac:dyDescent="0.3"/>
    <row r="15" spans="2:6" ht="18" x14ac:dyDescent="0.35">
      <c r="B15" s="108" t="s">
        <v>81</v>
      </c>
      <c r="C15" s="109" t="s">
        <v>25</v>
      </c>
      <c r="D15" s="117">
        <f>D10/D11</f>
        <v>77.145612343297984</v>
      </c>
    </row>
    <row r="16" spans="2:6" x14ac:dyDescent="0.25">
      <c r="B16" s="111" t="s">
        <v>49</v>
      </c>
      <c r="C16" s="13" t="s">
        <v>25</v>
      </c>
      <c r="D16" s="118">
        <f>D15*((D13-D12)/D13)</f>
        <v>66.28599232422313</v>
      </c>
    </row>
    <row r="17" spans="2:6" ht="15.75" thickBot="1" x14ac:dyDescent="0.3">
      <c r="B17" s="114" t="s">
        <v>51</v>
      </c>
      <c r="C17" s="115" t="s">
        <v>25</v>
      </c>
      <c r="D17" s="119">
        <f>D16</f>
        <v>66.28599232422313</v>
      </c>
    </row>
    <row r="18" spans="2:6" ht="15.75" thickBot="1" x14ac:dyDescent="0.3"/>
    <row r="19" spans="2:6" x14ac:dyDescent="0.25">
      <c r="B19" s="120" t="s">
        <v>27</v>
      </c>
      <c r="C19" s="121" t="s">
        <v>10</v>
      </c>
      <c r="D19" s="122">
        <f>GenericData_VehicleOperation!$O$11</f>
        <v>480</v>
      </c>
      <c r="F19" s="269" t="s">
        <v>214</v>
      </c>
    </row>
    <row r="20" spans="2:6" x14ac:dyDescent="0.25">
      <c r="B20" s="203" t="s">
        <v>34</v>
      </c>
      <c r="C20" s="204" t="s">
        <v>11</v>
      </c>
      <c r="D20" s="205">
        <f>GenericData_VehicleOperation!$AA$38</f>
        <v>500</v>
      </c>
      <c r="F20" s="269"/>
    </row>
    <row r="21" spans="2:6" x14ac:dyDescent="0.25">
      <c r="B21" s="203" t="s">
        <v>43</v>
      </c>
      <c r="C21" s="204" t="s">
        <v>12</v>
      </c>
      <c r="D21" s="205">
        <f>GenericData_VehicleOperation!$AA$65</f>
        <v>0.5</v>
      </c>
      <c r="F21" s="269"/>
    </row>
    <row r="22" spans="2:6" x14ac:dyDescent="0.25">
      <c r="B22" s="203" t="s">
        <v>44</v>
      </c>
      <c r="C22" s="204" t="s">
        <v>13</v>
      </c>
      <c r="D22" s="206">
        <f>GenericData_VehicleOperation!$AA$92</f>
        <v>1</v>
      </c>
      <c r="F22" s="269"/>
    </row>
    <row r="23" spans="2:6" x14ac:dyDescent="0.25">
      <c r="B23" s="200" t="s">
        <v>40</v>
      </c>
      <c r="C23" s="201" t="s">
        <v>13</v>
      </c>
      <c r="D23" s="202">
        <f>GenericData_VehicleOperation!$AX$11</f>
        <v>0.75</v>
      </c>
      <c r="F23" s="269"/>
    </row>
    <row r="24" spans="2:6" x14ac:dyDescent="0.25">
      <c r="B24" s="203" t="s">
        <v>32</v>
      </c>
      <c r="C24" s="204" t="s">
        <v>13</v>
      </c>
      <c r="D24" s="220">
        <v>0</v>
      </c>
      <c r="F24" s="269"/>
    </row>
    <row r="25" spans="2:6" x14ac:dyDescent="0.25">
      <c r="B25" s="200" t="s">
        <v>144</v>
      </c>
      <c r="C25" s="201" t="s">
        <v>13</v>
      </c>
      <c r="D25" s="202">
        <f>GenericData_VehicleOperation!$AM$11</f>
        <v>0.5</v>
      </c>
      <c r="F25" s="269"/>
    </row>
    <row r="26" spans="2:6" ht="30.75" thickBot="1" x14ac:dyDescent="0.3">
      <c r="B26" s="126" t="s">
        <v>145</v>
      </c>
      <c r="C26" s="127" t="s">
        <v>13</v>
      </c>
      <c r="D26" s="213">
        <f>GenericData_VehicleOperation!$AZ$11</f>
        <v>0.5</v>
      </c>
      <c r="F26" s="269"/>
    </row>
    <row r="27" spans="2:6" ht="15.75" thickBot="1" x14ac:dyDescent="0.3">
      <c r="F27" s="36"/>
    </row>
    <row r="28" spans="2:6" x14ac:dyDescent="0.25">
      <c r="B28" s="108" t="s">
        <v>35</v>
      </c>
      <c r="C28" s="109" t="s">
        <v>25</v>
      </c>
      <c r="D28" s="117">
        <f>D15*D23</f>
        <v>57.859209257473488</v>
      </c>
      <c r="F28" s="224"/>
    </row>
    <row r="29" spans="2:6" x14ac:dyDescent="0.25">
      <c r="B29" s="111" t="s">
        <v>153</v>
      </c>
      <c r="C29" s="13" t="s">
        <v>15</v>
      </c>
      <c r="D29" s="118">
        <f>D28*D11</f>
        <v>60</v>
      </c>
      <c r="F29" s="36"/>
    </row>
    <row r="30" spans="2:6" x14ac:dyDescent="0.25">
      <c r="B30" s="111" t="s">
        <v>90</v>
      </c>
      <c r="C30" s="153" t="s">
        <v>13</v>
      </c>
      <c r="D30" s="214">
        <f>'BatteryData IMC_OVC-HEV'!D15</f>
        <v>0.96681432190395489</v>
      </c>
      <c r="F30" s="36"/>
    </row>
    <row r="31" spans="2:6" x14ac:dyDescent="0.25">
      <c r="B31" s="111" t="s">
        <v>36</v>
      </c>
      <c r="C31" s="13" t="s">
        <v>15</v>
      </c>
      <c r="D31" s="118">
        <f>MIN(MIN(D9,D20)*D21*D30,D10)*D22*D24</f>
        <v>0</v>
      </c>
      <c r="F31" s="36" t="s">
        <v>61</v>
      </c>
    </row>
    <row r="32" spans="2:6" x14ac:dyDescent="0.25">
      <c r="B32" s="111" t="s">
        <v>29</v>
      </c>
      <c r="C32" s="13" t="s">
        <v>25</v>
      </c>
      <c r="D32" s="118">
        <f>D31/D11</f>
        <v>0</v>
      </c>
      <c r="F32" s="36"/>
    </row>
    <row r="33" spans="2:6" x14ac:dyDescent="0.25">
      <c r="B33" s="111" t="s">
        <v>146</v>
      </c>
      <c r="C33" s="13" t="s">
        <v>25</v>
      </c>
      <c r="D33" s="118">
        <f>D19*D25</f>
        <v>240</v>
      </c>
      <c r="F33" s="36"/>
    </row>
    <row r="34" spans="2:6" x14ac:dyDescent="0.25">
      <c r="B34" s="111" t="s">
        <v>147</v>
      </c>
      <c r="C34" s="13" t="s">
        <v>15</v>
      </c>
      <c r="D34" s="118">
        <f>D11*D33</f>
        <v>248.88</v>
      </c>
      <c r="F34" s="36"/>
    </row>
    <row r="35" spans="2:6" x14ac:dyDescent="0.25">
      <c r="B35" s="111" t="s">
        <v>148</v>
      </c>
      <c r="C35" s="13" t="s">
        <v>15</v>
      </c>
      <c r="D35" s="118">
        <f>D10*D26</f>
        <v>40</v>
      </c>
      <c r="F35" s="36"/>
    </row>
    <row r="36" spans="2:6" ht="15.75" thickBot="1" x14ac:dyDescent="0.3">
      <c r="B36" s="114" t="s">
        <v>149</v>
      </c>
      <c r="C36" s="115" t="s">
        <v>25</v>
      </c>
      <c r="D36" s="119">
        <f>D35/D11</f>
        <v>38.572806171648992</v>
      </c>
      <c r="F36" s="36"/>
    </row>
    <row r="37" spans="2:6" ht="15.75" thickBot="1" x14ac:dyDescent="0.3">
      <c r="F37" s="36"/>
    </row>
    <row r="38" spans="2:6" ht="15.75" thickBot="1" x14ac:dyDescent="0.3">
      <c r="B38" s="128" t="s">
        <v>24</v>
      </c>
      <c r="C38" s="129" t="s">
        <v>13</v>
      </c>
      <c r="D38" s="130">
        <f>MIN(1,(D28+D32+D33+D36)/D19)</f>
        <v>0.7009000321440052</v>
      </c>
      <c r="F38" s="36" t="s">
        <v>38</v>
      </c>
    </row>
    <row r="39" spans="2:6" ht="12" customHeight="1" thickBot="1" x14ac:dyDescent="0.3">
      <c r="F39" s="36"/>
    </row>
    <row r="40" spans="2:6" x14ac:dyDescent="0.25">
      <c r="B40" s="108" t="s">
        <v>169</v>
      </c>
      <c r="C40" s="109" t="s">
        <v>15</v>
      </c>
      <c r="D40" s="117">
        <f>D19*D11</f>
        <v>497.76</v>
      </c>
      <c r="F40" s="36"/>
    </row>
    <row r="41" spans="2:6" ht="15.75" thickBot="1" x14ac:dyDescent="0.3">
      <c r="B41" s="114" t="s">
        <v>170</v>
      </c>
      <c r="C41" s="115" t="s">
        <v>15</v>
      </c>
      <c r="D41" s="119">
        <f>MAX(D40-D34,0)</f>
        <v>248.88</v>
      </c>
      <c r="F41" s="36" t="s">
        <v>171</v>
      </c>
    </row>
    <row r="42" spans="2:6" ht="12" customHeight="1" thickBot="1" x14ac:dyDescent="0.3">
      <c r="F42" s="36"/>
    </row>
    <row r="43" spans="2:6" ht="15" customHeight="1" x14ac:dyDescent="0.25">
      <c r="B43" s="207" t="s">
        <v>150</v>
      </c>
      <c r="C43" s="109" t="s">
        <v>13</v>
      </c>
      <c r="D43" s="208">
        <f>D41/D40</f>
        <v>0.5</v>
      </c>
      <c r="F43" s="36"/>
    </row>
    <row r="44" spans="2:6" ht="15" customHeight="1" x14ac:dyDescent="0.25">
      <c r="B44" s="215" t="s">
        <v>154</v>
      </c>
      <c r="C44" s="13" t="s">
        <v>13</v>
      </c>
      <c r="D44" s="218">
        <f>'BatteryData IMC_OVC-HEV'!D4</f>
        <v>0.98907419711972211</v>
      </c>
      <c r="F44" s="36"/>
    </row>
    <row r="45" spans="2:6" ht="15" customHeight="1" x14ac:dyDescent="0.25">
      <c r="B45" s="215" t="s">
        <v>151</v>
      </c>
      <c r="C45" s="13" t="s">
        <v>13</v>
      </c>
      <c r="D45" s="216">
        <f>1-D43</f>
        <v>0.5</v>
      </c>
      <c r="F45" s="36"/>
    </row>
    <row r="46" spans="2:6" ht="15" customHeight="1" thickBot="1" x14ac:dyDescent="0.3">
      <c r="B46" s="209" t="s">
        <v>155</v>
      </c>
      <c r="C46" s="115" t="s">
        <v>13</v>
      </c>
      <c r="D46" s="219">
        <v>0.97209999999999996</v>
      </c>
      <c r="F46" s="36" t="s">
        <v>167</v>
      </c>
    </row>
    <row r="47" spans="2:6" ht="12" customHeight="1" thickBot="1" x14ac:dyDescent="0.3">
      <c r="B47" s="210"/>
      <c r="C47" s="210"/>
      <c r="D47" s="210"/>
      <c r="F47" s="36"/>
    </row>
    <row r="48" spans="2:6" ht="15" customHeight="1" thickBot="1" x14ac:dyDescent="0.3">
      <c r="B48" s="211" t="s">
        <v>152</v>
      </c>
      <c r="C48" s="129" t="s">
        <v>13</v>
      </c>
      <c r="D48" s="223">
        <f>D43*(1/D44) + D45*D46</f>
        <v>0.9915732473519655</v>
      </c>
      <c r="F48" s="36"/>
    </row>
    <row r="49" spans="2:6" ht="12" customHeight="1" thickBot="1" x14ac:dyDescent="0.3">
      <c r="F49" s="36"/>
    </row>
    <row r="50" spans="2:6" ht="15.75" thickBot="1" x14ac:dyDescent="0.3">
      <c r="B50" s="128" t="s">
        <v>106</v>
      </c>
      <c r="C50" s="129" t="s">
        <v>16</v>
      </c>
      <c r="D50" s="130">
        <f>D11*D48</f>
        <v>1.0282614575039881</v>
      </c>
      <c r="F50" s="36" t="s">
        <v>67</v>
      </c>
    </row>
    <row r="51" spans="2:6" ht="12" customHeight="1" thickBot="1" x14ac:dyDescent="0.3"/>
    <row r="52" spans="2:6" x14ac:dyDescent="0.25">
      <c r="B52" s="108" t="s">
        <v>30</v>
      </c>
      <c r="C52" s="109" t="s">
        <v>16</v>
      </c>
      <c r="D52" s="132">
        <f>D38*D50</f>
        <v>0.72070848861698689</v>
      </c>
    </row>
    <row r="53" spans="2:6" ht="15.75" thickBot="1" x14ac:dyDescent="0.3">
      <c r="B53" s="114" t="s">
        <v>31</v>
      </c>
      <c r="C53" s="115" t="s">
        <v>64</v>
      </c>
      <c r="D53" s="131">
        <f>D38*D12+(1-D38)*D13</f>
        <v>10.878849244615878</v>
      </c>
    </row>
  </sheetData>
  <mergeCells count="3">
    <mergeCell ref="B5:C5"/>
    <mergeCell ref="B6:C6"/>
    <mergeCell ref="B7:C7"/>
  </mergeCells>
  <pageMargins left="0.7" right="0.7" top="0.78740157499999996" bottom="0.78740157499999996"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C000"/>
  </sheetPr>
  <dimension ref="B2:M34"/>
  <sheetViews>
    <sheetView workbookViewId="0">
      <selection activeCell="C2" sqref="C2"/>
    </sheetView>
  </sheetViews>
  <sheetFormatPr baseColWidth="10" defaultRowHeight="15" x14ac:dyDescent="0.25"/>
  <cols>
    <col min="2" max="2" width="70.28515625" bestFit="1" customWidth="1"/>
    <col min="3" max="3" width="11.5703125" customWidth="1"/>
    <col min="4" max="4" width="17.7109375" customWidth="1"/>
    <col min="12" max="12" width="32.140625" bestFit="1" customWidth="1"/>
    <col min="13" max="13" width="0" hidden="1" customWidth="1"/>
  </cols>
  <sheetData>
    <row r="2" spans="2:13" x14ac:dyDescent="0.25">
      <c r="B2" s="15" t="s">
        <v>162</v>
      </c>
      <c r="C2" s="221" t="s">
        <v>164</v>
      </c>
    </row>
    <row r="3" spans="2:13" x14ac:dyDescent="0.25">
      <c r="M3" t="s">
        <v>163</v>
      </c>
    </row>
    <row r="4" spans="2:13" x14ac:dyDescent="0.25">
      <c r="B4" s="15" t="s">
        <v>52</v>
      </c>
      <c r="C4" s="133" t="s">
        <v>13</v>
      </c>
      <c r="D4" s="137">
        <f>D10/(D10+D11)*D13  +  D11/(D10+D11)*D14</f>
        <v>0.99577585347387909</v>
      </c>
      <c r="M4" t="s">
        <v>164</v>
      </c>
    </row>
    <row r="7" spans="2:13" x14ac:dyDescent="0.25">
      <c r="B7" s="15" t="s">
        <v>85</v>
      </c>
      <c r="C7" s="133" t="s">
        <v>11</v>
      </c>
      <c r="D7" s="134">
        <f>MAX(10,'Template_OVC-HEV'!D20/6)</f>
        <v>83.333333333333329</v>
      </c>
    </row>
    <row r="8" spans="2:13" x14ac:dyDescent="0.25">
      <c r="B8" s="15" t="s">
        <v>156</v>
      </c>
      <c r="C8" s="133" t="s">
        <v>11</v>
      </c>
      <c r="D8" s="134">
        <f>IF(C2="No",100,30)</f>
        <v>100</v>
      </c>
    </row>
    <row r="10" spans="2:13" x14ac:dyDescent="0.25">
      <c r="B10" s="15" t="s">
        <v>87</v>
      </c>
      <c r="C10" s="133" t="s">
        <v>15</v>
      </c>
      <c r="D10" s="134">
        <f>'Template IMC_PEV'!D21</f>
        <v>450</v>
      </c>
    </row>
    <row r="11" spans="2:13" x14ac:dyDescent="0.25">
      <c r="B11" s="15" t="s">
        <v>157</v>
      </c>
      <c r="C11" s="133" t="s">
        <v>15</v>
      </c>
      <c r="D11" s="134">
        <f>'Template IMC_PEV'!D23</f>
        <v>300</v>
      </c>
    </row>
    <row r="13" spans="2:13" x14ac:dyDescent="0.25">
      <c r="B13" s="15" t="s">
        <v>83</v>
      </c>
      <c r="C13" s="133" t="s">
        <v>13</v>
      </c>
      <c r="D13" s="136">
        <f>D19</f>
        <v>0.99608604571805037</v>
      </c>
    </row>
    <row r="14" spans="2:13" x14ac:dyDescent="0.25">
      <c r="B14" s="15" t="s">
        <v>158</v>
      </c>
      <c r="C14" s="133" t="s">
        <v>13</v>
      </c>
      <c r="D14" s="136">
        <f>D23</f>
        <v>0.99531056510762206</v>
      </c>
    </row>
    <row r="17" spans="2:6" x14ac:dyDescent="0.25">
      <c r="B17" t="s">
        <v>112</v>
      </c>
      <c r="C17" s="139" t="s">
        <v>11</v>
      </c>
      <c r="D17" s="44">
        <f>D7</f>
        <v>83.333333333333329</v>
      </c>
    </row>
    <row r="18" spans="2:6" x14ac:dyDescent="0.25">
      <c r="B18" t="s">
        <v>113</v>
      </c>
      <c r="C18" s="139" t="s">
        <v>11</v>
      </c>
      <c r="D18" s="140">
        <f>D31</f>
        <v>0.32616285682913304</v>
      </c>
    </row>
    <row r="19" spans="2:6" x14ac:dyDescent="0.25">
      <c r="B19" t="s">
        <v>107</v>
      </c>
      <c r="C19" s="139" t="s">
        <v>95</v>
      </c>
      <c r="D19" s="138">
        <f>1-D18/D17</f>
        <v>0.99608604571805037</v>
      </c>
    </row>
    <row r="20" spans="2:6" x14ac:dyDescent="0.25">
      <c r="C20" s="139"/>
      <c r="D20" s="138"/>
    </row>
    <row r="21" spans="2:6" x14ac:dyDescent="0.25">
      <c r="B21" t="s">
        <v>159</v>
      </c>
      <c r="C21" s="139" t="s">
        <v>11</v>
      </c>
      <c r="D21" s="44">
        <f>D8</f>
        <v>100</v>
      </c>
    </row>
    <row r="22" spans="2:6" x14ac:dyDescent="0.25">
      <c r="B22" t="s">
        <v>160</v>
      </c>
      <c r="C22" s="139" t="s">
        <v>11</v>
      </c>
      <c r="D22" s="140">
        <f>D34</f>
        <v>0.46894348923779472</v>
      </c>
    </row>
    <row r="23" spans="2:6" x14ac:dyDescent="0.25">
      <c r="B23" t="s">
        <v>161</v>
      </c>
      <c r="C23" s="139" t="s">
        <v>95</v>
      </c>
      <c r="D23" s="138">
        <f>1-D22/D21</f>
        <v>0.99531056510762206</v>
      </c>
    </row>
    <row r="24" spans="2:6" x14ac:dyDescent="0.25">
      <c r="C24" s="139"/>
      <c r="D24" s="138"/>
    </row>
    <row r="25" spans="2:6" x14ac:dyDescent="0.25">
      <c r="C25" s="139"/>
      <c r="D25" s="138"/>
    </row>
    <row r="26" spans="2:6" ht="15.75" thickBot="1" x14ac:dyDescent="0.3">
      <c r="B26" s="35" t="s">
        <v>111</v>
      </c>
      <c r="C26" s="139"/>
    </row>
    <row r="27" spans="2:6" x14ac:dyDescent="0.25">
      <c r="B27" s="156" t="s">
        <v>103</v>
      </c>
      <c r="C27" s="157" t="s">
        <v>117</v>
      </c>
      <c r="D27" s="110">
        <v>650</v>
      </c>
      <c r="F27" s="35" t="s">
        <v>110</v>
      </c>
    </row>
    <row r="28" spans="2:6" x14ac:dyDescent="0.25">
      <c r="B28" s="158" t="s">
        <v>104</v>
      </c>
      <c r="C28" s="159" t="s">
        <v>118</v>
      </c>
      <c r="D28" s="160">
        <v>0.02</v>
      </c>
      <c r="F28" s="35" t="s">
        <v>110</v>
      </c>
    </row>
    <row r="29" spans="2:6" x14ac:dyDescent="0.25">
      <c r="B29" s="158"/>
      <c r="C29" s="159"/>
      <c r="D29" s="161"/>
    </row>
    <row r="30" spans="2:6" x14ac:dyDescent="0.25">
      <c r="B30" s="158" t="s">
        <v>91</v>
      </c>
      <c r="C30" s="159" t="s">
        <v>119</v>
      </c>
      <c r="D30" s="162">
        <f>(-$D$27+SQRT($D$27*$D$27-4*$D$28*D17*-1*1000))/2/$D$28</f>
        <v>127.70333919462189</v>
      </c>
    </row>
    <row r="31" spans="2:6" x14ac:dyDescent="0.25">
      <c r="B31" s="158" t="s">
        <v>92</v>
      </c>
      <c r="C31" s="159" t="s">
        <v>11</v>
      </c>
      <c r="D31" s="162">
        <f>D30*D30*$D$28/1000</f>
        <v>0.32616285682913304</v>
      </c>
    </row>
    <row r="32" spans="2:6" x14ac:dyDescent="0.25">
      <c r="B32" s="158"/>
      <c r="C32" s="217"/>
      <c r="D32" s="161"/>
    </row>
    <row r="33" spans="2:4" x14ac:dyDescent="0.25">
      <c r="B33" s="158" t="s">
        <v>165</v>
      </c>
      <c r="C33" s="159" t="s">
        <v>119</v>
      </c>
      <c r="D33" s="162">
        <f>(-$D$27+SQRT($D$27*$D$27-4*$D$28*D21*-1*1000))/2/$D$28</f>
        <v>153.12470232424857</v>
      </c>
    </row>
    <row r="34" spans="2:4" ht="15.75" thickBot="1" x14ac:dyDescent="0.3">
      <c r="B34" s="163" t="s">
        <v>166</v>
      </c>
      <c r="C34" s="164" t="s">
        <v>11</v>
      </c>
      <c r="D34" s="165">
        <f>D33*D33*$D$28/1000</f>
        <v>0.46894348923779472</v>
      </c>
    </row>
  </sheetData>
  <dataValidations count="1">
    <dataValidation type="list" showInputMessage="1" showErrorMessage="1" sqref="C2" xr:uid="{00000000-0002-0000-0A00-000000000000}">
      <formula1>$M$3:$M$4</formula1>
    </dataValidation>
  </dataValidations>
  <pageMargins left="0.7" right="0.7" top="0.78740157499999996" bottom="0.78740157499999996"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70C0"/>
  </sheetPr>
  <dimension ref="B2:F35"/>
  <sheetViews>
    <sheetView workbookViewId="0">
      <selection activeCell="D22" sqref="D22"/>
    </sheetView>
  </sheetViews>
  <sheetFormatPr baseColWidth="10" defaultRowHeight="15" x14ac:dyDescent="0.25"/>
  <cols>
    <col min="1" max="1" width="2.7109375" customWidth="1"/>
    <col min="2" max="2" width="74.140625" bestFit="1" customWidth="1"/>
    <col min="3" max="4" width="12.7109375" customWidth="1"/>
    <col min="5" max="5" width="4" customWidth="1"/>
    <col min="6" max="12" width="12.7109375" customWidth="1"/>
  </cols>
  <sheetData>
    <row r="2" spans="2:6" x14ac:dyDescent="0.25">
      <c r="B2" s="21" t="s">
        <v>173</v>
      </c>
    </row>
    <row r="3" spans="2:6" x14ac:dyDescent="0.25">
      <c r="B3" s="21"/>
    </row>
    <row r="4" spans="2:6" x14ac:dyDescent="0.25">
      <c r="B4" s="35" t="s">
        <v>54</v>
      </c>
      <c r="C4" s="36"/>
      <c r="D4" s="36"/>
    </row>
    <row r="5" spans="2:6" x14ac:dyDescent="0.25">
      <c r="B5" s="266" t="s">
        <v>53</v>
      </c>
      <c r="C5" s="267"/>
      <c r="D5" s="37">
        <v>123</v>
      </c>
    </row>
    <row r="6" spans="2:6" x14ac:dyDescent="0.25">
      <c r="B6" s="266" t="s">
        <v>55</v>
      </c>
      <c r="C6" s="268"/>
      <c r="D6" s="38">
        <v>123</v>
      </c>
    </row>
    <row r="7" spans="2:6" x14ac:dyDescent="0.25">
      <c r="B7" s="266" t="s">
        <v>56</v>
      </c>
      <c r="C7" s="267"/>
      <c r="D7" s="39">
        <v>123</v>
      </c>
    </row>
    <row r="8" spans="2:6" ht="15.75" thickBot="1" x14ac:dyDescent="0.3">
      <c r="B8" s="16"/>
    </row>
    <row r="9" spans="2:6" x14ac:dyDescent="0.25">
      <c r="B9" s="108" t="s">
        <v>82</v>
      </c>
      <c r="C9" s="109" t="s">
        <v>15</v>
      </c>
      <c r="D9" s="155">
        <v>600</v>
      </c>
      <c r="F9" s="36" t="s">
        <v>105</v>
      </c>
    </row>
    <row r="10" spans="2:6" ht="15.75" thickBot="1" x14ac:dyDescent="0.3">
      <c r="B10" s="114" t="s">
        <v>66</v>
      </c>
      <c r="C10" s="115" t="s">
        <v>16</v>
      </c>
      <c r="D10" s="116">
        <v>1.234</v>
      </c>
      <c r="F10" s="36" t="s">
        <v>59</v>
      </c>
    </row>
    <row r="11" spans="2:6" ht="15.75" thickBot="1" x14ac:dyDescent="0.3"/>
    <row r="12" spans="2:6" ht="18" x14ac:dyDescent="0.35">
      <c r="B12" s="108" t="s">
        <v>81</v>
      </c>
      <c r="C12" s="109" t="s">
        <v>25</v>
      </c>
      <c r="D12" s="117">
        <f>D9/D10</f>
        <v>486.22366288492708</v>
      </c>
    </row>
    <row r="13" spans="2:6" x14ac:dyDescent="0.25">
      <c r="B13" s="111" t="s">
        <v>49</v>
      </c>
      <c r="C13" s="13" t="s">
        <v>25</v>
      </c>
      <c r="D13" s="118">
        <f>D12</f>
        <v>486.22366288492708</v>
      </c>
    </row>
    <row r="14" spans="2:6" ht="15.75" thickBot="1" x14ac:dyDescent="0.3">
      <c r="B14" s="114" t="s">
        <v>51</v>
      </c>
      <c r="C14" s="115" t="s">
        <v>25</v>
      </c>
      <c r="D14" s="119">
        <f>D13</f>
        <v>486.22366288492708</v>
      </c>
    </row>
    <row r="15" spans="2:6" ht="15.75" thickBot="1" x14ac:dyDescent="0.3"/>
    <row r="16" spans="2:6" x14ac:dyDescent="0.25">
      <c r="B16" s="120" t="s">
        <v>27</v>
      </c>
      <c r="C16" s="121" t="s">
        <v>10</v>
      </c>
      <c r="D16" s="122">
        <f>GenericData_VehicleOperation!$O$11</f>
        <v>480</v>
      </c>
      <c r="F16" s="269" t="s">
        <v>214</v>
      </c>
    </row>
    <row r="17" spans="2:6" x14ac:dyDescent="0.25">
      <c r="B17" s="123" t="s">
        <v>40</v>
      </c>
      <c r="C17" s="12" t="s">
        <v>13</v>
      </c>
      <c r="D17" s="125">
        <f>GenericData_VehicleOperation!$AX$11</f>
        <v>0.75</v>
      </c>
    </row>
    <row r="18" spans="2:6" x14ac:dyDescent="0.25">
      <c r="B18" s="123" t="s">
        <v>144</v>
      </c>
      <c r="C18" s="12" t="s">
        <v>13</v>
      </c>
      <c r="D18" s="125">
        <f>GenericData_VehicleOperation!$AM$11</f>
        <v>0.5</v>
      </c>
    </row>
    <row r="19" spans="2:6" ht="30.75" thickBot="1" x14ac:dyDescent="0.3">
      <c r="B19" s="126" t="s">
        <v>145</v>
      </c>
      <c r="C19" s="127" t="s">
        <v>13</v>
      </c>
      <c r="D19" s="213">
        <f>GenericData_VehicleOperation!$AZ$11</f>
        <v>0.5</v>
      </c>
    </row>
    <row r="20" spans="2:6" ht="15.75" thickBot="1" x14ac:dyDescent="0.3">
      <c r="F20" s="36"/>
    </row>
    <row r="21" spans="2:6" x14ac:dyDescent="0.25">
      <c r="B21" s="108" t="s">
        <v>153</v>
      </c>
      <c r="C21" s="109" t="s">
        <v>15</v>
      </c>
      <c r="D21" s="117">
        <f>D17*D9</f>
        <v>450</v>
      </c>
      <c r="F21" s="36"/>
    </row>
    <row r="22" spans="2:6" x14ac:dyDescent="0.25">
      <c r="B22" s="111" t="s">
        <v>147</v>
      </c>
      <c r="C22" s="13" t="s">
        <v>15</v>
      </c>
      <c r="D22" s="118">
        <f>D18*D16*D10</f>
        <v>296.15999999999997</v>
      </c>
      <c r="F22" s="36"/>
    </row>
    <row r="23" spans="2:6" ht="15.75" thickBot="1" x14ac:dyDescent="0.3">
      <c r="B23" s="114" t="s">
        <v>148</v>
      </c>
      <c r="C23" s="115" t="s">
        <v>15</v>
      </c>
      <c r="D23" s="119">
        <f>D19*D9</f>
        <v>300</v>
      </c>
      <c r="F23" s="36"/>
    </row>
    <row r="24" spans="2:6" ht="15.75" thickBot="1" x14ac:dyDescent="0.3">
      <c r="F24" s="36"/>
    </row>
    <row r="25" spans="2:6" x14ac:dyDescent="0.25">
      <c r="B25" s="108" t="s">
        <v>169</v>
      </c>
      <c r="C25" s="109" t="s">
        <v>15</v>
      </c>
      <c r="D25" s="117">
        <f>D10*D16</f>
        <v>592.31999999999994</v>
      </c>
      <c r="F25" s="36"/>
    </row>
    <row r="26" spans="2:6" ht="15.75" thickBot="1" x14ac:dyDescent="0.3">
      <c r="B26" s="114" t="s">
        <v>170</v>
      </c>
      <c r="C26" s="115" t="s">
        <v>15</v>
      </c>
      <c r="D26" s="119">
        <f>MAX(D25-D22,0)</f>
        <v>296.15999999999997</v>
      </c>
      <c r="F26" s="36" t="s">
        <v>171</v>
      </c>
    </row>
    <row r="27" spans="2:6" ht="12" customHeight="1" thickBot="1" x14ac:dyDescent="0.3">
      <c r="F27" s="36"/>
    </row>
    <row r="28" spans="2:6" ht="15" customHeight="1" x14ac:dyDescent="0.25">
      <c r="B28" s="207" t="s">
        <v>150</v>
      </c>
      <c r="C28" s="109" t="s">
        <v>13</v>
      </c>
      <c r="D28" s="208">
        <f>D26/D25</f>
        <v>0.5</v>
      </c>
      <c r="F28" s="36"/>
    </row>
    <row r="29" spans="2:6" ht="15" customHeight="1" x14ac:dyDescent="0.25">
      <c r="B29" s="215" t="s">
        <v>154</v>
      </c>
      <c r="C29" s="13" t="s">
        <v>13</v>
      </c>
      <c r="D29" s="218">
        <f>'BatteryData IMC_PEV'!D4</f>
        <v>0.99577585347387909</v>
      </c>
      <c r="F29" s="36"/>
    </row>
    <row r="30" spans="2:6" ht="15" customHeight="1" x14ac:dyDescent="0.25">
      <c r="B30" s="215" t="s">
        <v>151</v>
      </c>
      <c r="C30" s="13" t="s">
        <v>13</v>
      </c>
      <c r="D30" s="216">
        <f>1-D28</f>
        <v>0.5</v>
      </c>
      <c r="F30" s="36"/>
    </row>
    <row r="31" spans="2:6" ht="15" customHeight="1" thickBot="1" x14ac:dyDescent="0.3">
      <c r="B31" s="209" t="s">
        <v>155</v>
      </c>
      <c r="C31" s="115" t="s">
        <v>13</v>
      </c>
      <c r="D31" s="219">
        <v>0.97209999999999996</v>
      </c>
      <c r="F31" s="36" t="s">
        <v>167</v>
      </c>
    </row>
    <row r="32" spans="2:6" ht="12" customHeight="1" thickBot="1" x14ac:dyDescent="0.3">
      <c r="B32" s="210"/>
      <c r="C32" s="210"/>
      <c r="D32" s="210"/>
      <c r="F32" s="36"/>
    </row>
    <row r="33" spans="2:6" ht="15" customHeight="1" thickBot="1" x14ac:dyDescent="0.3">
      <c r="B33" s="211" t="s">
        <v>152</v>
      </c>
      <c r="C33" s="129" t="s">
        <v>13</v>
      </c>
      <c r="D33" s="212">
        <f>D28*(1/D29) + D30*D31</f>
        <v>0.9881710328164639</v>
      </c>
      <c r="F33" s="36"/>
    </row>
    <row r="34" spans="2:6" ht="12" customHeight="1" thickBot="1" x14ac:dyDescent="0.3">
      <c r="F34" s="36"/>
    </row>
    <row r="35" spans="2:6" ht="15.75" thickBot="1" x14ac:dyDescent="0.3">
      <c r="B35" s="128" t="s">
        <v>106</v>
      </c>
      <c r="C35" s="129" t="s">
        <v>16</v>
      </c>
      <c r="D35" s="130">
        <f>D10*D33</f>
        <v>1.2194030544955163</v>
      </c>
      <c r="F35" s="36" t="s">
        <v>67</v>
      </c>
    </row>
  </sheetData>
  <mergeCells count="3">
    <mergeCell ref="B5:C5"/>
    <mergeCell ref="B6:C6"/>
    <mergeCell ref="B7:C7"/>
  </mergeCells>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12</vt:i4>
      </vt:variant>
    </vt:vector>
  </HeadingPairs>
  <TitlesOfParts>
    <vt:vector size="12" baseType="lpstr">
      <vt:lpstr>Content</vt:lpstr>
      <vt:lpstr>Result matrix</vt:lpstr>
      <vt:lpstr>GenericData_VehicleOperation</vt:lpstr>
      <vt:lpstr>Usable_SOC</vt:lpstr>
      <vt:lpstr>BatteryData OVC-HEV</vt:lpstr>
      <vt:lpstr>Template_OVC-HEV</vt:lpstr>
      <vt:lpstr>BatteryData PEV</vt:lpstr>
      <vt:lpstr>Template_PEV</vt:lpstr>
      <vt:lpstr>BatteryData IMC_OVC-HEV</vt:lpstr>
      <vt:lpstr>Template IMC_OVC-HEV</vt:lpstr>
      <vt:lpstr>BatteryData IMC_PEV</vt:lpstr>
      <vt:lpstr>Template IMC_PEV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2023-10-23T07:22:18Z</dcterms:modified>
</cp:coreProperties>
</file>