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QUAM\Workspace\VECTO_DEV_Buses\Documentation\XML\"/>
    </mc:Choice>
  </mc:AlternateContent>
  <xr:revisionPtr revIDLastSave="0" documentId="13_ncr:1_{8D89137A-A40D-4DA8-8584-8746C58668A5}" xr6:coauthVersionLast="36" xr6:coauthVersionMax="36" xr10:uidLastSave="{00000000-0000-0000-0000-000000000000}"/>
  <bookViews>
    <workbookView xWindow="0" yWindow="0" windowWidth="28800" windowHeight="13500" tabRatio="817" activeTab="1" xr2:uid="{00000000-000D-0000-FFFF-FFFF00000000}"/>
  </bookViews>
  <sheets>
    <sheet name="Content" sheetId="1" r:id="rId1"/>
    <sheet name="CIF_ResultMatrix" sheetId="2" r:id="rId2"/>
    <sheet name="CIF_ResultMatrix_XPath_Conv" sheetId="3" r:id="rId3"/>
    <sheet name="CIF_ResultMatrix_XPath_NonOVC" sheetId="4" r:id="rId4"/>
    <sheet name="CIF_ResultMatrix_XPath OVC" sheetId="5" r:id="rId5"/>
    <sheet name="CIF_ResultMatrix_XPath_PEV" sheetId="6" r:id="rId6"/>
    <sheet name="CIF_ResultMatrix_Explanation" sheetId="7" r:id="rId7"/>
    <sheet name="CIF_Content_per_Architecture" sheetId="8" r:id="rId8"/>
    <sheet name="MRF_Content_perArchitecture" sheetId="9" r:id="rId9"/>
  </sheets>
  <definedNames>
    <definedName name="_xlnm._FilterDatabase" localSheetId="8" hidden="1">MRF_Content_perArchitecture!$A$1:$A$264</definedName>
    <definedName name="_Hlk1126142" localSheetId="8">MRF_Content_perArchitecture!$A$2</definedName>
    <definedName name="_Hlk1126182" localSheetId="8">MRF_Content_perArchitecture!$A$4</definedName>
    <definedName name="_Hlk1126201" localSheetId="8">MRF_Content_perArchitecture!$A$12</definedName>
    <definedName name="_Hlk1126945" localSheetId="8">MRF_Content_perArchitecture!#REF!</definedName>
    <definedName name="_Hlk1126953" localSheetId="8">MRF_Content_perArchitecture!$A$83</definedName>
    <definedName name="_Hlk1126981" localSheetId="8">MRF_Content_perArchitecture!$A$110</definedName>
    <definedName name="_Hlk1127053" localSheetId="8">MRF_Content_perArchitecture!$A$209</definedName>
    <definedName name="_Hlk1128606" localSheetId="8">MRF_Content_perArchitecture!$A$149</definedName>
    <definedName name="_Hlk1131303" localSheetId="8">MRF_Content_perArchitecture!$A$217</definedName>
    <definedName name="_Hlk1131335" localSheetId="8">MRF_Content_perArchitecture!$A$210</definedName>
    <definedName name="_Hlk1131572" localSheetId="8">MRF_Content_perArchitecture!$A$37</definedName>
    <definedName name="_Hlk1131611" localSheetId="8">MRF_Content_perArchitecture!$A$36</definedName>
    <definedName name="_Hlk1133912" localSheetId="8">MRF_Content_perArchitecture!#REF!</definedName>
    <definedName name="_Hlk1133947" localSheetId="8">MRF_Content_perArchitecture!#REF!</definedName>
    <definedName name="Z_638E9BBB_9DE1_4C03_99E5_6DF442C45AE3_.wvu.FilterData" localSheetId="8" hidden="1">MRF_Content_perArchitecture!$A$1:$A$264</definedName>
  </definedNames>
  <calcPr calcId="191029" calcOnSave="0"/>
  <customWorkbookViews>
    <customWorkbookView name="Quaritsch Markus - Persönliche Ansicht" guid="{638E9BBB-9DE1-4C03-99E5-6DF442C45AE3}" mergeInterval="0" personalView="1" maximized="1" xWindow="-8" yWindow="-8" windowWidth="2576" windowHeight="1408" tabRatio="817" activeSheetId="9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05" i="8" l="1"/>
  <c r="AK104" i="8"/>
  <c r="AK102" i="8"/>
  <c r="AK101" i="8"/>
  <c r="F101" i="6" l="1"/>
  <c r="F100" i="6"/>
  <c r="F99" i="6"/>
  <c r="F98" i="6"/>
  <c r="F97" i="6"/>
  <c r="F96" i="6"/>
  <c r="F95" i="6"/>
  <c r="F94" i="6"/>
  <c r="F90" i="6"/>
  <c r="F89" i="6"/>
  <c r="F88" i="6"/>
  <c r="F87" i="6"/>
  <c r="F86" i="6"/>
  <c r="F85" i="6"/>
  <c r="F84" i="6"/>
  <c r="F83" i="6"/>
  <c r="K58" i="6"/>
  <c r="H58" i="6"/>
  <c r="K57" i="6"/>
  <c r="H57" i="6"/>
  <c r="K56" i="6"/>
  <c r="H56" i="6"/>
  <c r="K55" i="6"/>
  <c r="H55" i="6"/>
  <c r="K54" i="6"/>
  <c r="H54" i="6"/>
  <c r="K53" i="6"/>
  <c r="H53" i="6"/>
  <c r="K52" i="6"/>
  <c r="H52" i="6"/>
  <c r="K51" i="6"/>
  <c r="H51" i="6"/>
  <c r="K42" i="6"/>
  <c r="H42" i="6"/>
  <c r="K41" i="6"/>
  <c r="H41" i="6"/>
  <c r="K40" i="6"/>
  <c r="H40" i="6"/>
  <c r="K39" i="6"/>
  <c r="H39" i="6"/>
  <c r="K38" i="6"/>
  <c r="H38" i="6"/>
  <c r="K37" i="6"/>
  <c r="H37" i="6"/>
  <c r="K36" i="6"/>
  <c r="H36" i="6"/>
  <c r="K35" i="6"/>
  <c r="H35" i="6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K46" i="5"/>
  <c r="J46" i="5"/>
  <c r="I46" i="5"/>
  <c r="H46" i="5"/>
  <c r="G46" i="5"/>
  <c r="F46" i="5"/>
  <c r="K45" i="5"/>
  <c r="J45" i="5"/>
  <c r="I45" i="5"/>
  <c r="H45" i="5"/>
  <c r="G45" i="5"/>
  <c r="F45" i="5"/>
  <c r="K44" i="5"/>
  <c r="J44" i="5"/>
  <c r="I44" i="5"/>
  <c r="H44" i="5"/>
  <c r="G44" i="5"/>
  <c r="F44" i="5"/>
  <c r="K43" i="5"/>
  <c r="J43" i="5"/>
  <c r="I43" i="5"/>
  <c r="H43" i="5"/>
  <c r="G43" i="5"/>
  <c r="F43" i="5"/>
  <c r="K42" i="5"/>
  <c r="J42" i="5"/>
  <c r="H42" i="5"/>
  <c r="F42" i="5"/>
  <c r="K41" i="5"/>
  <c r="J41" i="5"/>
  <c r="H41" i="5"/>
  <c r="F41" i="5"/>
  <c r="K40" i="5"/>
  <c r="J40" i="5"/>
  <c r="H40" i="5"/>
  <c r="F40" i="5"/>
  <c r="K39" i="5"/>
  <c r="J39" i="5"/>
  <c r="H39" i="5"/>
  <c r="F39" i="5"/>
  <c r="K38" i="5"/>
  <c r="J38" i="5"/>
  <c r="H38" i="5"/>
  <c r="F38" i="5"/>
  <c r="K37" i="5"/>
  <c r="J37" i="5"/>
  <c r="H37" i="5"/>
  <c r="F37" i="5"/>
  <c r="K36" i="5"/>
  <c r="J36" i="5"/>
  <c r="H36" i="5"/>
  <c r="F36" i="5"/>
  <c r="K35" i="5"/>
  <c r="J35" i="5"/>
  <c r="H35" i="5"/>
  <c r="F35" i="5"/>
  <c r="K34" i="5"/>
  <c r="J34" i="5"/>
  <c r="I34" i="5"/>
  <c r="H34" i="5"/>
  <c r="G34" i="5"/>
  <c r="F34" i="5"/>
  <c r="K33" i="5"/>
  <c r="J33" i="5"/>
  <c r="I33" i="5"/>
  <c r="H33" i="5"/>
  <c r="G33" i="5"/>
  <c r="F33" i="5"/>
  <c r="K32" i="5"/>
  <c r="J32" i="5"/>
  <c r="I32" i="5"/>
  <c r="H32" i="5"/>
  <c r="G32" i="5"/>
  <c r="F32" i="5"/>
  <c r="K31" i="5"/>
  <c r="J31" i="5"/>
  <c r="I31" i="5"/>
  <c r="H31" i="5"/>
  <c r="G31" i="5"/>
  <c r="F31" i="5"/>
  <c r="K30" i="5"/>
  <c r="J30" i="5"/>
  <c r="I30" i="5"/>
  <c r="H30" i="5"/>
  <c r="G30" i="5"/>
  <c r="F30" i="5"/>
  <c r="K29" i="5"/>
  <c r="J29" i="5"/>
  <c r="I29" i="5"/>
  <c r="H29" i="5"/>
  <c r="G29" i="5"/>
  <c r="F29" i="5"/>
  <c r="K28" i="5"/>
  <c r="J28" i="5"/>
  <c r="I28" i="5"/>
  <c r="H28" i="5"/>
  <c r="G28" i="5"/>
  <c r="F28" i="5"/>
  <c r="K27" i="5"/>
  <c r="J27" i="5"/>
  <c r="I27" i="5"/>
  <c r="H27" i="5"/>
  <c r="G27" i="5"/>
  <c r="F27" i="5"/>
  <c r="K26" i="5"/>
  <c r="J26" i="5"/>
  <c r="I26" i="5"/>
  <c r="H26" i="5"/>
  <c r="G26" i="5"/>
  <c r="F26" i="5"/>
  <c r="K25" i="5"/>
  <c r="J25" i="5"/>
  <c r="I25" i="5"/>
  <c r="H25" i="5"/>
  <c r="G25" i="5"/>
  <c r="F25" i="5"/>
  <c r="K24" i="5"/>
  <c r="J24" i="5"/>
  <c r="I24" i="5"/>
  <c r="H24" i="5"/>
  <c r="G24" i="5"/>
  <c r="F24" i="5"/>
  <c r="K23" i="5"/>
  <c r="J23" i="5"/>
  <c r="I23" i="5"/>
  <c r="H23" i="5"/>
  <c r="G23" i="5"/>
  <c r="F23" i="5"/>
  <c r="F72" i="4"/>
  <c r="F73" i="4"/>
  <c r="F74" i="4"/>
  <c r="F75" i="4"/>
  <c r="F76" i="4"/>
  <c r="F77" i="4"/>
  <c r="F78" i="4"/>
  <c r="F79" i="4"/>
  <c r="F80" i="4"/>
  <c r="F81" i="4"/>
  <c r="F82" i="4"/>
  <c r="F71" i="4"/>
  <c r="F68" i="4"/>
  <c r="F69" i="4"/>
  <c r="F70" i="4"/>
  <c r="F67" i="4"/>
  <c r="K44" i="4"/>
  <c r="K45" i="4"/>
  <c r="K46" i="4"/>
  <c r="K43" i="4"/>
  <c r="H44" i="4"/>
  <c r="H45" i="4"/>
  <c r="H46" i="4"/>
  <c r="H43" i="4"/>
  <c r="K24" i="4"/>
  <c r="K25" i="4"/>
  <c r="K26" i="4"/>
  <c r="K27" i="4"/>
  <c r="K28" i="4"/>
  <c r="K29" i="4"/>
  <c r="K30" i="4"/>
  <c r="K31" i="4"/>
  <c r="K32" i="4"/>
  <c r="K33" i="4"/>
  <c r="K34" i="4"/>
  <c r="H24" i="4"/>
  <c r="H25" i="4"/>
  <c r="H26" i="4"/>
  <c r="H27" i="4"/>
  <c r="H28" i="4"/>
  <c r="H29" i="4"/>
  <c r="H30" i="4"/>
  <c r="H31" i="4"/>
  <c r="H32" i="4"/>
  <c r="H33" i="4"/>
  <c r="H34" i="4"/>
  <c r="K23" i="4"/>
  <c r="H23" i="4"/>
  <c r="F72" i="3"/>
  <c r="F73" i="3"/>
  <c r="F74" i="3"/>
  <c r="F75" i="3"/>
  <c r="F76" i="3"/>
  <c r="F77" i="3"/>
  <c r="F78" i="3"/>
  <c r="F79" i="3"/>
  <c r="F80" i="3"/>
  <c r="F81" i="3"/>
  <c r="F82" i="3"/>
  <c r="F71" i="3"/>
  <c r="F68" i="3"/>
  <c r="F69" i="3"/>
  <c r="F70" i="3"/>
  <c r="F67" i="3"/>
  <c r="K44" i="3"/>
  <c r="K45" i="3"/>
  <c r="K46" i="3"/>
  <c r="K43" i="3"/>
  <c r="H44" i="3"/>
  <c r="H45" i="3"/>
  <c r="H46" i="3"/>
  <c r="H43" i="3"/>
  <c r="K24" i="3"/>
  <c r="K25" i="3"/>
  <c r="K26" i="3"/>
  <c r="K27" i="3"/>
  <c r="K28" i="3"/>
  <c r="K29" i="3"/>
  <c r="K30" i="3"/>
  <c r="K31" i="3"/>
  <c r="K32" i="3"/>
  <c r="K33" i="3"/>
  <c r="K34" i="3"/>
  <c r="K23" i="3"/>
  <c r="H24" i="3"/>
  <c r="H25" i="3"/>
  <c r="H26" i="3"/>
  <c r="H27" i="3"/>
  <c r="H28" i="3"/>
  <c r="H29" i="3"/>
  <c r="H30" i="3"/>
  <c r="H31" i="3"/>
  <c r="H32" i="3"/>
  <c r="H33" i="3"/>
  <c r="H34" i="3"/>
  <c r="H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Rexeis Martin</author>
    <author>Quaritsch Markus</author>
  </authors>
  <commentList>
    <comment ref="A1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AI4" authorId="1" shapeId="0" xr:uid="{00000000-0006-0000-0700-00000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 of this stage only
</t>
        </r>
      </text>
    </comment>
    <comment ref="AI7" authorId="1" shapeId="0" xr:uid="{00000000-0006-0000-0700-00000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of this stage only
</t>
        </r>
      </text>
    </comment>
    <comment ref="S9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</t>
        </r>
      </text>
    </comment>
    <comment ref="T9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U9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V9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W9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X9" authorId="0" shapeId="0" xr:uid="{00000000-0006-0000-0700-00000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Y9" authorId="0" shapeId="0" xr:uid="{00000000-0006-0000-0700-00000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Z9" authorId="0" shapeId="0" xr:uid="{00000000-0006-0000-0700-00000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A9" authorId="0" shapeId="0" xr:uid="{00000000-0006-0000-0700-00000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B9" authorId="0" shapeId="0" xr:uid="{00000000-0006-0000-0700-00000D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C9" authorId="0" shapeId="0" xr:uid="{5B46EA5F-FF69-4A58-97E3-DC78C633F8E8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D9" authorId="0" shapeId="0" xr:uid="{A5E64994-B8CB-4C99-90AB-5628FFC0446D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E9" authorId="0" shapeId="0" xr:uid="{68C76F55-3367-43A7-BC62-8A4C3A29491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F9" authorId="0" shapeId="0" xr:uid="{6A33755E-0644-4EA5-A8C5-A9CB4AB0D483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H10" authorId="1" shapeId="0" xr:uid="{5C9523EB-346F-44AB-8F47-491F28468473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ask Stijn - relevant?</t>
        </r>
      </text>
    </comment>
    <comment ref="S11" authorId="1" shapeId="0" xr:uid="{00000000-0006-0000-0700-00000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T11" authorId="1" shapeId="0" xr:uid="{00000000-0006-0000-0700-00000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U11" authorId="1" shapeId="0" xr:uid="{00000000-0006-0000-0700-00001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V11" authorId="1" shapeId="0" xr:uid="{00000000-0006-0000-0700-00001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W11" authorId="1" shapeId="0" xr:uid="{00000000-0006-0000-0700-00001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X11" authorId="1" shapeId="0" xr:uid="{00000000-0006-0000-0700-00001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Y11" authorId="1" shapeId="0" xr:uid="{00000000-0006-0000-0700-00001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Z11" authorId="1" shapeId="0" xr:uid="{00000000-0006-0000-0700-00001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11" authorId="1" shapeId="0" xr:uid="{00000000-0006-0000-0700-00001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B11" authorId="1" shapeId="0" xr:uid="{00000000-0006-0000-0700-000017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C11" authorId="1" shapeId="0" xr:uid="{93648EDD-32F6-4D2F-947E-962C8D86B946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D11" authorId="1" shapeId="0" xr:uid="{6C76A4DD-F4B8-4257-8D1A-57F799C5513F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E11" authorId="1" shapeId="0" xr:uid="{92B09748-B9F2-45E8-A323-764600156CDC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F11" authorId="1" shapeId="0" xr:uid="{AE496D4E-F1D1-4DE9-A6A6-2D467E0BD191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I11" authorId="1" shapeId="0" xr:uid="{00000000-0006-0000-0700-00001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I12" authorId="1" shapeId="0" xr:uid="{00000000-0006-0000-0700-00001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J22" authorId="1" shapeId="0" xr:uid="{00000000-0006-0000-0700-00001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2" authorId="1" shapeId="0" xr:uid="{00000000-0006-0000-0700-00001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2" authorId="1" shapeId="0" xr:uid="{00000000-0006-0000-0700-00001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2" authorId="1" shapeId="0" xr:uid="{00000000-0006-0000-0700-00001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Y22" authorId="1" shapeId="0" xr:uid="{00000000-0006-0000-0700-00001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Z22" authorId="1" shapeId="0" xr:uid="{00000000-0006-0000-0700-00001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A22" authorId="1" shapeId="0" xr:uid="{00000000-0006-0000-0700-00002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B22" authorId="1" shapeId="0" xr:uid="{00000000-0006-0000-0700-00002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46" authorId="1" shapeId="0" xr:uid="{00000000-0006-0000-0700-00002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AB46" authorId="1" shapeId="0" xr:uid="{00000000-0006-0000-0700-00002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M47" authorId="1" shapeId="0" xr:uid="{00000000-0006-0000-0700-00002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AB47" authorId="1" shapeId="0" xr:uid="{00000000-0006-0000-0700-00002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E83" authorId="0" shapeId="0" xr:uid="{00000000-0006-0000-0700-00002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N83" authorId="1" shapeId="0" xr:uid="{823F3AE4-D6C6-4D44-9C8A-90C8E791EC24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only for OVC=true</t>
        </r>
      </text>
    </comment>
    <comment ref="T83" authorId="0" shapeId="0" xr:uid="{00000000-0006-0000-0700-00002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Y91" authorId="0" shapeId="0" xr:uid="{8CFEF032-0F3B-41A1-B638-E054D553AC0E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Z91" authorId="0" shapeId="0" xr:uid="{1BD7BEC3-A1DE-4726-B5D6-51E6E6C1478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A91" authorId="0" shapeId="0" xr:uid="{A911213E-C8C8-4D49-9626-F3CE62F159BE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B91" authorId="0" shapeId="0" xr:uid="{2A262ED7-0B92-459F-83A5-3AE8D5E8C2B8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C91" authorId="0" shapeId="0" xr:uid="{40D9A74A-02D4-442D-8E67-CDEC40FAF93D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D91" authorId="0" shapeId="0" xr:uid="{DFF00A79-110F-4460-9C41-AE5C3A2566E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E91" authorId="0" shapeId="0" xr:uid="{18534BDF-0B1E-4DA6-A848-C78EBE3CB872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F91" authorId="0" shapeId="0" xr:uid="{BBEC41F9-AE1A-4320-83E0-E0BC37F43CC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Y92" authorId="0" shapeId="0" xr:uid="{00000000-0006-0000-0700-00002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Z92" authorId="0" shapeId="0" xr:uid="{00000000-0006-0000-0700-00002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A92" authorId="0" shapeId="0" xr:uid="{00000000-0006-0000-0700-00002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B92" authorId="0" shapeId="0" xr:uid="{00000000-0006-0000-0700-00002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C92" authorId="0" shapeId="0" xr:uid="{8ED9E754-8F53-4B1E-9C36-DA82BF01F141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D92" authorId="0" shapeId="0" xr:uid="{BD368308-1409-455B-9652-8ED740DE1BED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E92" authorId="0" shapeId="0" xr:uid="{A18F2CE9-746E-4F97-BB12-058A0C6D26FC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F92" authorId="0" shapeId="0" xr:uid="{37F24654-75EA-414C-A141-456D94A27919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B122" authorId="0" shapeId="0" xr:uid="{00000000-0006-0000-0700-00002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kWh/t-km in 2.6.2</t>
        </r>
      </text>
    </comment>
    <comment ref="S130" authorId="0" shapeId="0" xr:uid="{00000000-0006-0000-0700-00002D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T130" authorId="0" shapeId="0" xr:uid="{00000000-0006-0000-0700-00002E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U130" authorId="0" shapeId="0" xr:uid="{00000000-0006-0000-0700-00002F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V130" authorId="0" shapeId="0" xr:uid="{00000000-0006-0000-0700-000030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W130" authorId="0" shapeId="0" xr:uid="{00000000-0006-0000-0700-00003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X130" authorId="0" shapeId="0" xr:uid="{00000000-0006-0000-0700-000032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Y130" authorId="0" shapeId="0" xr:uid="{00000000-0006-0000-0700-000033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Z130" authorId="0" shapeId="0" xr:uid="{00000000-0006-0000-0700-000034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A130" authorId="0" shapeId="0" xr:uid="{00000000-0006-0000-0700-000035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B130" authorId="0" shapeId="0" xr:uid="{00000000-0006-0000-0700-00003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C130" authorId="0" shapeId="0" xr:uid="{E96764C3-B3A5-4C28-8C8F-2D1824766A9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D130" authorId="0" shapeId="0" xr:uid="{59BDB62F-DEA7-4BAE-937B-DD8925CE9DF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E130" authorId="0" shapeId="0" xr:uid="{1CD049F1-EF65-4D77-8D72-5C49F2EA1A06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F130" authorId="0" shapeId="0" xr:uid="{5D8761D3-97FA-4DC4-A4CD-772F81AC73EA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I130" authorId="0" shapeId="0" xr:uid="{00000000-0006-0000-0700-00003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Rexeis Martin</author>
    <author>Quaritsch Markus</author>
  </authors>
  <commentList>
    <comment ref="A1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AH4" authorId="1" shapeId="0" xr:uid="{00000000-0006-0000-0800-00000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I4" authorId="1" shapeId="0" xr:uid="{00000000-0006-0000-0800-00000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J4" authorId="1" shapeId="0" xr:uid="{00000000-0006-0000-0800-00000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K4" authorId="1" shapeId="0" xr:uid="{E2F2F219-B562-409E-8DBD-81531F31F1D5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O4" authorId="1" shapeId="0" xr:uid="{00000000-0006-0000-0800-00000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H5" authorId="1" shapeId="0" xr:uid="{00000000-0006-0000-0800-00000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I5" authorId="1" shapeId="0" xr:uid="{00000000-0006-0000-0800-000007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J5" authorId="1" shapeId="0" xr:uid="{00000000-0006-0000-0800-00000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K5" authorId="1" shapeId="0" xr:uid="{6D74CC34-FA43-4805-BE4F-74E5E7BF4E9C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O5" authorId="1" shapeId="0" xr:uid="{00000000-0006-0000-0800-00000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H6" authorId="1" shapeId="0" xr:uid="{00000000-0006-0000-0800-00000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I6" authorId="1" shapeId="0" xr:uid="{00000000-0006-0000-0800-00000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J6" authorId="1" shapeId="0" xr:uid="{00000000-0006-0000-0800-00000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K6" authorId="1" shapeId="0" xr:uid="{C7EE069D-DFB6-445A-B3A3-8448FD4B198A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O6" authorId="1" shapeId="0" xr:uid="{00000000-0006-0000-0800-00000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H9" authorId="1" shapeId="0" xr:uid="{00000000-0006-0000-0800-00000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I9" authorId="1" shapeId="0" xr:uid="{00000000-0006-0000-0800-00000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J9" authorId="1" shapeId="0" xr:uid="{00000000-0006-0000-0800-00001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K9" authorId="1" shapeId="0" xr:uid="{1F2A08D7-9357-4FAB-8D82-6A824E09AC88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O9" authorId="1" shapeId="0" xr:uid="{00000000-0006-0000-0800-00001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M14" authorId="0" shapeId="0" xr:uid="{00000000-0006-0000-0800-000012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N14" authorId="0" shapeId="0" xr:uid="{00000000-0006-0000-0800-000013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O14" authorId="0" shapeId="0" xr:uid="{00000000-0006-0000-0800-000014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M15" authorId="0" shapeId="0" xr:uid="{00000000-0006-0000-0800-000015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N15" authorId="0" shapeId="0" xr:uid="{00000000-0006-0000-0800-000016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O15" authorId="0" shapeId="0" xr:uid="{00000000-0006-0000-0800-000017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J20" authorId="1" shapeId="0" xr:uid="{00000000-0006-0000-0800-00001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0" authorId="1" shapeId="0" xr:uid="{00000000-0006-0000-0800-00001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0" authorId="1" shapeId="0" xr:uid="{00000000-0006-0000-0800-00001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0" authorId="1" shapeId="0" xr:uid="{00000000-0006-0000-0800-00001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Y20" authorId="1" shapeId="0" xr:uid="{00000000-0006-0000-0800-00001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Z20" authorId="1" shapeId="0" xr:uid="{00000000-0006-0000-0800-00001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A20" authorId="1" shapeId="0" xr:uid="{00000000-0006-0000-0800-00001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B20" authorId="1" shapeId="0" xr:uid="{00000000-0006-0000-0800-00001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25" authorId="1" shapeId="0" xr:uid="{00000000-0006-0000-0800-00002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
</t>
        </r>
      </text>
    </comment>
    <comment ref="A26" authorId="1" shapeId="0" xr:uid="{00000000-0006-0000-0800-00002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7" authorId="1" shapeId="0" xr:uid="{00000000-0006-0000-0800-00002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8" authorId="1" shapeId="0" xr:uid="{00000000-0006-0000-0800-00002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9" authorId="1" shapeId="0" xr:uid="{00000000-0006-0000-0800-00002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0" authorId="1" shapeId="0" xr:uid="{00000000-0006-0000-0800-00002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1" authorId="1" shapeId="0" xr:uid="{00000000-0006-0000-0800-00002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B237" authorId="1" shapeId="0" xr:uid="{A893D1EF-8B24-42B1-A415-675D5D8E32D6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means electric energy consumption</t>
        </r>
      </text>
    </comment>
    <comment ref="B241" authorId="1" shapeId="0" xr:uid="{252C4C8B-5905-4795-912B-BA35453B6880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means electric energy consumption</t>
        </r>
      </text>
    </comment>
    <comment ref="AI249" authorId="1" shapeId="0" xr:uid="{7EB95B5F-66D7-401C-9E43-F0E0571AA2C3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In case HEV with H2 ICE</t>
        </r>
      </text>
    </comment>
    <comment ref="AJ249" authorId="0" shapeId="0" xr:uid="{00000000-0006-0000-0800-00002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
All units as always, i.e. lit., g, MJ as well as /100km and /p-km</t>
        </r>
      </text>
    </comment>
    <comment ref="S263" authorId="0" shapeId="0" xr:uid="{00000000-0006-0000-0800-00002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N263" authorId="0" shapeId="0" xr:uid="{00000000-0006-0000-0800-00002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O263" authorId="0" shapeId="0" xr:uid="{00000000-0006-0000-0800-00002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</commentList>
</comments>
</file>

<file path=xl/sharedStrings.xml><?xml version="1.0" encoding="utf-8"?>
<sst xmlns="http://schemas.openxmlformats.org/spreadsheetml/2006/main" count="10856" uniqueCount="917">
  <si>
    <t>Mission profile</t>
  </si>
  <si>
    <t>Payload</t>
  </si>
  <si>
    <t>Result level</t>
  </si>
  <si>
    <t>CO2 emissions</t>
  </si>
  <si>
    <t>Electric energy consumption</t>
  </si>
  <si>
    <t>Zero CO2 emissions range</t>
  </si>
  <si>
    <t>[km]</t>
  </si>
  <si>
    <t>[-]</t>
  </si>
  <si>
    <t>low</t>
  </si>
  <si>
    <t>---</t>
  </si>
  <si>
    <t>Total</t>
  </si>
  <si>
    <t>X</t>
  </si>
  <si>
    <t>Annex</t>
  </si>
  <si>
    <t>Comment</t>
  </si>
  <si>
    <t>Conventional Lorry</t>
  </si>
  <si>
    <t>HEV-Px/IHPC Lorry</t>
  </si>
  <si>
    <t>HEV-S2 Lorry</t>
  </si>
  <si>
    <t>HEV-S3 Lorry</t>
  </si>
  <si>
    <t>HEV-S4 Lorry</t>
  </si>
  <si>
    <t>HEV-IEPC-S Lorry</t>
  </si>
  <si>
    <t>PEV-E2 Lorry</t>
  </si>
  <si>
    <t>PEV-E3 Lorry</t>
  </si>
  <si>
    <t>PEV-E4 Lorry</t>
  </si>
  <si>
    <t>PEV-IEPC Lorry</t>
  </si>
  <si>
    <t>Conventional Completed Bus</t>
  </si>
  <si>
    <t>HEV-Px/IHPC Completed Bus</t>
  </si>
  <si>
    <t>HEV-S2 Completed Bus</t>
  </si>
  <si>
    <t>HEV-S3 Completed Bus</t>
  </si>
  <si>
    <t>HEV-S4 Completed Bus</t>
  </si>
  <si>
    <t>HEV-IEPC-S Completed Bus</t>
  </si>
  <si>
    <t>PEV-E2 Completed Bus</t>
  </si>
  <si>
    <t>PEV-E3 Completed Bus</t>
  </si>
  <si>
    <t>PEV-E4 Completed Bus</t>
  </si>
  <si>
    <t>PEV-IEPC Completed Bus</t>
  </si>
  <si>
    <t>Exempted Lorry</t>
  </si>
  <si>
    <t>Exempted Completed Bus</t>
  </si>
  <si>
    <t>XPATH</t>
  </si>
  <si>
    <t>Vehicle, component, separate technical unit and systems data</t>
  </si>
  <si>
    <t>1.1.</t>
  </si>
  <si>
    <t>Vehicle data</t>
  </si>
  <si>
    <t>1.1.1.</t>
  </si>
  <si>
    <t>Vehicle identification number (VIN)……………..</t>
  </si>
  <si>
    <t>x</t>
  </si>
  <si>
    <t>1.1.2.</t>
  </si>
  <si>
    <t>Vehicle category (N2, N3, M3)……….</t>
  </si>
  <si>
    <t>1.1.3.</t>
  </si>
  <si>
    <t>Axle configuration………………..</t>
  </si>
  <si>
    <t>1.1.4.</t>
  </si>
  <si>
    <t>Technically Permissible Maximum Laden Mass (t)………………….</t>
  </si>
  <si>
    <t>1.1.5.</t>
  </si>
  <si>
    <t>Vehicle group in accordance with Annex I………………..</t>
  </si>
  <si>
    <t xml:space="preserve">1.1.5a. </t>
  </si>
  <si>
    <t>Vehicle (Sub)group for CO2 standards…………</t>
  </si>
  <si>
    <t>only if sub-group is available</t>
  </si>
  <si>
    <t>1.1.6.</t>
  </si>
  <si>
    <t>Name and address(es) of manufacturer(s)……………..</t>
  </si>
  <si>
    <t>1.1.7.</t>
  </si>
  <si>
    <t>Model………………….</t>
  </si>
  <si>
    <t>1.1.8.</t>
  </si>
  <si>
    <t>Corrected actual mass (kg)……………………</t>
  </si>
  <si>
    <t>1.1.10.</t>
  </si>
  <si>
    <t>Zero emission heavy-duty vehicle (yes/no)……………………………..</t>
  </si>
  <si>
    <t>1.1.11.</t>
  </si>
  <si>
    <t>Hybrid electric heavy-duty vehicle (yes/no)………………………………</t>
  </si>
  <si>
    <t>1.1.12.</t>
  </si>
  <si>
    <t>Dual-fuel vehicle (yes/no)…………………………………………….</t>
  </si>
  <si>
    <t xml:space="preserve">1.1.12a.             </t>
  </si>
  <si>
    <t>Waste Heat recovery (yes/no) …………………………………………….</t>
  </si>
  <si>
    <t>1.1.13.</t>
  </si>
  <si>
    <t>Sleeper cab (yes/no)…………………………………………………..</t>
  </si>
  <si>
    <t>1.1.14.</t>
  </si>
  <si>
    <t>HEV architecture (e.g. P1, P2) ….</t>
  </si>
  <si>
    <t>1.1.15.</t>
  </si>
  <si>
    <t>PEV architecture (e.g. E2, E3) ….</t>
  </si>
  <si>
    <t>1.1.16.</t>
  </si>
  <si>
    <t>Off-vehicle charging capability (yes/no) ….</t>
  </si>
  <si>
    <t>1.1.17.</t>
  </si>
  <si>
    <t>&lt;reserved&gt;</t>
  </si>
  <si>
    <t>o</t>
  </si>
  <si>
    <t>1.1.19.</t>
  </si>
  <si>
    <t>Vehicle technology exempted from Article 9 ….</t>
  </si>
  <si>
    <t>1.1.20.</t>
  </si>
  <si>
    <t>Class of bus (e.g. I, I+II etc.)…</t>
  </si>
  <si>
    <t>1.1.21.</t>
  </si>
  <si>
    <t>Total number of registered passengers ……….</t>
  </si>
  <si>
    <t>not yet in Annex IV</t>
  </si>
  <si>
    <t>VehicleTypeApprovalNumber</t>
  </si>
  <si>
    <t>1.2.</t>
  </si>
  <si>
    <t>Component, separate technical unit and systems data</t>
  </si>
  <si>
    <t>1.2.1.</t>
  </si>
  <si>
    <t>Engine rated power (kW)………………..</t>
  </si>
  <si>
    <t>1.2.2.</t>
  </si>
  <si>
    <t>Engine capacity (ltr)………………..</t>
  </si>
  <si>
    <t>1.2.3.</t>
  </si>
  <si>
    <t>Fuel type (Diesel CI/CNG PI/LNG PI...)………………….</t>
  </si>
  <si>
    <t>dual fuel: multiple entries</t>
  </si>
  <si>
    <t>1.2.4.</t>
  </si>
  <si>
    <t>Transmission values (measured/standard)……………….</t>
  </si>
  <si>
    <t>1.2.5.</t>
  </si>
  <si>
    <t>Transmission type (SMT, AMT, APT, none)…………………</t>
  </si>
  <si>
    <t>1.2.6.</t>
  </si>
  <si>
    <r>
      <rPr>
        <sz val="11"/>
        <rFont val="Calibri"/>
        <family val="2"/>
        <scheme val="minor"/>
      </rPr>
      <t>No</t>
    </r>
    <r>
      <rPr>
        <sz val="11"/>
        <rFont val="Calibri"/>
        <family val="2"/>
        <scheme val="minor"/>
      </rPr>
      <t>. of gears………………….</t>
    </r>
  </si>
  <si>
    <t>if no transmission --&gt; "1"</t>
  </si>
  <si>
    <t>1.2.7.</t>
  </si>
  <si>
    <t>Retarder (yes/no)……………….</t>
  </si>
  <si>
    <t>1.2.8.</t>
  </si>
  <si>
    <t>Axle ratio………………….</t>
  </si>
  <si>
    <t>1.2.9.</t>
  </si>
  <si>
    <t>Average rolling resistance coefficient (RRC) of all tyres of the motor vehicle: ………………….</t>
  </si>
  <si>
    <t>1.2.10a.</t>
  </si>
  <si>
    <t>Tyre dimension for each axle of the motor vehicle ……….</t>
  </si>
  <si>
    <t>1.2.10b.</t>
  </si>
  <si>
    <r>
      <t>Fuel efficiency class of tyres in accordance with Regulation (EU) 2020/740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for each axle of the motor vehicle.………………</t>
    </r>
  </si>
  <si>
    <t>1.2.10c.</t>
  </si>
  <si>
    <t>Tyre certification number for each axle of the motor vehicle ……….</t>
  </si>
  <si>
    <t>1.2.11.</t>
  </si>
  <si>
    <t>Engine stop-start during vehicle stops (yes/no)…………………</t>
  </si>
  <si>
    <t>1.2.12.</t>
  </si>
  <si>
    <t>Eco-roll without engine stop-start (yes/no)………………………</t>
  </si>
  <si>
    <t>use direcly from input</t>
  </si>
  <si>
    <t>1.2.13.</t>
  </si>
  <si>
    <t>Eco-roll with engine stop-start (yes/no)…………………………….</t>
  </si>
  <si>
    <t>1.2.14.</t>
  </si>
  <si>
    <t>Predictive cruise control (yes/no)…………………………………..</t>
  </si>
  <si>
    <t>1.2.15.</t>
  </si>
  <si>
    <t>Electric machine system(s) total rated propulsion power (kW)…………………</t>
  </si>
  <si>
    <t>1.2.16.</t>
  </si>
  <si>
    <t>Electric machine system total maximum continuous propulsion power (kW)…………………</t>
  </si>
  <si>
    <t>1.2.17.</t>
  </si>
  <si>
    <t>REESS total storage capacity (kWh)……………….</t>
  </si>
  <si>
    <t>1.2.18.</t>
  </si>
  <si>
    <t>REESS useable storage capacity in simulation (kWh)……………….</t>
  </si>
  <si>
    <t>1.3.</t>
  </si>
  <si>
    <t>Auxiliary configuration</t>
  </si>
  <si>
    <t>1.3.1.</t>
  </si>
  <si>
    <t>Steering pump technology…………….</t>
  </si>
  <si>
    <t>1.3.2.</t>
  </si>
  <si>
    <t>Electric system</t>
  </si>
  <si>
    <t>1.3.2.1</t>
  </si>
  <si>
    <t>Alternator technology (conventional, smart, no alternator)……………</t>
  </si>
  <si>
    <t>1.3.2.2</t>
  </si>
  <si>
    <t>Max alternator power (smart electrics) (kW)……………</t>
  </si>
  <si>
    <t>1.3.2.3</t>
  </si>
  <si>
    <t>Electric storage capacity (smart electrics) (kWh)……………</t>
  </si>
  <si>
    <t>1.3.3.</t>
  </si>
  <si>
    <t>Pneumatic system</t>
  </si>
  <si>
    <t>1.3.3.1</t>
  </si>
  <si>
    <t>Smart compression system ……………….</t>
  </si>
  <si>
    <t>1.3.3.2</t>
  </si>
  <si>
    <t>Smart regeneration system ……………….</t>
  </si>
  <si>
    <t>1.3.4.</t>
  </si>
  <si>
    <t>HVAC system</t>
  </si>
  <si>
    <t>1.3.4.1</t>
  </si>
  <si>
    <t>System configuration …………………..</t>
  </si>
  <si>
    <t>1.3.4.2</t>
  </si>
  <si>
    <t>Auxiliary heater power (kW) ……………….</t>
  </si>
  <si>
    <t>1.3.4.3</t>
  </si>
  <si>
    <t>Double glazing (yes/no) ……………….</t>
  </si>
  <si>
    <t>2.1.</t>
  </si>
  <si>
    <t>Simulation parameters</t>
  </si>
  <si>
    <t>2.1.1.</t>
  </si>
  <si>
    <t xml:space="preserve">Mission profile.…………… </t>
  </si>
  <si>
    <t>2.1.2.</t>
  </si>
  <si>
    <t>Payload (kg) .……………</t>
  </si>
  <si>
    <t>2.1.3.</t>
  </si>
  <si>
    <t>Passenger information</t>
  </si>
  <si>
    <t>2.1.3.1</t>
  </si>
  <si>
    <t>Number of passengers in simulation …….. (-)</t>
  </si>
  <si>
    <t>2.1.3.2</t>
  </si>
  <si>
    <t>Mass of passengers in simulation …….. (kg)</t>
  </si>
  <si>
    <t>2.1.4.</t>
  </si>
  <si>
    <t>Total vehicle mass in simulation (kg) .……………</t>
  </si>
  <si>
    <r>
      <t>2.1.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.</t>
    </r>
  </si>
  <si>
    <t>OVC mode (charge depleting, charge sustaining, weighted) ….</t>
  </si>
  <si>
    <t>when OVC is available</t>
  </si>
  <si>
    <t>2.2.</t>
  </si>
  <si>
    <t>Average speed (km/h) …………………</t>
  </si>
  <si>
    <t>not for OVC=weighted</t>
  </si>
  <si>
    <t>2.3.</t>
  </si>
  <si>
    <t>Fuel and energy consumption results (per fuel type and electric energy)</t>
  </si>
  <si>
    <t>2.3.1.</t>
  </si>
  <si>
    <t>Fuel consumption (g/km)…………….</t>
  </si>
  <si>
    <t>2.3.2.</t>
  </si>
  <si>
    <t>Fuel consumption (g/t-km)……………………</t>
  </si>
  <si>
    <t>2.3.3.</t>
  </si>
  <si>
    <t>Fuel consumption (g/p-km)………………..</t>
  </si>
  <si>
    <t>2.3.4.</t>
  </si>
  <si>
    <t>Fuel consumption (g/m³-km)…………………..</t>
  </si>
  <si>
    <t>2.3.5.</t>
  </si>
  <si>
    <t>Fuel consumption (l/100km)………………….</t>
  </si>
  <si>
    <t>lit not for gaseous fuels</t>
  </si>
  <si>
    <t>2.3.6.</t>
  </si>
  <si>
    <t>Fuel consumption (l/t-km)…………………</t>
  </si>
  <si>
    <t>2.3.7.</t>
  </si>
  <si>
    <t>Fuel consumption (l/p-km)…………………..</t>
  </si>
  <si>
    <t>2.3.8.</t>
  </si>
  <si>
    <t>Fuel consumption (l/m³-km)……………..</t>
  </si>
  <si>
    <t>2.3.9.</t>
  </si>
  <si>
    <t>Energy consumption (MJ/km, kWh/km)…………………..</t>
  </si>
  <si>
    <t>2.3.10.</t>
  </si>
  <si>
    <t>Energy consumption (MJ/t-km, kWh/t-km)…………..</t>
  </si>
  <si>
    <t>2.3.11.</t>
  </si>
  <si>
    <t>Energy consumption (MJ/p-km, kWh/p-km)………………….</t>
  </si>
  <si>
    <t>2.3.12.</t>
  </si>
  <si>
    <t>Energy consumption (MJ/m³-km, kWh/m³-km)………………..</t>
  </si>
  <si>
    <t>2.4.</t>
  </si>
  <si>
    <t>CO2 results (for each mission profile and loading combination)</t>
  </si>
  <si>
    <t>2.4.1.</t>
  </si>
  <si>
    <t>CO2 (g/km)…………….</t>
  </si>
  <si>
    <t>2.4.2.</t>
  </si>
  <si>
    <t>CO2 (g/t-km)……………….</t>
  </si>
  <si>
    <t>2.4.3.</t>
  </si>
  <si>
    <t>CO2 (g/p-km)……………</t>
  </si>
  <si>
    <t>2.4.5.</t>
  </si>
  <si>
    <t>CO2 (g/m³-km)……………..</t>
  </si>
  <si>
    <t>FuelConsumptionZeroEmissionVehicleAuxHeater</t>
  </si>
  <si>
    <t>CO2ZeroEmissionVehicleAuxHeater</t>
  </si>
  <si>
    <t>UtilityFactor</t>
  </si>
  <si>
    <t>only in case ovc hev</t>
  </si>
  <si>
    <t>2.5.</t>
  </si>
  <si>
    <t>2.5.1.</t>
  </si>
  <si>
    <t>Actual charge depleting range (km)…</t>
  </si>
  <si>
    <t>only when OVC=charge depleting</t>
  </si>
  <si>
    <t>2.5.2.</t>
  </si>
  <si>
    <t>Equivalent all electric range (km)…</t>
  </si>
  <si>
    <t>2.5.3.</t>
  </si>
  <si>
    <t>Zero CO2 emission range (km) …..</t>
  </si>
  <si>
    <t>only when OVC and for 'total'</t>
  </si>
  <si>
    <t>2.6.</t>
  </si>
  <si>
    <t>Weighted results</t>
  </si>
  <si>
    <t>weighted results over all simulations</t>
  </si>
  <si>
    <t>2.6.1.</t>
  </si>
  <si>
    <t>2.6.2.</t>
  </si>
  <si>
    <t>Specific electric energy consumption (kWh/t-km) ……</t>
  </si>
  <si>
    <t>only when OVC = true</t>
  </si>
  <si>
    <t>2.6.3.</t>
  </si>
  <si>
    <t>Average payload value (t)…………</t>
  </si>
  <si>
    <t>2.6.4.</t>
  </si>
  <si>
    <t>2.6.5.</t>
  </si>
  <si>
    <t>Specific electric energy consumption (kWh/p-km) …………</t>
  </si>
  <si>
    <t>2.6.6.</t>
  </si>
  <si>
    <t xml:space="preserve">Average passenger count (p)…………… </t>
  </si>
  <si>
    <t xml:space="preserve">2.6.7. </t>
  </si>
  <si>
    <t>2.6.8.</t>
  </si>
  <si>
    <t>2.6.9.</t>
  </si>
  <si>
    <t>Software information</t>
  </si>
  <si>
    <t>3.1.</t>
  </si>
  <si>
    <t>Simulation tool version…………………..</t>
  </si>
  <si>
    <t>3.2.</t>
  </si>
  <si>
    <t>Date and time of the simulation…………………..</t>
  </si>
  <si>
    <t>3.3.</t>
  </si>
  <si>
    <t>Cryptographic hash simulation tool input information and input data of the primary vehicle (if applicable)………..</t>
  </si>
  <si>
    <t>3.4.</t>
  </si>
  <si>
    <t>Cryptographic hash of the manufacturer’s record file of the primary vehicle (if applicable) ……………</t>
  </si>
  <si>
    <t xml:space="preserve">3.5. </t>
  </si>
  <si>
    <t>Cryptographic hash of the vehicle simulation tool input information and input data …………………..</t>
  </si>
  <si>
    <t>3.6.</t>
  </si>
  <si>
    <t>Cryptographic hash of the manufacturer's records file …………………..</t>
  </si>
  <si>
    <t>3.7.</t>
  </si>
  <si>
    <t>Cryptographic hash of the customer information file ...............</t>
  </si>
  <si>
    <t>(X)</t>
  </si>
  <si>
    <t>ResultSuccessConventionalType</t>
  </si>
  <si>
    <t>ResultSuccessNonOVCHEVType</t>
  </si>
  <si>
    <t>ResultSuccessOVCHEVType</t>
  </si>
  <si>
    <t>ResultSuccessPEVType</t>
  </si>
  <si>
    <t>Number of passengers in simulation</t>
  </si>
  <si>
    <t>Mass of passengers in simulation</t>
  </si>
  <si>
    <t>Total vehicle mass in simulation</t>
  </si>
  <si>
    <t>Average speed</t>
  </si>
  <si>
    <r>
      <t>Fuel consumption</t>
    </r>
    <r>
      <rPr>
        <sz val="11"/>
        <color theme="1"/>
        <rFont val="Calibri"/>
        <family val="2"/>
        <scheme val="minor"/>
      </rPr>
      <t xml:space="preserve"> (per fuel type)</t>
    </r>
  </si>
  <si>
    <t>kg</t>
  </si>
  <si>
    <t>-</t>
  </si>
  <si>
    <t>km/h</t>
  </si>
  <si>
    <t>g/km</t>
  </si>
  <si>
    <t>g/t-km</t>
  </si>
  <si>
    <t>g/m³-km</t>
  </si>
  <si>
    <t>MJ/km</t>
  </si>
  <si>
    <t>MJ/t-km</t>
  </si>
  <si>
    <t>MJ/m³-km</t>
  </si>
  <si>
    <t>kWh/km</t>
  </si>
  <si>
    <t>kWh/t-km</t>
  </si>
  <si>
    <t>kWh/m³-km</t>
  </si>
  <si>
    <t>g/p-km</t>
  </si>
  <si>
    <t>MJ/p-km</t>
  </si>
  <si>
    <t>l/t-km</t>
  </si>
  <si>
    <t>l/p-km</t>
  </si>
  <si>
    <t>l/m³-km</t>
  </si>
  <si>
    <t>kWh/p-km</t>
  </si>
  <si>
    <t>Actual charge depleting range</t>
  </si>
  <si>
    <t>Equivalent all electric range</t>
  </si>
  <si>
    <t>representative</t>
  </si>
  <si>
    <t>Average payload value</t>
  </si>
  <si>
    <t>t</t>
  </si>
  <si>
    <t>Average passenger count</t>
  </si>
  <si>
    <t>gCO2/t-km</t>
  </si>
  <si>
    <t>Specific CO2 emissions</t>
  </si>
  <si>
    <t>gCO2/p-km</t>
  </si>
  <si>
    <t>CO2 emissions other units</t>
  </si>
  <si>
    <t>Specific electric energy consumption</t>
  </si>
  <si>
    <t>Electric energy consumption other units</t>
  </si>
  <si>
    <t>Fuel consumption auxiliary heater for ZEV</t>
  </si>
  <si>
    <t>CO2 emissions auxiliary heater for ZEV</t>
  </si>
  <si>
    <t>l/100km</t>
  </si>
  <si>
    <t>High level parameter</t>
  </si>
  <si>
    <t>Legend</t>
  </si>
  <si>
    <t>Charge Depleting Mode</t>
  </si>
  <si>
    <t>Charge Sustaining Mode</t>
  </si>
  <si>
    <t>Individual result simulated in specific mode (i.e. CS or CD)</t>
  </si>
  <si>
    <t>Result from specific mode (i.e. CS or CD) without direct output but relevant for total results</t>
  </si>
  <si>
    <t>Post-processing result from above (i.e. grey X) given as output in total results element</t>
  </si>
  <si>
    <t>Weighted result produced by weighted averaging from CS and CD</t>
  </si>
  <si>
    <t>Such does not exist</t>
  </si>
  <si>
    <t>Utility factor</t>
  </si>
  <si>
    <t>Xpath</t>
  </si>
  <si>
    <t>Results per mission profile (and payload) combination</t>
  </si>
  <si>
    <t>Cryptographic hash of the manufacturer's records file………….</t>
  </si>
  <si>
    <t xml:space="preserve">Cryptographic hash of simulation tool input information and input data……………. </t>
  </si>
  <si>
    <t xml:space="preserve">Cryptographic hash of the vehicle information file as produced by the simulation tool (if applicable) ………… </t>
  </si>
  <si>
    <t>3.5.</t>
  </si>
  <si>
    <t xml:space="preserve">3.3. </t>
  </si>
  <si>
    <t>Date and time of the  simulation ……………………..</t>
  </si>
  <si>
    <t>Simulation tool version (X.X.X)…………….</t>
  </si>
  <si>
    <t>2.3.16.</t>
  </si>
  <si>
    <t>2.3.15.</t>
  </si>
  <si>
    <t>2.3.14.</t>
  </si>
  <si>
    <t>2.3.13.</t>
  </si>
  <si>
    <t>electric energy consumption only in case of ovc=true, unit kWh only for electric energy consumption (not for fuel)</t>
  </si>
  <si>
    <t>Energy consumption (MJ/km, kWh/km )…………………..</t>
  </si>
  <si>
    <t>Fuel consumption (g/p -km)………………..</t>
  </si>
  <si>
    <t>fuel consumption for each fuel</t>
  </si>
  <si>
    <t>Fuel and energy consumption (per fuel type and electric energy) and CO2 results (total)</t>
  </si>
  <si>
    <t>Average axlegear efficiency (%) .......</t>
  </si>
  <si>
    <t>Average gearbox efficiency (%) .......</t>
  </si>
  <si>
    <t>in case ovc=true: not for OVC=weighted</t>
  </si>
  <si>
    <t>Total driven distance (km)…………….</t>
  </si>
  <si>
    <t>2.2.8.</t>
  </si>
  <si>
    <t>Total number of gear shifts…………………</t>
  </si>
  <si>
    <t>2.2.7.</t>
  </si>
  <si>
    <t>Full load percentage on driving time………………….</t>
  </si>
  <si>
    <t>2.2.6.</t>
  </si>
  <si>
    <t>Maximum acceleration (m/s²)………………</t>
  </si>
  <si>
    <t>2.2.5.</t>
  </si>
  <si>
    <t>Maximum deceleration (m/s²)……………..</t>
  </si>
  <si>
    <t>2.2.4.</t>
  </si>
  <si>
    <t>Maximum instantaneous speed (km/h)……………….</t>
  </si>
  <si>
    <t>2.2.3.</t>
  </si>
  <si>
    <t>Minimum instantaneous speed (km/h)………………</t>
  </si>
  <si>
    <t>2.2.2.</t>
  </si>
  <si>
    <t>Average speed (km/h)…………….</t>
  </si>
  <si>
    <t>2.2.1.</t>
  </si>
  <si>
    <t xml:space="preserve">Vehicle driving performance and information for simulation quality check </t>
  </si>
  <si>
    <t>Primary vehicle sub-group</t>
  </si>
  <si>
    <t>when OVC is true</t>
  </si>
  <si>
    <t>Total vehicle mass in simulation (kg)………………..</t>
  </si>
  <si>
    <t>Passenger count…………</t>
  </si>
  <si>
    <t>2.1.2a.</t>
  </si>
  <si>
    <t>Load (as defined in the simulation tool) (kg)…………</t>
  </si>
  <si>
    <t>Mission profile ………………….</t>
  </si>
  <si>
    <t xml:space="preserve">Mission profile and loading dependent values </t>
  </si>
  <si>
    <t>Hash of the input data and input information…………….</t>
  </si>
  <si>
    <t>Max voltage</t>
  </si>
  <si>
    <t>Min voltage</t>
  </si>
  <si>
    <t>Capacitance</t>
  </si>
  <si>
    <t>Certification number</t>
  </si>
  <si>
    <t>Model</t>
  </si>
  <si>
    <t>REESS specifications - Supercap</t>
  </si>
  <si>
    <t>StringID (-)</t>
  </si>
  <si>
    <t>1.15.8.</t>
  </si>
  <si>
    <t>1.15.7.</t>
  </si>
  <si>
    <t>1.15.6.</t>
  </si>
  <si>
    <t>Total usable capacity in simulation (kWh) ……</t>
  </si>
  <si>
    <t xml:space="preserve">1.15.5. </t>
  </si>
  <si>
    <t>Total storage capacity (kWh) ……</t>
  </si>
  <si>
    <t xml:space="preserve">1.15.4. </t>
  </si>
  <si>
    <t>Nominal voltage (V) ……</t>
  </si>
  <si>
    <t xml:space="preserve">1.15.3. </t>
  </si>
  <si>
    <t>Certification number ……….</t>
  </si>
  <si>
    <t>1.15.2.</t>
  </si>
  <si>
    <t>Model……….</t>
  </si>
  <si>
    <t xml:space="preserve">1.15.1 </t>
  </si>
  <si>
    <t>per battery system (consider string id!)</t>
  </si>
  <si>
    <t>REESS specifications - Battery</t>
  </si>
  <si>
    <t>1.15.</t>
  </si>
  <si>
    <t>1.14.9.</t>
  </si>
  <si>
    <t>Certification option for generation of electric power consumption map ……….</t>
  </si>
  <si>
    <t>1.14.8.</t>
  </si>
  <si>
    <t>Design type wheel motors…..</t>
  </si>
  <si>
    <t>Differential included (yes/no) ………….</t>
  </si>
  <si>
    <t>1.14.7.</t>
  </si>
  <si>
    <t>Lowest total transmission ratio (highest gear times axle ratio if applicable) …</t>
  </si>
  <si>
    <t>1.14.6.</t>
  </si>
  <si>
    <t>Number of gears …………….</t>
  </si>
  <si>
    <t>1.14.5.</t>
  </si>
  <si>
    <t>Maximum continuous power (kW) …………….</t>
  </si>
  <si>
    <t>1.14.4.</t>
  </si>
  <si>
    <t>Rated power (kW) …………….</t>
  </si>
  <si>
    <t>1.14.3.</t>
  </si>
  <si>
    <t>1.14.2.</t>
  </si>
  <si>
    <t>Model……..</t>
  </si>
  <si>
    <t xml:space="preserve">1.14.1 </t>
  </si>
  <si>
    <t>Integrated electric powertrain system (IEPC) specifications</t>
  </si>
  <si>
    <t>1.14.</t>
  </si>
  <si>
    <t>Boosting limitations</t>
  </si>
  <si>
    <t>ADC only if available</t>
  </si>
  <si>
    <t>Hash of the additional driveline components input data and input information…………….</t>
  </si>
  <si>
    <t>1.13.15.</t>
  </si>
  <si>
    <t>ADC ratio……………..</t>
  </si>
  <si>
    <t>1.13.14.</t>
  </si>
  <si>
    <t>Certification option used for generation of a ADC loss map (standard values/measurement)……………..</t>
  </si>
  <si>
    <t>1.13.13.</t>
  </si>
  <si>
    <t>ADC certification number……………..</t>
  </si>
  <si>
    <t>1.13.12.</t>
  </si>
  <si>
    <t>ADC model ……….</t>
  </si>
  <si>
    <t>1.13.11.</t>
  </si>
  <si>
    <t>Ratio to drivetrain …………….</t>
  </si>
  <si>
    <t>1.13.10.</t>
  </si>
  <si>
    <t>Certification option for generation of electric power consumption map</t>
  </si>
  <si>
    <t>1.13.9.</t>
  </si>
  <si>
    <t>1.13.8.</t>
  </si>
  <si>
    <t>1.13.7.</t>
  </si>
  <si>
    <t>Count at position …………….</t>
  </si>
  <si>
    <t>1.13.6.</t>
  </si>
  <si>
    <t>Coupled axle number (1, 2, 3, 4)…………….</t>
  </si>
  <si>
    <t>1.13.5.</t>
  </si>
  <si>
    <t>Position (GEN, 1, 2, 3, 4)…………….</t>
  </si>
  <si>
    <t>1.13.4.</t>
  </si>
  <si>
    <t>Type (ASM, ESM, PSM, RM) ……….</t>
  </si>
  <si>
    <t xml:space="preserve">1.13.3 </t>
  </si>
  <si>
    <t>1.13.2.</t>
  </si>
  <si>
    <t xml:space="preserve">1.13.1 </t>
  </si>
  <si>
    <t>Electric machine system(s) specifications</t>
  </si>
  <si>
    <t>1.13.</t>
  </si>
  <si>
    <t>Predictive cruise control (yes/no)…………………………………</t>
  </si>
  <si>
    <t>1.12.4.</t>
  </si>
  <si>
    <t>Eco-roll with engine stop-start (yes/no)…………………………..</t>
  </si>
  <si>
    <t>1.12.3.</t>
  </si>
  <si>
    <t>Eco-roll without engine stop-start (yes/no)……………………….</t>
  </si>
  <si>
    <t>1.12.2.</t>
  </si>
  <si>
    <t>Engine stop-start during vehicle stops (yes/no)…………………..</t>
  </si>
  <si>
    <t>1.12.1.</t>
  </si>
  <si>
    <t>Advanced driver assistance systems (ADAS)</t>
  </si>
  <si>
    <t>1.12.</t>
  </si>
  <si>
    <t xml:space="preserve">Engine torque limit at gear … (% of max engine torque) </t>
  </si>
  <si>
    <t>1.11.4.</t>
  </si>
  <si>
    <t xml:space="preserve">Engine torque limit at gear 3 (% of max engine torque)…………… </t>
  </si>
  <si>
    <t>1.11.3.</t>
  </si>
  <si>
    <t xml:space="preserve">Engine torque limit at gear 2 (% of max engine torque)…………… </t>
  </si>
  <si>
    <t>1.11.2.</t>
  </si>
  <si>
    <t>Engine torque limit at gear 1 (% of max engine torque)……………</t>
  </si>
  <si>
    <t>1.11.1.</t>
  </si>
  <si>
    <t>Engine torque limitations</t>
  </si>
  <si>
    <t>1.11.</t>
  </si>
  <si>
    <t>Other heating technology</t>
  </si>
  <si>
    <t>1.10.5.14.</t>
  </si>
  <si>
    <t>Air electric heater</t>
  </si>
  <si>
    <t>1.10.5.13.</t>
  </si>
  <si>
    <t>Water electric heater</t>
  </si>
  <si>
    <t>1.10.5.12.</t>
  </si>
  <si>
    <t>Separate air distribution ducts (yes/no) ……………….</t>
  </si>
  <si>
    <t>1.10.5.11.</t>
  </si>
  <si>
    <t>Engine waste gas heat exchanger (yes/no)……………….</t>
  </si>
  <si>
    <t>1.10.5.10.</t>
  </si>
  <si>
    <t>Adjustable auxiliary heater………</t>
  </si>
  <si>
    <t>1.10.5.9.</t>
  </si>
  <si>
    <t>Adjustable coolant thermostat (yes/no)……………….</t>
  </si>
  <si>
    <t>1.10.5.8.</t>
  </si>
  <si>
    <t>1.10.5.7.</t>
  </si>
  <si>
    <t>1.10.5.6.</t>
  </si>
  <si>
    <t>Heat pump type heating passenger compartment ……</t>
  </si>
  <si>
    <t>1.10.5.5.</t>
  </si>
  <si>
    <t>Heat pump type cooling passenger compartment ……</t>
  </si>
  <si>
    <t>1.10.5.4.</t>
  </si>
  <si>
    <t>Heat pump type heating cooling driver compartment …..</t>
  </si>
  <si>
    <t>1.10.5.3.</t>
  </si>
  <si>
    <t>Heat pump type cooling driver compartment …..</t>
  </si>
  <si>
    <t>1.10.5.2.</t>
  </si>
  <si>
    <t>System configuration number…………………..</t>
  </si>
  <si>
    <t>1.10.5.1.</t>
  </si>
  <si>
    <t xml:space="preserve">HVAC system </t>
  </si>
  <si>
    <t>1.10.5.</t>
  </si>
  <si>
    <t>Reagent dosing (exhaust after-treatment) ……………….</t>
  </si>
  <si>
    <t>1.10.4.6.</t>
  </si>
  <si>
    <t>Air suspension control ……………….</t>
  </si>
  <si>
    <t>1.10.4.5.</t>
  </si>
  <si>
    <t>1.10.4.4.</t>
  </si>
  <si>
    <t>1.10.4.3.</t>
  </si>
  <si>
    <t>Compressor ratio ……………….</t>
  </si>
  <si>
    <t>1.10.4.2.</t>
  </si>
  <si>
    <t>Technology ……………….</t>
  </si>
  <si>
    <t>1.10.4.1.</t>
  </si>
  <si>
    <t xml:space="preserve">Pneumatic system </t>
  </si>
  <si>
    <t>1.10.4.</t>
  </si>
  <si>
    <t>Interior lights LED (yes/no)……………</t>
  </si>
  <si>
    <t>1.10.3.8.</t>
  </si>
  <si>
    <t>Brake lights LED (yes/no)……………</t>
  </si>
  <si>
    <t>1.10.3.7.</t>
  </si>
  <si>
    <t>Position lights LED (yes/no)……………</t>
  </si>
  <si>
    <t>1.10.3.6.</t>
  </si>
  <si>
    <t>Head lights LED (yes/no)……………</t>
  </si>
  <si>
    <t>1.10.3.5.</t>
  </si>
  <si>
    <t>Day running lights LED (yes/no)……………</t>
  </si>
  <si>
    <t>1.10.3.4.</t>
  </si>
  <si>
    <t>1.10.3.3.</t>
  </si>
  <si>
    <t>1.10.3.2.</t>
  </si>
  <si>
    <t>1.10.3.1.</t>
  </si>
  <si>
    <t xml:space="preserve">Electric system </t>
  </si>
  <si>
    <t>1.10.3.</t>
  </si>
  <si>
    <t>1.10.2.</t>
  </si>
  <si>
    <t>Engine cooling fan technology……………</t>
  </si>
  <si>
    <t>1.10.1.</t>
  </si>
  <si>
    <t>Auxiliary specifications</t>
  </si>
  <si>
    <t>1.10.</t>
  </si>
  <si>
    <t>Hash of the tyre input data and input information axle 4………………</t>
  </si>
  <si>
    <t>1.9.16.</t>
  </si>
  <si>
    <t>Specific RRC of all tyres on axle 4 ……..</t>
  </si>
  <si>
    <t>1.9.15.</t>
  </si>
  <si>
    <t>Tyre certification number axle 4…………………….</t>
  </si>
  <si>
    <t>1.9.14.</t>
  </si>
  <si>
    <t>Twin axle (yes/no) axle 4..…………………</t>
  </si>
  <si>
    <t>1.9.13.</t>
  </si>
  <si>
    <t>Tyre dimension axle 4..……………….</t>
  </si>
  <si>
    <t>1.9.12.</t>
  </si>
  <si>
    <t>Hash of the tyre input data and input information axle 3………………</t>
  </si>
  <si>
    <t>1.9.11a.</t>
  </si>
  <si>
    <t>Specific RRC of all tyres on axle 3……..</t>
  </si>
  <si>
    <t>1.9.11.</t>
  </si>
  <si>
    <t>Tyre certification number axle 3…………………</t>
  </si>
  <si>
    <t>1.9.10.</t>
  </si>
  <si>
    <t>Twin axle (yes/no) axle 3………………</t>
  </si>
  <si>
    <t>1.9.9.</t>
  </si>
  <si>
    <t>Tyre dimension axle 3………………</t>
  </si>
  <si>
    <t>1.9.8.</t>
  </si>
  <si>
    <t>Hash of the tyre input data and input information axle 2………………</t>
  </si>
  <si>
    <t>1.9.7a.</t>
  </si>
  <si>
    <t>Specific RRC of all tyres on axle 2……..</t>
  </si>
  <si>
    <t>1.9.7.</t>
  </si>
  <si>
    <t>Tyre certification number axle 2…………….</t>
  </si>
  <si>
    <t>1.9.6.</t>
  </si>
  <si>
    <t>Twin axle (yes/no) axle 2……………..</t>
  </si>
  <si>
    <t>1.9.5.</t>
  </si>
  <si>
    <t>Tyre dimension axle 2……………</t>
  </si>
  <si>
    <t>1.9.4.</t>
  </si>
  <si>
    <t>Hash of the tyre input data and input information axle 1………………</t>
  </si>
  <si>
    <t>1.9.3a.</t>
  </si>
  <si>
    <t>Specific RRC of all tyres on axle 1……..</t>
  </si>
  <si>
    <t>1.9.3.</t>
  </si>
  <si>
    <t>Tyre certification number axle 1…………….</t>
  </si>
  <si>
    <t>1.9.2.</t>
  </si>
  <si>
    <t>Tyre dimension axle 1…………..</t>
  </si>
  <si>
    <t>1.9.1.</t>
  </si>
  <si>
    <t>only for available axles</t>
  </si>
  <si>
    <t>Main tyre specifications</t>
  </si>
  <si>
    <t>1.9.</t>
  </si>
  <si>
    <t>Hash of the air drag input data and input information………………</t>
  </si>
  <si>
    <t>1.8.5.</t>
  </si>
  <si>
    <t>CdxA value………………</t>
  </si>
  <si>
    <t>1.8.4.</t>
  </si>
  <si>
    <t>CdxA Certification number (if applicable)………….</t>
  </si>
  <si>
    <t>1.8.3.</t>
  </si>
  <si>
    <t>Certification option used for generation of CdxA (standard values /measurement)…</t>
  </si>
  <si>
    <t>1.8.2.</t>
  </si>
  <si>
    <t>Model ………………</t>
  </si>
  <si>
    <t>1.8.1.</t>
  </si>
  <si>
    <t>only if available</t>
  </si>
  <si>
    <t>Aerodynamics</t>
  </si>
  <si>
    <t>1.8.</t>
  </si>
  <si>
    <t>Hash of the axle input data and input information………………</t>
  </si>
  <si>
    <t>1.7.6.</t>
  </si>
  <si>
    <t>Axle ratio……………</t>
  </si>
  <si>
    <t>1.7.5.</t>
  </si>
  <si>
    <t>Axle type (e.g. single reduction axle)……………….</t>
  </si>
  <si>
    <t>1.7.4.</t>
  </si>
  <si>
    <t>Certification option used for generation of a loss map (standard values/measurement)……………</t>
  </si>
  <si>
    <t>1.7.3.</t>
  </si>
  <si>
    <t>Axle certification number…..</t>
  </si>
  <si>
    <t>1.7.2.</t>
  </si>
  <si>
    <t>Axle model….</t>
  </si>
  <si>
    <t>1.7.1.</t>
  </si>
  <si>
    <t>Axle specifications</t>
  </si>
  <si>
    <t>1.7.</t>
  </si>
  <si>
    <t>1.6.5.</t>
  </si>
  <si>
    <t>Angle drive ratio……………..</t>
  </si>
  <si>
    <t>1.6.4.</t>
  </si>
  <si>
    <t>Certification option used for generation of a loss map (standard values/measurement)……………..</t>
  </si>
  <si>
    <t>1.6.3.</t>
  </si>
  <si>
    <t>Angle drive certification number……………..</t>
  </si>
  <si>
    <t>1.6.2.</t>
  </si>
  <si>
    <t>Angle drive model ……….</t>
  </si>
  <si>
    <t>1.6.1.</t>
  </si>
  <si>
    <t xml:space="preserve">Angle drive specifications </t>
  </si>
  <si>
    <t>1.6.</t>
  </si>
  <si>
    <t>Hash of the torque converter input data and input information………</t>
  </si>
  <si>
    <t>1.5.4.</t>
  </si>
  <si>
    <t>Certification option used for generation of a loss map (standard values/measurement)………………</t>
  </si>
  <si>
    <t>1.5.3.</t>
  </si>
  <si>
    <t>Torque converter certification number……………..</t>
  </si>
  <si>
    <t>1.5.2.</t>
  </si>
  <si>
    <t>Torque converter model…………….</t>
  </si>
  <si>
    <t>1.5.1.</t>
  </si>
  <si>
    <t>only with APT-S/P transmission</t>
  </si>
  <si>
    <t>Torque converter specification</t>
  </si>
  <si>
    <t>1.5.</t>
  </si>
  <si>
    <t>Retarder type…………….</t>
  </si>
  <si>
    <t>Hash of the other torque transferring components input data and input information…………….</t>
  </si>
  <si>
    <t>1.4.4.</t>
  </si>
  <si>
    <t>1.4.3.</t>
  </si>
  <si>
    <t>Retarder certification number……………….</t>
  </si>
  <si>
    <t>1.4.2.</t>
  </si>
  <si>
    <t>Retarder model…………….</t>
  </si>
  <si>
    <t>1.4.1.</t>
  </si>
  <si>
    <t>only if retarder is available</t>
  </si>
  <si>
    <t>Retarder specifications</t>
  </si>
  <si>
    <t>1.4.</t>
  </si>
  <si>
    <t>Hash of the transmission input data and input information……………….</t>
  </si>
  <si>
    <t>1.3.9.</t>
  </si>
  <si>
    <t>Power take off (yes/no)………………</t>
  </si>
  <si>
    <t>1.3.8.</t>
  </si>
  <si>
    <t>Moved to Retarder component as not all vehicle architectures have a transmission</t>
  </si>
  <si>
    <t>1.3.7.</t>
  </si>
  <si>
    <t>Transmission ratio final gear……………….</t>
  </si>
  <si>
    <t>1.3.6.</t>
  </si>
  <si>
    <r>
      <t>No</t>
    </r>
    <r>
      <rPr>
        <sz val="11"/>
        <rFont val="Calibri"/>
        <family val="2"/>
        <scheme val="minor"/>
      </rPr>
      <t>. of gears……………..</t>
    </r>
  </si>
  <si>
    <t>1.3.5.</t>
  </si>
  <si>
    <t>Transmission type (SMT, AMT, APT-S,APT-P, APT-N)…………………</t>
  </si>
  <si>
    <t>Main option used for generation of loss maps (Option1/Option2/Option3/Standard values)…………..:</t>
  </si>
  <si>
    <t>Transmission certification number…………….</t>
  </si>
  <si>
    <t>Transmission model…………….</t>
  </si>
  <si>
    <t>Main transmission specifications</t>
  </si>
  <si>
    <t>only in case WHR system = true</t>
  </si>
  <si>
    <t>Waste heat recovery system type(s) (mechanical/electrical) ………..</t>
  </si>
  <si>
    <t>1.2.10.</t>
  </si>
  <si>
    <t>Waste heat recovery system (yes/no) ………..</t>
  </si>
  <si>
    <t>Hash of the engine input data and input information…………….</t>
  </si>
  <si>
    <t>1.2.7.1</t>
  </si>
  <si>
    <t>Fuel type (Diesel CI/CNG PI/LNG PI...)………….</t>
  </si>
  <si>
    <t>Engine capacity (ltr)…………….</t>
  </si>
  <si>
    <t>Engine rated speed (1/min)………….</t>
  </si>
  <si>
    <t>Engine idling speed (1/min)………..</t>
  </si>
  <si>
    <t>Engine rated power (kW)…………….</t>
  </si>
  <si>
    <t>Engine certification number………….</t>
  </si>
  <si>
    <t>Engine model………….</t>
  </si>
  <si>
    <t>Main engine specifications</t>
  </si>
  <si>
    <t xml:space="preserve">SumNetPower (only for Article 9 exempted) </t>
  </si>
  <si>
    <t>1.1.30.</t>
  </si>
  <si>
    <t>1.1.29.</t>
  </si>
  <si>
    <t>Door drive technology (pneu, elec, mixed)……….</t>
  </si>
  <si>
    <t xml:space="preserve">1.1.28. </t>
  </si>
  <si>
    <t>Vehicle width (mm)……….</t>
  </si>
  <si>
    <t>1.1.27.</t>
  </si>
  <si>
    <t>Vehicle length (mm)……….</t>
  </si>
  <si>
    <t>1.1.26.</t>
  </si>
  <si>
    <t>Height integrated body (mm)……….</t>
  </si>
  <si>
    <t>1.1.25.</t>
  </si>
  <si>
    <t>Low Entry (yes/no)……….</t>
  </si>
  <si>
    <t>1.1.24.</t>
  </si>
  <si>
    <t>Code for bodywork (e.g. CA, CB)……….</t>
  </si>
  <si>
    <t>1.1.23.</t>
  </si>
  <si>
    <t>sum standing + sitting</t>
  </si>
  <si>
    <t>Number passengers lower deck……….</t>
  </si>
  <si>
    <t>1.1.22.</t>
  </si>
  <si>
    <t>Number passengers upper deck……….</t>
  </si>
  <si>
    <t>Class of bus (e.g. I, I+II etc.)……….</t>
  </si>
  <si>
    <t>Vehicle technology exempted acc. Article 9  ….</t>
  </si>
  <si>
    <t>Sleeper cab (yes/no)………………………………..</t>
  </si>
  <si>
    <t>1.1.12</t>
  </si>
  <si>
    <t>1.1.11</t>
  </si>
  <si>
    <t>Corrected actual mass (kg)………..</t>
  </si>
  <si>
    <t>if sub-group is not available =&gt; N/A</t>
  </si>
  <si>
    <t xml:space="preserve">(Sub)group for CO2 standards………… </t>
  </si>
  <si>
    <t>1.1.7a.</t>
  </si>
  <si>
    <t>Vehicle group in accordance with Annex I  …………</t>
  </si>
  <si>
    <t>Technical Permissible Maximum Laden Mass (t)………….</t>
  </si>
  <si>
    <t>Axle configuration………..</t>
  </si>
  <si>
    <t>Vehicle identification number (VIN)………..</t>
  </si>
  <si>
    <t>Vehicle model / Commercial Name ………..</t>
  </si>
  <si>
    <t>Name and address of manufacturer (s)………..</t>
  </si>
  <si>
    <t>Exempted Primary Bus</t>
  </si>
  <si>
    <t>PEV Completed Bus</t>
  </si>
  <si>
    <t>HEV Completed Bus</t>
  </si>
  <si>
    <t>PEV-IEPC PrimaryBus</t>
  </si>
  <si>
    <t>PEV-E4 PrimaryBus</t>
  </si>
  <si>
    <t>PEV-E3 PrimaryBus</t>
  </si>
  <si>
    <t>PEV-E2 PrimaryBus</t>
  </si>
  <si>
    <t>HEV-IEPC-S PrimaryBus</t>
  </si>
  <si>
    <t>HEV-S4 PrimaryBus</t>
  </si>
  <si>
    <t>HEV-S3 PrimaryBus</t>
  </si>
  <si>
    <t>HEV-S2 PrimaryBus</t>
  </si>
  <si>
    <t>HEV-Px/IHPC PrimaryBus</t>
  </si>
  <si>
    <t>Conventional PrimaryBus</t>
  </si>
  <si>
    <t>/VectoCustomerInformation/Data/Results/Result/Mission</t>
  </si>
  <si>
    <t>/VectoCustomerInformation/Data/Results/Result/SimulationParameters/Payload</t>
  </si>
  <si>
    <t>/VectoCustomerInformation/Data/Results/Result/SimulationParameters/PassengerCount</t>
  </si>
  <si>
    <t>/VectoCustomerInformation/Data/Results/Result/SimulationParameters/MassPassengers</t>
  </si>
  <si>
    <t>/VectoCustomerInformation/Data/Results/Result/SimulationParameters/TotalVehicleMass</t>
  </si>
  <si>
    <t>/VectoCustomerInformation/Data/Results/Result/Total/AverageSpeed</t>
  </si>
  <si>
    <t>/VectoCustomerInformation/Data/Results/Result/OVCMode[@type='charge depleting']/AverageSpeed</t>
  </si>
  <si>
    <t>/VectoCustomerInformation/Data/Results/Result/OVCMode[@type='charge sustaining']/AverageSpeed</t>
  </si>
  <si>
    <t>/VectoCustomerInformation/Data/Results/Result/Total/ActualChargeDepletingRange</t>
  </si>
  <si>
    <t>/VectoCustomerInformation/Data/Results/Result/Total/EquivalentAllElectricRange</t>
  </si>
  <si>
    <t>/VectoCustomerInformation/Data/Results/Result/Total/ZeroCO2EmissionsRange</t>
  </si>
  <si>
    <t>/VectoCustomerInformation/Data/Results/Result/Total/UtilityFactor</t>
  </si>
  <si>
    <t>/VectoCustomerInformation/Data/Results/Summary/AveragePayload</t>
  </si>
  <si>
    <t>/VectoCustomerInformation/Data/Results/Summary/AveragePassengerCount</t>
  </si>
  <si>
    <t>/VectoCustomerInformation/Data/Results/Summary/ActualChargeDepletingRange</t>
  </si>
  <si>
    <t>/VectoCustomerInformation/Data/Results/Summary/EquivalentAllElectricRange</t>
  </si>
  <si>
    <t>/VectoCustomerInformation/Data/Results/Summary/ZeroCO2EmissionsRange</t>
  </si>
  <si>
    <t>/VectoCustomerInformation/Data/Results/Result/Total/Fuel/FuelConsumption[@attribute()='g/km']</t>
  </si>
  <si>
    <t>/VectoCustomerInformation/Data/Results/Result/Total/Fuel/FuelConsumption[@attribute()='g/t-km']</t>
  </si>
  <si>
    <t>/VectoCustomerInformation/Data/Results/Result/Total/Fuel/FuelConsumption[@attribute()='g/p-km']</t>
  </si>
  <si>
    <t>/VectoCustomerInformation/Data/Results/Result/Total/Fuel/FuelConsumption[@attribute()='g/m³-km']</t>
  </si>
  <si>
    <t>/VectoCustomerInformation/Data/Results/Result/Total/Fuel/FuelConsumption[@attribute()='l/100km']</t>
  </si>
  <si>
    <t>/VectoCustomerInformation/Data/Results/Result/Total/Fuel/FuelConsumption[@attribute()='l/t-km']</t>
  </si>
  <si>
    <t>/VectoCustomerInformation/Data/Results/Result/Total/Fuel/FuelConsumption[@attribute()='l/p-km']</t>
  </si>
  <si>
    <t>/VectoCustomerInformation/Data/Results/Result/Total/Fuel/FuelConsumption[@attribute()='l/m³-km']</t>
  </si>
  <si>
    <t>/VectoCustomerInformation/Data/Results/Result/Total/CO2[@attribute()='MJ/m³-km']</t>
  </si>
  <si>
    <t>/VectoCustomerInformation/Data/Results/Result/Total/CO2[@attribute()='g/km']</t>
  </si>
  <si>
    <t>/VectoCustomerInformation/Data/Results/Result/Total/CO2[@attribute()='g/t-km']</t>
  </si>
  <si>
    <t>/VectoCustomerInformation/Data/Results/Result/Total/CO2[@attribute()='g/p-km']</t>
  </si>
  <si>
    <t>/VectoCustomerInformation/Data/Results/Result/OVCMode[@type='charge depleting'] /VectoCustomerInformation/Data/Results/Result/OVCMode[@type='charge sustaining']</t>
  </si>
  <si>
    <t>/VectoCustomerInformation/Data/Results/Result/Total/Fuel/FuelConsumption[@attribute()='MJ/km'] /VectoCustomerInformation/Data/Results/Result/Total/Fuel/FuelConsumption[@attribute()='kWh/km']</t>
  </si>
  <si>
    <t>/VectoCustomerInformation/Data/Results/Result/Total/Fuel/FuelConsumption[@attribute()='MJ/t-km'] /VectoCustomerInformation/Data/Results/Result/Total/Fuel/FuelConsumption[@attribute()='kWh/t-km']</t>
  </si>
  <si>
    <t>/VectoCustomerInformation/Data/Results/Result/Total/Fuel/FuelConsumption[@attribute()='MJ/p-km'] /VectoCustomerInformation/Data/Results/Result/Total/Fuel/FuelConsumption[@attribute()='kWh/p-km']</t>
  </si>
  <si>
    <t>/VectoCustomerInformation/Data/Results/Result/Total/Fuel/FuelConsumption[@attribute()='MJ/m³-km'] /VectoCustomerInformation/Data/Results/Result/Total/Fuel/FuelConsumption[@attribute()='kWh/m³-km']</t>
  </si>
  <si>
    <t>/VectoCustomerInformation/Data/Vehicle/VIN</t>
  </si>
  <si>
    <t>/VectoCustomerInformation/Data/Vehicle/VehicleCategory</t>
  </si>
  <si>
    <t>/VectoCustomerInformation/Data/Vehicle/AxleConfiguration</t>
  </si>
  <si>
    <t>/VectoCustomerInformation/Data/Vehicle/TechnicalPermissibleMaximumLadenMass</t>
  </si>
  <si>
    <t>/VectoCustomerInformation/Data/Vehicle/VehicleGroup</t>
  </si>
  <si>
    <t>/VectoCustomerInformation/Data/Vehicle/VehicleGroupCO2</t>
  </si>
  <si>
    <t>/VectoCustomerInformation/Data/Vehicle/Manufacturer /VectoCustomerInformation/Data/Vehicle/ManufacturerAddress</t>
  </si>
  <si>
    <t>/VectoCustomerInformation/Data/Vehicle/Model</t>
  </si>
  <si>
    <t>/VectoCustomerInformation/Data/Vehicle/CorrectedActualMass</t>
  </si>
  <si>
    <t>/VectoCustomerInformation/Data/Vehicle/ZeroEmissionVehicle</t>
  </si>
  <si>
    <t>/VectoCustomerInformation/Data/Vehicle/HybridElectricHDV</t>
  </si>
  <si>
    <t>/VectoCustomerInformation/Data/Vehicle/DualFuelVehicle</t>
  </si>
  <si>
    <t>/VectoCustomerInformation/Data/Vehicle/WasteHeatRecovery</t>
  </si>
  <si>
    <t>/VectoCustomerInformation/Data/Vehicle/SleeperCab</t>
  </si>
  <si>
    <t>/VectoCustomerInformation/Data/Vehicle/HEVArchitecture</t>
  </si>
  <si>
    <t>/VectoCustomerInformation/Data/Vehicle/PEVArchitecture</t>
  </si>
  <si>
    <t>/VectoCustomerInformation/Data/Vehicle/OffVehicleChargingCapability</t>
  </si>
  <si>
    <t>/VectoCustomerInformation/Data/Vehicle/VehicleTechnologyExempted</t>
  </si>
  <si>
    <t>/VectoCustomerInformation/Data/Vehicle/ClassBus</t>
  </si>
  <si>
    <t>/VectoCustomerInformation/Data/Vehicle/TotalNumberOfPassengers</t>
  </si>
  <si>
    <t>/VectoCustomerInformation/Data/Vehicle/EngineRatedPower</t>
  </si>
  <si>
    <t>/VectoCustomerInformation/Data/Vehicle/EngineCapacity</t>
  </si>
  <si>
    <t>/VectoCustomerInformation/Data/Vehicle/FuelTypes</t>
  </si>
  <si>
    <t>/VectoCustomerInformation/Data/Vehicle/TransmissionValues</t>
  </si>
  <si>
    <t>/VectoCustomerInformation/Data/Vehicle/TransmissionType</t>
  </si>
  <si>
    <t>/VectoCustomerInformation/Data/Vehicle/NrOfGears</t>
  </si>
  <si>
    <t>/VectoCustomerInformation/Data/Vehicle/Retarder</t>
  </si>
  <si>
    <t>/VectoCustomerInformation/Data/Vehicle/AxleRatio</t>
  </si>
  <si>
    <t>/VectoCustomerInformation/Data/Vehicle/AverageRRC</t>
  </si>
  <si>
    <t>/VectoCustomerInformation/Data/Vehicle/Axle/TyreDimension</t>
  </si>
  <si>
    <t xml:space="preserve">/VectoCustomerInformation/Data/Vehicle/Axle/FuelEfficiencyClass </t>
  </si>
  <si>
    <t>/VectoCustomerInformation/Data/Vehicle/Axle/TyreCertificationNumber</t>
  </si>
  <si>
    <t>/VectoCustomerInformation/Data/Vehicle/ADAS/EngineStopStart</t>
  </si>
  <si>
    <t>/VectoCustomerInformation/Data/Vehicle/ADAS/EcoRollWithoutEngineStopStart</t>
  </si>
  <si>
    <t>/VectoCustomerInformation/Data/Vehicle/ADAS/EcoRollWithEngineStopStart</t>
  </si>
  <si>
    <t>/VectoCustomerInformation/Data/Vehicle/ADAS/PredictiveCruiseControl</t>
  </si>
  <si>
    <t>/VectoCustomerInformation/Data/Vehicle/TotalRatedPropulsionPower</t>
  </si>
  <si>
    <t>/VectoCustomerInformation/Data/Vehicle/VoltageLevels/VoltageLevel[1]/MaxContinuousPropulsionPower /VectoCustomerInformation/Data/Vehicle/VoltageLevels/VoltageLevel[2]/MaxContinuousPropulsionPower</t>
  </si>
  <si>
    <t>/VectoCustomerInformation/Data/Vehicle/TotalStorageCapacity</t>
  </si>
  <si>
    <t>/VectoCustomerInformation/Data/Vehicle/UsableStorageCapacity</t>
  </si>
  <si>
    <t>/VectoCustomerInformation/Data/Vehicle/SteeringPump/Technology</t>
  </si>
  <si>
    <t>/VectoCustomerInformation/Data/Vehicle/ElectricSystem/AlternatorTechnology</t>
  </si>
  <si>
    <t>/VectoCustomerInformation/Data/Vehicle/PneumaticSystem/SmartCompressionSystem</t>
  </si>
  <si>
    <t>/VectoCustomerInformation/Data/Vehicle/PneumaticSystem/SmartRegenerationSystem</t>
  </si>
  <si>
    <t>/VectoCustomerInformation/Data/Vehicle/HVAC/SystemConfiguration</t>
  </si>
  <si>
    <t>/VectoCustomerInformation/Data/Vehicle/HVAC/AuxiliaryHeaterPower</t>
  </si>
  <si>
    <t>/VectoCustomerInformation/Data/Vehicle/HVAC/DoubleGlazing</t>
  </si>
  <si>
    <t>/VectoCustomerInformation/Data/Results/Result[/SimulationParameters/TotalVehicleMass</t>
  </si>
  <si>
    <t>/VectoCustomerInformation/Data/ApplicationInformation/SimulationToolVersion</t>
  </si>
  <si>
    <t>/VectoCustomerInformation/Data/ApplicationInformation/Date</t>
  </si>
  <si>
    <t>/VectoCustomerInformation/Data/InputDataSignaturePrimaryVehicle</t>
  </si>
  <si>
    <t>/VectoCustomerInformation/Data/ManufacturerRecordSignaturePrimaryVehicle</t>
  </si>
  <si>
    <t>/VectoCustomerInformation/Data/InputDataSignature</t>
  </si>
  <si>
    <t>/VectoCustomerInformation/Data/ManufacturerRecordSignature</t>
  </si>
  <si>
    <t>/VectoCustomerInformation/Signature</t>
  </si>
  <si>
    <t>/VectoCustomerInformation/Data/Vehicle/ElectricSystem/MaxAlternatorPower</t>
  </si>
  <si>
    <t>/VectoCustomerInformation/Data/Vehicle/ElectricSystem/ElectricStorageCapacity</t>
  </si>
  <si>
    <t>CIF_ResultMatrix</t>
  </si>
  <si>
    <t>Sheet</t>
  </si>
  <si>
    <t>Content</t>
  </si>
  <si>
    <t>CIF_ResultMatrix_XPath_Conv</t>
  </si>
  <si>
    <t>CIF_ResultMatrix_XPath_NonOVC</t>
  </si>
  <si>
    <t>CIF_ResultMatrix_XPath OVC</t>
  </si>
  <si>
    <t>CIF_ResultMatrix_XPath_PEV</t>
  </si>
  <si>
    <t>CIF_ResultMatrix_Explanation</t>
  </si>
  <si>
    <t>CIF_Content_per_Architecture</t>
  </si>
  <si>
    <t>MRF_Content_perArchitecture</t>
  </si>
  <si>
    <t xml:space="preserve">Breakdown of the content of the MRF according to Annex IV of Regulation (EU) 2017/2400 with the information which results are written for which vehicle configuration. </t>
  </si>
  <si>
    <t>As above including XPath to all elements for the XML result type "ResultSuccessConventionalType".</t>
  </si>
  <si>
    <t>As above including XPath to all elements for the XML result type "ResultSuccessNonOVCHEVType".</t>
  </si>
  <si>
    <t>As above including XPath to all elements for the XML result type "ResultSuccessOVCHEVType".</t>
  </si>
  <si>
    <t>As above including XPath to all elements for the XML result type "ResultSuccessPEVType".</t>
  </si>
  <si>
    <t xml:space="preserve">Graphical representation of the content of the CIF as a format proposal. Please note the purple headings with the XML result type. </t>
  </si>
  <si>
    <t>As CIF_ResultMatrix plus background information on how the results are generated by VECTO.</t>
  </si>
  <si>
    <t>Breakdown of the content of the CIF according to Annex IV of Regulation (EU) 2017/2400 with the information which results are written for which vehicle configuration. On the far right, the XPath is also given to allow mapping to the XML content.</t>
  </si>
  <si>
    <t>X/L/B</t>
  </si>
  <si>
    <t>L</t>
  </si>
  <si>
    <t>B</t>
  </si>
  <si>
    <t>Such does exist. X … Lorries and Buses, L … Lorries only, B … Buses only</t>
  </si>
  <si>
    <t>1.1.15a</t>
  </si>
  <si>
    <t>FCHV architecture (e.g. F2, F3) …</t>
  </si>
  <si>
    <t>HEV-F2 Lorry</t>
  </si>
  <si>
    <t>HEV-F3 Lorry</t>
  </si>
  <si>
    <t>HEV-F4 Lorry</t>
  </si>
  <si>
    <t>HEV-IEPC-F Lorry</t>
  </si>
  <si>
    <t>Tank system in case of natural gas or hydrogen (compressed, liquified) ……….’;</t>
  </si>
  <si>
    <t>HEV-F2 PrimaryBus</t>
  </si>
  <si>
    <t>HEV-F3 PrimaryBus</t>
  </si>
  <si>
    <t>HEV-F4 PrimaryBus</t>
  </si>
  <si>
    <t>HEV-IEPC-F PrimaryBus</t>
  </si>
  <si>
    <t>1.1.31.</t>
  </si>
  <si>
    <t>1.1.32.</t>
  </si>
  <si>
    <t>Simulation tool license number</t>
  </si>
  <si>
    <t>1.8.3a.</t>
  </si>
  <si>
    <t>CFD method license number (if applicable) ……</t>
  </si>
  <si>
    <t>1.8.3b.</t>
  </si>
  <si>
    <t>Delta CdxA from cFD (if applicable) …..</t>
  </si>
  <si>
    <t>1.13.16.</t>
  </si>
  <si>
    <t>1.14.7a</t>
  </si>
  <si>
    <t>1.16.</t>
  </si>
  <si>
    <t>1.16.1.</t>
  </si>
  <si>
    <t>1.16.2.</t>
  </si>
  <si>
    <t>1.16.3.</t>
  </si>
  <si>
    <t>1.16.5.</t>
  </si>
  <si>
    <t>1.16.4.</t>
  </si>
  <si>
    <t>Simulation parameters (for each mission profile and loading combination, for OVC-HEVs separately for charge depleting mode, charge sustaining mode and weighted, for OVC-FCHV separately for charge depleting mode and charge sustaining mode)</t>
  </si>
  <si>
    <t>2.1.5.</t>
  </si>
  <si>
    <t>2.2.9.</t>
  </si>
  <si>
    <t>2.2.10.</t>
  </si>
  <si>
    <t>2.3.17.</t>
  </si>
  <si>
    <t>2.3.18.</t>
  </si>
  <si>
    <t>2.3.19.</t>
  </si>
  <si>
    <t>Electric and zero emission ranges (for begin and end of life)</t>
  </si>
  <si>
    <t>2.4.4.</t>
  </si>
  <si>
    <t>Hydrogen range (km) ….</t>
  </si>
  <si>
    <t>HEV-F2 Completed Bus</t>
  </si>
  <si>
    <t>HEV-F3 Completed Bus</t>
  </si>
  <si>
    <t>HEV-F4 Completed Bus</t>
  </si>
  <si>
    <t>HEV-IEPC-F Completed Bus</t>
  </si>
  <si>
    <t>1.1.5b.</t>
  </si>
  <si>
    <t>Total propulsion power relevant for subgroup allocation ….</t>
  </si>
  <si>
    <t>MQ Question: different calculation?</t>
  </si>
  <si>
    <t>1.2.19.</t>
  </si>
  <si>
    <t>CO2 emissions and fuel consumption of the vehicle (for each mission profile and loading combination, for OVC-HEVs separately for charge depleting, charge sustaining mode and weighted, for OVC-FCHV separately for charge depleting mode and charge sustaining mode)</t>
  </si>
  <si>
    <t>2.5.4.</t>
  </si>
  <si>
    <t>Electric Ranges (for begin and end of life)</t>
  </si>
  <si>
    <t>MQ: how to do?</t>
  </si>
  <si>
    <t>Weighted results (not applicable for OVC-FCHV!)</t>
  </si>
  <si>
    <t>Dynamic charging technology</t>
  </si>
  <si>
    <t>Actual charge depleting range for begin and end of life (km)…</t>
  </si>
  <si>
    <t>Equivalent all electric range for begin and end of life (km)…</t>
  </si>
  <si>
    <t>Zero CO2 emission range for begin and end of life (km) …..</t>
  </si>
  <si>
    <t>2.6.10.</t>
  </si>
  <si>
    <t>2.6.11.</t>
  </si>
  <si>
    <t>2.6.12.</t>
  </si>
  <si>
    <t>2.6.13.</t>
  </si>
  <si>
    <t>2.6.14.</t>
  </si>
  <si>
    <t>2.6.15.</t>
  </si>
  <si>
    <t>2.6.16.</t>
  </si>
  <si>
    <t>2.6.18.</t>
  </si>
  <si>
    <t>2.6.19.</t>
  </si>
  <si>
    <t>2.6.20.</t>
  </si>
  <si>
    <t>2.6.21.</t>
  </si>
  <si>
    <t>2.6.22.</t>
  </si>
  <si>
    <t>2.6.23.</t>
  </si>
  <si>
    <t>2.6.17.</t>
  </si>
  <si>
    <t>2.6.24.</t>
  </si>
  <si>
    <t>Electric Energy consumption (MJ/km, kWh/km)…………………..</t>
  </si>
  <si>
    <t>Electric Energy consumption (MJ/t-km)…………..</t>
  </si>
  <si>
    <t>Electric Energy consumption (MJ/p-km)………………….</t>
  </si>
  <si>
    <t>Electric Energy consumption (MJ/m³-km, kWh/m³-km)………………..</t>
  </si>
  <si>
    <t>MQ:  only post-processing</t>
  </si>
  <si>
    <t>FCHV Completed Bus</t>
  </si>
  <si>
    <t>electric energy consumption</t>
  </si>
  <si>
    <t>Certification method</t>
  </si>
  <si>
    <t>1.16.6.</t>
  </si>
  <si>
    <t>1.16.7</t>
  </si>
  <si>
    <t>Certification Method</t>
  </si>
  <si>
    <t>2.4.6.</t>
  </si>
  <si>
    <t>2.4.7.</t>
  </si>
  <si>
    <t>2.4.8.</t>
  </si>
  <si>
    <t>Specific CO2 emissions (g/t-km) ………………</t>
  </si>
  <si>
    <t>Specific CO2 emissions (g/p-km) ……………………</t>
  </si>
  <si>
    <t>1.17.</t>
  </si>
  <si>
    <t>Fuel Cell System(s) specifications</t>
  </si>
  <si>
    <t>1.17.1.</t>
  </si>
  <si>
    <t>1.17.2.</t>
  </si>
  <si>
    <t>1.17.3.</t>
  </si>
  <si>
    <t>1.17.4.</t>
  </si>
  <si>
    <t>1.17.5.</t>
  </si>
  <si>
    <t>Count</t>
  </si>
  <si>
    <t>not explicitly in Annex IV</t>
  </si>
  <si>
    <t>Fuel consumption (MJ/km, kWh/km )…………………..</t>
  </si>
  <si>
    <t>Fuel consumption (MJ/t-km, kWh/t-km)…………..</t>
  </si>
  <si>
    <t>Fuel consumption (MJ/p-km, kWh/p-km)………………….</t>
  </si>
  <si>
    <t>Fuel consumption (MJ/m³-km, kWh/m³-km)………………..</t>
  </si>
  <si>
    <t>Hydrogen range</t>
  </si>
  <si>
    <t>present in the output</t>
  </si>
  <si>
    <t>Optional, only in case of H2 ICE</t>
  </si>
  <si>
    <t>ResultSuccessFCHVType</t>
  </si>
  <si>
    <t>X (BOL/EOL)</t>
  </si>
  <si>
    <t>low / representative</t>
  </si>
  <si>
    <t>Non-OVC</t>
  </si>
  <si>
    <t>BOL/EOL</t>
  </si>
  <si>
    <t>begin of life / end of life</t>
  </si>
  <si>
    <t>DeteriorationPerformanceRatio</t>
  </si>
  <si>
    <t>SOCmin</t>
  </si>
  <si>
    <t>SOCmax</t>
  </si>
  <si>
    <t>Fuel cell system total rated power (kW)</t>
  </si>
  <si>
    <t>OVC</t>
  </si>
  <si>
    <t>NO OUTPUT FOR OVC-FCHV!</t>
  </si>
  <si>
    <t>ResultSummaryConventionalType</t>
  </si>
  <si>
    <t>ResultSummaryNonOVCHEVType</t>
  </si>
  <si>
    <t>Vocational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</si>
</sst>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9C5700"/>
      <name val="Calibri"/>
      <family val="2"/>
      <scheme val="minor"/>
    </font>
    <font>
      <sz val="6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1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1F7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5" borderId="0" applyNumberFormat="0" applyBorder="0" applyAlignment="0" applyProtection="0"/>
    <xf numFmtId="0" fontId="14" fillId="4" borderId="0" applyNumberFormat="0" applyBorder="0" applyAlignment="0" applyProtection="0"/>
    <xf numFmtId="0" fontId="23" fillId="16" borderId="7" applyNumberFormat="0" applyAlignment="0" applyProtection="0"/>
  </cellStyleXfs>
  <cellXfs count="114">
    <xf numFmtId="0" fontId="0" fillId="0" borderId="0" xfId="0"/>
    <xf numFmtId="0" fontId="8" fillId="6" borderId="1" xfId="0" quotePrefix="1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0" fontId="11" fillId="11" borderId="1" xfId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textRotation="75" wrapText="1"/>
    </xf>
    <xf numFmtId="0" fontId="4" fillId="0" borderId="0" xfId="0" applyFont="1" applyFill="1" applyAlignment="1">
      <alignment horizontal="center" textRotation="75" wrapText="1"/>
    </xf>
    <xf numFmtId="0" fontId="0" fillId="12" borderId="0" xfId="0" applyFill="1" applyAlignment="1">
      <alignment horizontal="center"/>
    </xf>
    <xf numFmtId="0" fontId="6" fillId="0" borderId="0" xfId="0" applyFont="1" applyAlignment="1">
      <alignment horizontal="center" textRotation="75" wrapText="1"/>
    </xf>
    <xf numFmtId="0" fontId="6" fillId="0" borderId="0" xfId="0" applyFont="1" applyFill="1" applyAlignment="1">
      <alignment horizontal="center" textRotation="75" wrapText="1"/>
    </xf>
    <xf numFmtId="0" fontId="4" fillId="0" borderId="0" xfId="0" applyFont="1" applyAlignment="1">
      <alignment textRotation="75" wrapText="1"/>
    </xf>
    <xf numFmtId="0" fontId="14" fillId="4" borderId="0" xfId="4" applyAlignment="1">
      <alignment horizontal="left" vertical="top"/>
    </xf>
    <xf numFmtId="0" fontId="14" fillId="4" borderId="0" xfId="4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left" vertical="top"/>
    </xf>
    <xf numFmtId="0" fontId="1" fillId="2" borderId="0" xfId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12" borderId="0" xfId="0" applyFont="1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Font="1"/>
    <xf numFmtId="0" fontId="3" fillId="0" borderId="0" xfId="0" applyFont="1" applyAlignment="1">
      <alignment vertical="top" wrapText="1"/>
    </xf>
    <xf numFmtId="0" fontId="10" fillId="12" borderId="0" xfId="2" applyFont="1" applyFill="1"/>
    <xf numFmtId="0" fontId="2" fillId="12" borderId="0" xfId="2" applyFill="1"/>
    <xf numFmtId="0" fontId="0" fillId="0" borderId="0" xfId="0" applyAlignment="1">
      <alignment vertical="top"/>
    </xf>
    <xf numFmtId="0" fontId="10" fillId="0" borderId="0" xfId="0" applyFont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Fill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wrapText="1"/>
    </xf>
    <xf numFmtId="0" fontId="9" fillId="2" borderId="1" xfId="1" applyFont="1" applyBorder="1" applyAlignment="1">
      <alignment horizontal="center"/>
    </xf>
    <xf numFmtId="0" fontId="0" fillId="0" borderId="0" xfId="0" applyAlignment="1">
      <alignment wrapText="1"/>
    </xf>
    <xf numFmtId="0" fontId="5" fillId="5" borderId="1" xfId="3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8" fillId="0" borderId="0" xfId="0" applyFont="1"/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/>
    </xf>
    <xf numFmtId="0" fontId="18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 vertical="center" wrapText="1"/>
    </xf>
    <xf numFmtId="0" fontId="19" fillId="14" borderId="0" xfId="0" applyFont="1" applyFill="1"/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7" xfId="1" applyBorder="1" applyAlignment="1">
      <alignment vertical="top" wrapText="1"/>
    </xf>
    <xf numFmtId="0" fontId="1" fillId="2" borderId="7" xfId="1" applyBorder="1" applyAlignment="1">
      <alignment horizontal="left" vertical="top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/>
    </xf>
    <xf numFmtId="14" fontId="0" fillId="0" borderId="0" xfId="0" quotePrefix="1" applyNumberFormat="1" applyAlignment="1">
      <alignment horizontal="left" vertical="top"/>
    </xf>
    <xf numFmtId="0" fontId="4" fillId="0" borderId="0" xfId="0" applyFont="1" applyFill="1" applyAlignment="1">
      <alignment textRotation="75" wrapText="1"/>
    </xf>
    <xf numFmtId="0" fontId="4" fillId="6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right"/>
    </xf>
    <xf numFmtId="0" fontId="8" fillId="6" borderId="1" xfId="0" quotePrefix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18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4" fillId="0" borderId="0" xfId="0" applyFont="1"/>
    <xf numFmtId="0" fontId="4" fillId="6" borderId="1" xfId="0" applyFont="1" applyFill="1" applyBorder="1"/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0" xfId="2"/>
    <xf numFmtId="0" fontId="23" fillId="16" borderId="7" xfId="5" applyAlignment="1">
      <alignment horizontal="left" vertical="top"/>
    </xf>
    <xf numFmtId="0" fontId="23" fillId="16" borderId="7" xfId="5" applyAlignment="1">
      <alignment vertical="top" wrapText="1"/>
    </xf>
    <xf numFmtId="0" fontId="23" fillId="16" borderId="7" xfId="5"/>
    <xf numFmtId="0" fontId="23" fillId="16" borderId="7" xfId="5" applyAlignment="1">
      <alignment horizontal="left" vertical="top" wrapText="1"/>
    </xf>
    <xf numFmtId="0" fontId="23" fillId="16" borderId="7" xfId="5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2" borderId="8" xfId="1" applyBorder="1" applyAlignment="1">
      <alignment horizontal="left" vertical="top" wrapText="1"/>
    </xf>
    <xf numFmtId="0" fontId="1" fillId="2" borderId="0" xfId="1"/>
    <xf numFmtId="0" fontId="0" fillId="17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13" borderId="1" xfId="0" quotePrefix="1" applyFont="1" applyFill="1" applyBorder="1" applyAlignment="1">
      <alignment horizontal="center" vertical="center"/>
    </xf>
    <xf numFmtId="0" fontId="10" fillId="13" borderId="1" xfId="0" quotePrefix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6">
    <cellStyle name="Akzent1" xfId="3" builtinId="29"/>
    <cellStyle name="Eingabe" xfId="5" builtinId="20"/>
    <cellStyle name="Gut" xfId="1" builtinId="26"/>
    <cellStyle name="Neutral 2" xfId="4" xr:uid="{00000000-0005-0000-0000-000002000000}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104776</xdr:rowOff>
    </xdr:from>
    <xdr:to>
      <xdr:col>7</xdr:col>
      <xdr:colOff>0</xdr:colOff>
      <xdr:row>13</xdr:row>
      <xdr:rowOff>95250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48FBE70-8CDB-4A8C-A4CF-7C74524BE6CC}"/>
            </a:ext>
          </a:extLst>
        </xdr:cNvPr>
        <xdr:cNvSpPr txBox="1"/>
      </xdr:nvSpPr>
      <xdr:spPr>
        <a:xfrm>
          <a:off x="161925" y="104776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19050</xdr:colOff>
      <xdr:row>13</xdr:row>
      <xdr:rowOff>133349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9DFD0788-1C84-448B-8414-E96E795CE807}"/>
            </a:ext>
          </a:extLst>
        </xdr:cNvPr>
        <xdr:cNvSpPr txBox="1"/>
      </xdr:nvSpPr>
      <xdr:spPr>
        <a:xfrm>
          <a:off x="180975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19050</xdr:colOff>
      <xdr:row>13</xdr:row>
      <xdr:rowOff>133349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AA0A1EC-38E9-4B90-821F-D14499F586C6}"/>
            </a:ext>
          </a:extLst>
        </xdr:cNvPr>
        <xdr:cNvSpPr txBox="1"/>
      </xdr:nvSpPr>
      <xdr:spPr>
        <a:xfrm>
          <a:off x="180975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7409</xdr:colOff>
      <xdr:row>13</xdr:row>
      <xdr:rowOff>165099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132F272-9FCC-41B8-8082-A51E8FB77DE2}"/>
            </a:ext>
          </a:extLst>
        </xdr:cNvPr>
        <xdr:cNvSpPr txBox="1"/>
      </xdr:nvSpPr>
      <xdr:spPr>
        <a:xfrm>
          <a:off x="179917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647700</xdr:colOff>
      <xdr:row>13</xdr:row>
      <xdr:rowOff>180974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49C9FD3-1C74-4F59-B919-364828948BAA}"/>
            </a:ext>
          </a:extLst>
        </xdr:cNvPr>
        <xdr:cNvSpPr txBox="1"/>
      </xdr:nvSpPr>
      <xdr:spPr>
        <a:xfrm>
          <a:off x="180975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zoomScale="115" zoomScaleNormal="115" workbookViewId="0">
      <selection activeCell="C10" sqref="C10"/>
    </sheetView>
  </sheetViews>
  <sheetFormatPr baseColWidth="10" defaultRowHeight="15" x14ac:dyDescent="0.25"/>
  <cols>
    <col min="1" max="1" width="2.7109375" customWidth="1"/>
    <col min="2" max="2" width="36.140625" customWidth="1"/>
    <col min="3" max="3" width="148.140625" customWidth="1"/>
  </cols>
  <sheetData>
    <row r="2" spans="2:3" x14ac:dyDescent="0.25">
      <c r="B2" s="83" t="s">
        <v>781</v>
      </c>
      <c r="C2" s="83" t="s">
        <v>782</v>
      </c>
    </row>
    <row r="3" spans="2:3" ht="30" customHeight="1" x14ac:dyDescent="0.25">
      <c r="B3" s="84" t="s">
        <v>780</v>
      </c>
      <c r="C3" s="85" t="s">
        <v>795</v>
      </c>
    </row>
    <row r="4" spans="2:3" ht="30" customHeight="1" x14ac:dyDescent="0.25">
      <c r="B4" s="84" t="s">
        <v>783</v>
      </c>
      <c r="C4" s="85" t="s">
        <v>791</v>
      </c>
    </row>
    <row r="5" spans="2:3" ht="30" customHeight="1" x14ac:dyDescent="0.25">
      <c r="B5" s="84" t="s">
        <v>784</v>
      </c>
      <c r="C5" s="85" t="s">
        <v>792</v>
      </c>
    </row>
    <row r="6" spans="2:3" ht="30" customHeight="1" x14ac:dyDescent="0.25">
      <c r="B6" s="84" t="s">
        <v>785</v>
      </c>
      <c r="C6" s="85" t="s">
        <v>793</v>
      </c>
    </row>
    <row r="7" spans="2:3" ht="30" customHeight="1" x14ac:dyDescent="0.25">
      <c r="B7" s="84" t="s">
        <v>786</v>
      </c>
      <c r="C7" s="85" t="s">
        <v>794</v>
      </c>
    </row>
    <row r="8" spans="2:3" ht="30" customHeight="1" x14ac:dyDescent="0.25">
      <c r="B8" s="84" t="s">
        <v>787</v>
      </c>
      <c r="C8" s="85" t="s">
        <v>796</v>
      </c>
    </row>
    <row r="9" spans="2:3" ht="30" customHeight="1" x14ac:dyDescent="0.25">
      <c r="B9" s="84" t="s">
        <v>788</v>
      </c>
      <c r="C9" s="85" t="s">
        <v>797</v>
      </c>
    </row>
    <row r="10" spans="2:3" ht="30" customHeight="1" x14ac:dyDescent="0.25">
      <c r="B10" s="84" t="s">
        <v>789</v>
      </c>
      <c r="C10" s="85" t="s">
        <v>790</v>
      </c>
    </row>
  </sheetData>
  <customSheetViews>
    <customSheetView guid="{638E9BBB-9DE1-4C03-99E5-6DF442C45AE3}" scale="115" showPageBreaks="1">
      <selection activeCell="C10" sqref="C10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2:AF107"/>
  <sheetViews>
    <sheetView tabSelected="1" topLeftCell="H34" zoomScaleNormal="100" workbookViewId="0">
      <selection activeCell="D10" sqref="D10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1.7109375" customWidth="1"/>
    <col min="6" max="8" width="10.7109375" customWidth="1"/>
    <col min="9" max="9" width="2.7109375" customWidth="1"/>
    <col min="10" max="10" width="40.7109375" customWidth="1"/>
    <col min="12" max="14" width="10.7109375" customWidth="1"/>
    <col min="15" max="15" width="2.7109375" customWidth="1"/>
    <col min="16" max="16" width="40.7109375" customWidth="1"/>
    <col min="18" max="20" width="10.7109375" customWidth="1"/>
    <col min="21" max="21" width="2.7109375" customWidth="1"/>
    <col min="22" max="22" width="40.7109375" customWidth="1"/>
    <col min="24" max="26" width="10.7109375" customWidth="1"/>
    <col min="27" max="27" width="2.7109375" customWidth="1"/>
    <col min="28" max="28" width="40.7109375" customWidth="1"/>
    <col min="30" max="32" width="10.7109375" customWidth="1"/>
  </cols>
  <sheetData>
    <row r="2" spans="2:32" s="55" customFormat="1" ht="15.75" x14ac:dyDescent="0.25">
      <c r="B2" s="54" t="s">
        <v>304</v>
      </c>
      <c r="C2" s="54"/>
    </row>
    <row r="3" spans="2:32" ht="15.75" x14ac:dyDescent="0.25">
      <c r="B3" s="49"/>
      <c r="C3" s="49"/>
    </row>
    <row r="4" spans="2:32" ht="15.75" x14ac:dyDescent="0.25">
      <c r="B4" s="49"/>
      <c r="C4" s="17" t="s">
        <v>798</v>
      </c>
      <c r="D4" t="s">
        <v>801</v>
      </c>
    </row>
    <row r="5" spans="2:32" x14ac:dyDescent="0.25">
      <c r="C5" s="53"/>
      <c r="D5" t="s">
        <v>900</v>
      </c>
    </row>
    <row r="6" spans="2:32" x14ac:dyDescent="0.25">
      <c r="C6" s="96"/>
      <c r="D6" t="s">
        <v>901</v>
      </c>
    </row>
    <row r="7" spans="2:32" x14ac:dyDescent="0.25">
      <c r="C7" s="1" t="s">
        <v>9</v>
      </c>
      <c r="D7" t="s">
        <v>311</v>
      </c>
    </row>
    <row r="8" spans="2:32" x14ac:dyDescent="0.25">
      <c r="C8" s="17" t="s">
        <v>906</v>
      </c>
      <c r="D8" t="s">
        <v>907</v>
      </c>
    </row>
    <row r="12" spans="2:32" s="55" customFormat="1" ht="15.75" x14ac:dyDescent="0.25">
      <c r="B12" s="54" t="s">
        <v>314</v>
      </c>
      <c r="C12" s="54"/>
    </row>
    <row r="14" spans="2:32" ht="16.5" x14ac:dyDescent="0.3">
      <c r="C14" s="57" t="s">
        <v>261</v>
      </c>
      <c r="D14" s="58"/>
      <c r="E14" s="58"/>
      <c r="F14" s="58"/>
      <c r="G14" s="58"/>
      <c r="H14" s="58"/>
      <c r="J14" s="57" t="s">
        <v>263</v>
      </c>
      <c r="K14" s="58"/>
      <c r="L14" s="58"/>
      <c r="M14" s="58"/>
      <c r="N14" s="58"/>
      <c r="P14" s="57" t="s">
        <v>264</v>
      </c>
      <c r="Q14" s="58"/>
      <c r="R14" s="58"/>
      <c r="S14" s="58"/>
      <c r="T14" s="58"/>
      <c r="V14" s="57" t="s">
        <v>902</v>
      </c>
      <c r="W14" s="58"/>
      <c r="X14" s="58"/>
      <c r="Y14" s="58"/>
      <c r="Z14" s="58"/>
      <c r="AB14" s="57" t="s">
        <v>902</v>
      </c>
      <c r="AC14" s="58"/>
      <c r="AD14" s="58"/>
      <c r="AE14" s="58"/>
      <c r="AF14" s="58"/>
    </row>
    <row r="15" spans="2:32" ht="16.5" x14ac:dyDescent="0.3">
      <c r="C15" s="57" t="s">
        <v>262</v>
      </c>
      <c r="D15" s="58"/>
      <c r="E15" s="58"/>
      <c r="F15" s="58"/>
      <c r="G15" s="58"/>
      <c r="H15" s="58"/>
      <c r="V15" t="s">
        <v>905</v>
      </c>
      <c r="AB15" t="s">
        <v>912</v>
      </c>
    </row>
    <row r="16" spans="2:32" ht="15.75" x14ac:dyDescent="0.25">
      <c r="C16" s="49"/>
    </row>
    <row r="17" spans="4:32" x14ac:dyDescent="0.25">
      <c r="D17" s="98" t="s">
        <v>0</v>
      </c>
      <c r="E17" s="98"/>
      <c r="F17" s="99" t="s">
        <v>11</v>
      </c>
      <c r="G17" s="99"/>
      <c r="H17" s="99"/>
      <c r="J17" s="98" t="s">
        <v>0</v>
      </c>
      <c r="K17" s="98"/>
      <c r="L17" s="99" t="s">
        <v>11</v>
      </c>
      <c r="M17" s="99"/>
      <c r="N17" s="99"/>
      <c r="P17" s="98" t="s">
        <v>0</v>
      </c>
      <c r="Q17" s="98"/>
      <c r="R17" s="99" t="s">
        <v>11</v>
      </c>
      <c r="S17" s="99"/>
      <c r="T17" s="99"/>
      <c r="V17" s="98" t="s">
        <v>0</v>
      </c>
      <c r="W17" s="98"/>
      <c r="X17" s="99" t="s">
        <v>11</v>
      </c>
      <c r="Y17" s="99"/>
      <c r="Z17" s="99"/>
      <c r="AB17" s="98" t="s">
        <v>0</v>
      </c>
      <c r="AC17" s="98"/>
      <c r="AD17" s="99" t="s">
        <v>11</v>
      </c>
      <c r="AE17" s="99"/>
      <c r="AF17" s="99"/>
    </row>
    <row r="18" spans="4:32" x14ac:dyDescent="0.25">
      <c r="D18" s="100" t="s">
        <v>1</v>
      </c>
      <c r="E18" s="42" t="s">
        <v>271</v>
      </c>
      <c r="F18" s="102" t="s">
        <v>904</v>
      </c>
      <c r="G18" s="103"/>
      <c r="H18" s="104"/>
      <c r="J18" s="100" t="s">
        <v>1</v>
      </c>
      <c r="K18" s="42" t="s">
        <v>271</v>
      </c>
      <c r="L18" s="102" t="s">
        <v>904</v>
      </c>
      <c r="M18" s="103"/>
      <c r="N18" s="104"/>
      <c r="P18" s="100" t="s">
        <v>1</v>
      </c>
      <c r="Q18" s="42" t="s">
        <v>271</v>
      </c>
      <c r="R18" s="102" t="s">
        <v>904</v>
      </c>
      <c r="S18" s="103"/>
      <c r="T18" s="104"/>
      <c r="V18" s="100" t="s">
        <v>1</v>
      </c>
      <c r="W18" s="42" t="s">
        <v>271</v>
      </c>
      <c r="X18" s="102" t="s">
        <v>904</v>
      </c>
      <c r="Y18" s="103"/>
      <c r="Z18" s="104"/>
      <c r="AB18" s="100" t="s">
        <v>1</v>
      </c>
      <c r="AC18" s="42" t="s">
        <v>271</v>
      </c>
      <c r="AD18" s="102" t="s">
        <v>904</v>
      </c>
      <c r="AE18" s="103"/>
      <c r="AF18" s="104"/>
    </row>
    <row r="19" spans="4:32" x14ac:dyDescent="0.25">
      <c r="D19" s="101"/>
      <c r="E19" s="42" t="s">
        <v>270</v>
      </c>
      <c r="F19" s="105" t="s">
        <v>799</v>
      </c>
      <c r="G19" s="105"/>
      <c r="H19" s="105"/>
      <c r="I19" s="21"/>
      <c r="J19" s="101"/>
      <c r="K19" s="42" t="s">
        <v>270</v>
      </c>
      <c r="L19" s="105" t="s">
        <v>799</v>
      </c>
      <c r="M19" s="105"/>
      <c r="N19" s="105"/>
      <c r="P19" s="101"/>
      <c r="Q19" s="42" t="s">
        <v>270</v>
      </c>
      <c r="R19" s="105" t="s">
        <v>799</v>
      </c>
      <c r="S19" s="105"/>
      <c r="T19" s="105"/>
      <c r="V19" s="101"/>
      <c r="W19" s="42" t="s">
        <v>270</v>
      </c>
      <c r="X19" s="105" t="s">
        <v>799</v>
      </c>
      <c r="Y19" s="105"/>
      <c r="Z19" s="105"/>
      <c r="AB19" s="101"/>
      <c r="AC19" s="42" t="s">
        <v>270</v>
      </c>
      <c r="AD19" s="105" t="s">
        <v>799</v>
      </c>
      <c r="AE19" s="105"/>
      <c r="AF19" s="105"/>
    </row>
    <row r="20" spans="4:32" x14ac:dyDescent="0.25">
      <c r="D20" s="47" t="s">
        <v>265</v>
      </c>
      <c r="E20" s="42" t="s">
        <v>271</v>
      </c>
      <c r="F20" s="105" t="s">
        <v>800</v>
      </c>
      <c r="G20" s="105"/>
      <c r="H20" s="105"/>
      <c r="I20" s="21"/>
      <c r="J20" s="47" t="s">
        <v>265</v>
      </c>
      <c r="K20" s="42" t="s">
        <v>271</v>
      </c>
      <c r="L20" s="105" t="s">
        <v>800</v>
      </c>
      <c r="M20" s="105"/>
      <c r="N20" s="105"/>
      <c r="P20" s="47" t="s">
        <v>265</v>
      </c>
      <c r="Q20" s="42" t="s">
        <v>271</v>
      </c>
      <c r="R20" s="105" t="s">
        <v>800</v>
      </c>
      <c r="S20" s="105"/>
      <c r="T20" s="105"/>
      <c r="V20" s="86" t="s">
        <v>265</v>
      </c>
      <c r="W20" s="42" t="s">
        <v>271</v>
      </c>
      <c r="X20" s="105" t="s">
        <v>800</v>
      </c>
      <c r="Y20" s="105"/>
      <c r="Z20" s="105"/>
      <c r="AB20" s="86" t="s">
        <v>265</v>
      </c>
      <c r="AC20" s="42" t="s">
        <v>271</v>
      </c>
      <c r="AD20" s="105" t="s">
        <v>800</v>
      </c>
      <c r="AE20" s="105"/>
      <c r="AF20" s="105"/>
    </row>
    <row r="21" spans="4:32" x14ac:dyDescent="0.25">
      <c r="D21" s="47" t="s">
        <v>266</v>
      </c>
      <c r="E21" s="42" t="s">
        <v>270</v>
      </c>
      <c r="F21" s="105" t="s">
        <v>800</v>
      </c>
      <c r="G21" s="105"/>
      <c r="H21" s="105"/>
      <c r="I21" s="21"/>
      <c r="J21" s="47" t="s">
        <v>266</v>
      </c>
      <c r="K21" s="42" t="s">
        <v>270</v>
      </c>
      <c r="L21" s="105" t="s">
        <v>800</v>
      </c>
      <c r="M21" s="105"/>
      <c r="N21" s="105"/>
      <c r="P21" s="47" t="s">
        <v>266</v>
      </c>
      <c r="Q21" s="42" t="s">
        <v>270</v>
      </c>
      <c r="R21" s="105" t="s">
        <v>800</v>
      </c>
      <c r="S21" s="105"/>
      <c r="T21" s="105"/>
      <c r="V21" s="86" t="s">
        <v>266</v>
      </c>
      <c r="W21" s="42" t="s">
        <v>270</v>
      </c>
      <c r="X21" s="105" t="s">
        <v>800</v>
      </c>
      <c r="Y21" s="105"/>
      <c r="Z21" s="105"/>
      <c r="AB21" s="86" t="s">
        <v>266</v>
      </c>
      <c r="AC21" s="42" t="s">
        <v>270</v>
      </c>
      <c r="AD21" s="105" t="s">
        <v>800</v>
      </c>
      <c r="AE21" s="105"/>
      <c r="AF21" s="105"/>
    </row>
    <row r="22" spans="4:32" x14ac:dyDescent="0.25">
      <c r="D22" s="47" t="s">
        <v>267</v>
      </c>
      <c r="E22" s="42" t="s">
        <v>270</v>
      </c>
      <c r="F22" s="105" t="s">
        <v>11</v>
      </c>
      <c r="G22" s="105"/>
      <c r="H22" s="105"/>
      <c r="I22" s="21"/>
      <c r="J22" s="47" t="s">
        <v>267</v>
      </c>
      <c r="K22" s="42" t="s">
        <v>270</v>
      </c>
      <c r="L22" s="105" t="s">
        <v>11</v>
      </c>
      <c r="M22" s="105"/>
      <c r="N22" s="105"/>
      <c r="P22" s="47" t="s">
        <v>267</v>
      </c>
      <c r="Q22" s="42" t="s">
        <v>270</v>
      </c>
      <c r="R22" s="105" t="s">
        <v>11</v>
      </c>
      <c r="S22" s="105"/>
      <c r="T22" s="105"/>
      <c r="V22" s="86" t="s">
        <v>267</v>
      </c>
      <c r="W22" s="42" t="s">
        <v>270</v>
      </c>
      <c r="X22" s="105" t="s">
        <v>11</v>
      </c>
      <c r="Y22" s="105"/>
      <c r="Z22" s="105"/>
      <c r="AB22" s="86" t="s">
        <v>267</v>
      </c>
      <c r="AC22" s="42" t="s">
        <v>270</v>
      </c>
      <c r="AD22" s="105" t="s">
        <v>11</v>
      </c>
      <c r="AE22" s="105"/>
      <c r="AF22" s="105"/>
    </row>
    <row r="23" spans="4:32" s="45" customFormat="1" ht="45" x14ac:dyDescent="0.25">
      <c r="D23" s="97" t="s">
        <v>2</v>
      </c>
      <c r="E23" s="97"/>
      <c r="F23" s="50" t="s">
        <v>305</v>
      </c>
      <c r="G23" s="51" t="s">
        <v>306</v>
      </c>
      <c r="H23" s="52" t="s">
        <v>10</v>
      </c>
      <c r="I23" s="21"/>
      <c r="J23" s="97" t="s">
        <v>2</v>
      </c>
      <c r="K23" s="97"/>
      <c r="L23" s="50" t="s">
        <v>305</v>
      </c>
      <c r="M23" s="51" t="s">
        <v>306</v>
      </c>
      <c r="N23" s="52" t="s">
        <v>10</v>
      </c>
      <c r="P23" s="97" t="s">
        <v>2</v>
      </c>
      <c r="Q23" s="97"/>
      <c r="R23" s="50" t="s">
        <v>305</v>
      </c>
      <c r="S23" s="51" t="s">
        <v>306</v>
      </c>
      <c r="T23" s="52" t="s">
        <v>10</v>
      </c>
      <c r="V23" s="97" t="s">
        <v>2</v>
      </c>
      <c r="W23" s="97"/>
      <c r="X23" s="50" t="s">
        <v>305</v>
      </c>
      <c r="Y23" s="51" t="s">
        <v>306</v>
      </c>
      <c r="Z23" s="52" t="s">
        <v>10</v>
      </c>
      <c r="AB23" s="97" t="s">
        <v>2</v>
      </c>
      <c r="AC23" s="97"/>
      <c r="AD23" s="50" t="s">
        <v>305</v>
      </c>
      <c r="AE23" s="51" t="s">
        <v>306</v>
      </c>
      <c r="AF23" s="52" t="s">
        <v>10</v>
      </c>
    </row>
    <row r="24" spans="4:32" x14ac:dyDescent="0.25">
      <c r="D24" s="47" t="s">
        <v>268</v>
      </c>
      <c r="E24" s="42" t="s">
        <v>272</v>
      </c>
      <c r="F24" s="1" t="s">
        <v>9</v>
      </c>
      <c r="G24" s="2" t="s">
        <v>9</v>
      </c>
      <c r="H24" s="53" t="s">
        <v>11</v>
      </c>
      <c r="I24" s="21"/>
      <c r="J24" s="47" t="s">
        <v>268</v>
      </c>
      <c r="K24" s="42" t="s">
        <v>272</v>
      </c>
      <c r="L24" s="53" t="s">
        <v>11</v>
      </c>
      <c r="M24" s="53" t="s">
        <v>11</v>
      </c>
      <c r="N24" s="53" t="s">
        <v>11</v>
      </c>
      <c r="P24" s="47" t="s">
        <v>268</v>
      </c>
      <c r="Q24" s="42" t="s">
        <v>272</v>
      </c>
      <c r="R24" s="1" t="s">
        <v>9</v>
      </c>
      <c r="S24" s="1" t="s">
        <v>9</v>
      </c>
      <c r="T24" s="53" t="s">
        <v>11</v>
      </c>
      <c r="V24" s="86" t="s">
        <v>268</v>
      </c>
      <c r="W24" s="42" t="s">
        <v>272</v>
      </c>
      <c r="X24" s="1" t="s">
        <v>9</v>
      </c>
      <c r="Y24" s="53" t="s">
        <v>11</v>
      </c>
      <c r="Z24" s="1" t="s">
        <v>9</v>
      </c>
      <c r="AB24" s="86" t="s">
        <v>268</v>
      </c>
      <c r="AC24" s="42" t="s">
        <v>272</v>
      </c>
      <c r="AD24" s="53" t="s">
        <v>11</v>
      </c>
      <c r="AE24" s="53" t="s">
        <v>11</v>
      </c>
      <c r="AF24" s="1" t="s">
        <v>9</v>
      </c>
    </row>
    <row r="25" spans="4:32" ht="15" customHeight="1" x14ac:dyDescent="0.25">
      <c r="D25" s="97" t="s">
        <v>269</v>
      </c>
      <c r="E25" s="42" t="s">
        <v>273</v>
      </c>
      <c r="F25" s="1" t="s">
        <v>9</v>
      </c>
      <c r="G25" s="2" t="s">
        <v>9</v>
      </c>
      <c r="H25" s="53" t="s">
        <v>11</v>
      </c>
      <c r="I25" s="21"/>
      <c r="J25" s="97" t="s">
        <v>269</v>
      </c>
      <c r="K25" s="42" t="s">
        <v>273</v>
      </c>
      <c r="L25" s="53" t="s">
        <v>11</v>
      </c>
      <c r="M25" s="53" t="s">
        <v>11</v>
      </c>
      <c r="N25" s="53" t="s">
        <v>11</v>
      </c>
      <c r="P25" s="97" t="s">
        <v>269</v>
      </c>
      <c r="Q25" s="42" t="s">
        <v>273</v>
      </c>
      <c r="R25" s="1" t="s">
        <v>9</v>
      </c>
      <c r="S25" s="1" t="s">
        <v>9</v>
      </c>
      <c r="T25" s="1" t="s">
        <v>9</v>
      </c>
      <c r="V25" s="97" t="s">
        <v>269</v>
      </c>
      <c r="W25" s="42" t="s">
        <v>273</v>
      </c>
      <c r="X25" s="1" t="s">
        <v>9</v>
      </c>
      <c r="Y25" s="53" t="s">
        <v>11</v>
      </c>
      <c r="Z25" s="1" t="s">
        <v>9</v>
      </c>
      <c r="AB25" s="97" t="s">
        <v>269</v>
      </c>
      <c r="AC25" s="42" t="s">
        <v>273</v>
      </c>
      <c r="AD25" s="53" t="s">
        <v>11</v>
      </c>
      <c r="AE25" s="53" t="s">
        <v>11</v>
      </c>
      <c r="AF25" s="1" t="s">
        <v>9</v>
      </c>
    </row>
    <row r="26" spans="4:32" x14ac:dyDescent="0.25">
      <c r="D26" s="97"/>
      <c r="E26" s="42" t="s">
        <v>274</v>
      </c>
      <c r="F26" s="1" t="s">
        <v>9</v>
      </c>
      <c r="G26" s="2" t="s">
        <v>9</v>
      </c>
      <c r="H26" s="53" t="s">
        <v>799</v>
      </c>
      <c r="I26" s="21"/>
      <c r="J26" s="97"/>
      <c r="K26" s="42" t="s">
        <v>274</v>
      </c>
      <c r="L26" s="53" t="s">
        <v>799</v>
      </c>
      <c r="M26" s="53" t="s">
        <v>799</v>
      </c>
      <c r="N26" s="53" t="s">
        <v>799</v>
      </c>
      <c r="P26" s="97"/>
      <c r="Q26" s="42" t="s">
        <v>274</v>
      </c>
      <c r="R26" s="1" t="s">
        <v>9</v>
      </c>
      <c r="S26" s="1" t="s">
        <v>9</v>
      </c>
      <c r="T26" s="1" t="s">
        <v>9</v>
      </c>
      <c r="V26" s="97"/>
      <c r="W26" s="42" t="s">
        <v>274</v>
      </c>
      <c r="X26" s="1" t="s">
        <v>9</v>
      </c>
      <c r="Y26" s="53" t="s">
        <v>11</v>
      </c>
      <c r="Z26" s="1" t="s">
        <v>9</v>
      </c>
      <c r="AB26" s="97"/>
      <c r="AC26" s="42" t="s">
        <v>274</v>
      </c>
      <c r="AD26" s="53" t="s">
        <v>11</v>
      </c>
      <c r="AE26" s="53" t="s">
        <v>11</v>
      </c>
      <c r="AF26" s="1" t="s">
        <v>9</v>
      </c>
    </row>
    <row r="27" spans="4:32" x14ac:dyDescent="0.25">
      <c r="D27" s="97"/>
      <c r="E27" s="42" t="s">
        <v>282</v>
      </c>
      <c r="F27" s="1" t="s">
        <v>9</v>
      </c>
      <c r="G27" s="2" t="s">
        <v>9</v>
      </c>
      <c r="H27" s="53" t="s">
        <v>800</v>
      </c>
      <c r="I27" s="21"/>
      <c r="J27" s="97"/>
      <c r="K27" s="42" t="s">
        <v>282</v>
      </c>
      <c r="L27" s="53" t="s">
        <v>800</v>
      </c>
      <c r="M27" s="53" t="s">
        <v>800</v>
      </c>
      <c r="N27" s="53" t="s">
        <v>800</v>
      </c>
      <c r="P27" s="97"/>
      <c r="Q27" s="42" t="s">
        <v>282</v>
      </c>
      <c r="R27" s="1" t="s">
        <v>9</v>
      </c>
      <c r="S27" s="1" t="s">
        <v>9</v>
      </c>
      <c r="T27" s="1" t="s">
        <v>9</v>
      </c>
      <c r="V27" s="97"/>
      <c r="W27" s="42" t="s">
        <v>282</v>
      </c>
      <c r="X27" s="1" t="s">
        <v>9</v>
      </c>
      <c r="Y27" s="53" t="s">
        <v>799</v>
      </c>
      <c r="Z27" s="1" t="s">
        <v>9</v>
      </c>
      <c r="AB27" s="97"/>
      <c r="AC27" s="42" t="s">
        <v>282</v>
      </c>
      <c r="AD27" s="53" t="s">
        <v>799</v>
      </c>
      <c r="AE27" s="53" t="s">
        <v>799</v>
      </c>
      <c r="AF27" s="1" t="s">
        <v>9</v>
      </c>
    </row>
    <row r="28" spans="4:32" x14ac:dyDescent="0.25">
      <c r="D28" s="97"/>
      <c r="E28" s="42" t="s">
        <v>275</v>
      </c>
      <c r="F28" s="1" t="s">
        <v>9</v>
      </c>
      <c r="G28" s="2" t="s">
        <v>9</v>
      </c>
      <c r="H28" s="53" t="s">
        <v>799</v>
      </c>
      <c r="I28" s="36"/>
      <c r="J28" s="97"/>
      <c r="K28" s="42" t="s">
        <v>275</v>
      </c>
      <c r="L28" s="53" t="s">
        <v>799</v>
      </c>
      <c r="M28" s="53" t="s">
        <v>799</v>
      </c>
      <c r="N28" s="53" t="s">
        <v>799</v>
      </c>
      <c r="P28" s="97"/>
      <c r="Q28" s="42" t="s">
        <v>275</v>
      </c>
      <c r="R28" s="1" t="s">
        <v>9</v>
      </c>
      <c r="S28" s="1" t="s">
        <v>9</v>
      </c>
      <c r="T28" s="1" t="s">
        <v>9</v>
      </c>
      <c r="V28" s="97"/>
      <c r="W28" s="42" t="s">
        <v>275</v>
      </c>
      <c r="X28" s="1" t="s">
        <v>9</v>
      </c>
      <c r="Y28" s="53" t="s">
        <v>800</v>
      </c>
      <c r="Z28" s="1" t="s">
        <v>9</v>
      </c>
      <c r="AB28" s="97"/>
      <c r="AC28" s="42" t="s">
        <v>275</v>
      </c>
      <c r="AD28" s="53" t="s">
        <v>800</v>
      </c>
      <c r="AE28" s="53" t="s">
        <v>800</v>
      </c>
      <c r="AF28" s="1" t="s">
        <v>9</v>
      </c>
    </row>
    <row r="29" spans="4:32" x14ac:dyDescent="0.25">
      <c r="D29" s="97"/>
      <c r="E29" s="42" t="s">
        <v>302</v>
      </c>
      <c r="F29" s="1" t="s">
        <v>9</v>
      </c>
      <c r="G29" s="2" t="s">
        <v>9</v>
      </c>
      <c r="H29" s="53" t="s">
        <v>11</v>
      </c>
      <c r="I29" s="33"/>
      <c r="J29" s="97"/>
      <c r="K29" s="42" t="s">
        <v>302</v>
      </c>
      <c r="L29" s="53" t="s">
        <v>11</v>
      </c>
      <c r="M29" s="53" t="s">
        <v>11</v>
      </c>
      <c r="N29" s="53" t="s">
        <v>11</v>
      </c>
      <c r="P29" s="97"/>
      <c r="Q29" s="42" t="s">
        <v>302</v>
      </c>
      <c r="R29" s="1" t="s">
        <v>9</v>
      </c>
      <c r="S29" s="1" t="s">
        <v>9</v>
      </c>
      <c r="T29" s="1" t="s">
        <v>9</v>
      </c>
      <c r="V29" s="97"/>
      <c r="W29" s="42" t="s">
        <v>302</v>
      </c>
      <c r="X29" s="1" t="s">
        <v>9</v>
      </c>
      <c r="Y29" s="53" t="s">
        <v>799</v>
      </c>
      <c r="Z29" s="1" t="s">
        <v>9</v>
      </c>
      <c r="AB29" s="97"/>
      <c r="AC29" s="42" t="s">
        <v>302</v>
      </c>
      <c r="AD29" s="53" t="s">
        <v>799</v>
      </c>
      <c r="AE29" s="53" t="s">
        <v>799</v>
      </c>
      <c r="AF29" s="1" t="s">
        <v>9</v>
      </c>
    </row>
    <row r="30" spans="4:32" x14ac:dyDescent="0.25">
      <c r="D30" s="97"/>
      <c r="E30" s="42" t="s">
        <v>284</v>
      </c>
      <c r="F30" s="1" t="s">
        <v>9</v>
      </c>
      <c r="G30" s="2" t="s">
        <v>9</v>
      </c>
      <c r="H30" s="53" t="s">
        <v>799</v>
      </c>
      <c r="I30" s="33"/>
      <c r="J30" s="97"/>
      <c r="K30" s="42" t="s">
        <v>284</v>
      </c>
      <c r="L30" s="53" t="s">
        <v>799</v>
      </c>
      <c r="M30" s="53" t="s">
        <v>799</v>
      </c>
      <c r="N30" s="53" t="s">
        <v>799</v>
      </c>
      <c r="P30" s="97"/>
      <c r="Q30" s="42" t="s">
        <v>284</v>
      </c>
      <c r="R30" s="1" t="s">
        <v>9</v>
      </c>
      <c r="S30" s="1" t="s">
        <v>9</v>
      </c>
      <c r="T30" s="1" t="s">
        <v>9</v>
      </c>
      <c r="V30" s="97"/>
      <c r="W30" s="42" t="s">
        <v>284</v>
      </c>
      <c r="X30" s="1" t="s">
        <v>9</v>
      </c>
      <c r="Y30" s="53" t="s">
        <v>11</v>
      </c>
      <c r="Z30" s="1" t="s">
        <v>9</v>
      </c>
      <c r="AB30" s="97"/>
      <c r="AC30" s="42" t="s">
        <v>284</v>
      </c>
      <c r="AD30" s="53" t="s">
        <v>11</v>
      </c>
      <c r="AE30" s="53" t="s">
        <v>11</v>
      </c>
      <c r="AF30" s="1" t="s">
        <v>9</v>
      </c>
    </row>
    <row r="31" spans="4:32" x14ac:dyDescent="0.25">
      <c r="D31" s="97"/>
      <c r="E31" s="42" t="s">
        <v>285</v>
      </c>
      <c r="F31" s="1" t="s">
        <v>9</v>
      </c>
      <c r="G31" s="2" t="s">
        <v>9</v>
      </c>
      <c r="H31" s="53" t="s">
        <v>800</v>
      </c>
      <c r="I31" s="33"/>
      <c r="J31" s="97"/>
      <c r="K31" s="42" t="s">
        <v>285</v>
      </c>
      <c r="L31" s="53" t="s">
        <v>800</v>
      </c>
      <c r="M31" s="53" t="s">
        <v>800</v>
      </c>
      <c r="N31" s="53" t="s">
        <v>800</v>
      </c>
      <c r="P31" s="97"/>
      <c r="Q31" s="42" t="s">
        <v>285</v>
      </c>
      <c r="R31" s="1" t="s">
        <v>9</v>
      </c>
      <c r="S31" s="1" t="s">
        <v>9</v>
      </c>
      <c r="T31" s="1" t="s">
        <v>9</v>
      </c>
      <c r="V31" s="97"/>
      <c r="W31" s="42" t="s">
        <v>285</v>
      </c>
      <c r="X31" s="1" t="s">
        <v>9</v>
      </c>
      <c r="Y31" s="53" t="s">
        <v>799</v>
      </c>
      <c r="Z31" s="1" t="s">
        <v>9</v>
      </c>
      <c r="AB31" s="97"/>
      <c r="AC31" s="42" t="s">
        <v>285</v>
      </c>
      <c r="AD31" s="53" t="s">
        <v>799</v>
      </c>
      <c r="AE31" s="53" t="s">
        <v>799</v>
      </c>
      <c r="AF31" s="1" t="s">
        <v>9</v>
      </c>
    </row>
    <row r="32" spans="4:32" x14ac:dyDescent="0.25">
      <c r="D32" s="97"/>
      <c r="E32" s="42" t="s">
        <v>286</v>
      </c>
      <c r="F32" s="1" t="s">
        <v>9</v>
      </c>
      <c r="G32" s="2" t="s">
        <v>9</v>
      </c>
      <c r="H32" s="53" t="s">
        <v>799</v>
      </c>
      <c r="I32" s="33"/>
      <c r="J32" s="97"/>
      <c r="K32" s="42" t="s">
        <v>286</v>
      </c>
      <c r="L32" s="53" t="s">
        <v>799</v>
      </c>
      <c r="M32" s="53" t="s">
        <v>799</v>
      </c>
      <c r="N32" s="53" t="s">
        <v>799</v>
      </c>
      <c r="P32" s="97"/>
      <c r="Q32" s="42" t="s">
        <v>286</v>
      </c>
      <c r="R32" s="1" t="s">
        <v>9</v>
      </c>
      <c r="S32" s="1" t="s">
        <v>9</v>
      </c>
      <c r="T32" s="1" t="s">
        <v>9</v>
      </c>
      <c r="V32" s="97"/>
      <c r="W32" s="42" t="s">
        <v>286</v>
      </c>
      <c r="X32" s="1" t="s">
        <v>9</v>
      </c>
      <c r="Y32" s="53" t="s">
        <v>800</v>
      </c>
      <c r="Z32" s="1" t="s">
        <v>9</v>
      </c>
      <c r="AB32" s="97"/>
      <c r="AC32" s="42" t="s">
        <v>286</v>
      </c>
      <c r="AD32" s="53" t="s">
        <v>800</v>
      </c>
      <c r="AE32" s="53" t="s">
        <v>800</v>
      </c>
      <c r="AF32" s="1" t="s">
        <v>9</v>
      </c>
    </row>
    <row r="33" spans="4:32" x14ac:dyDescent="0.25">
      <c r="D33" s="97"/>
      <c r="E33" s="42" t="s">
        <v>276</v>
      </c>
      <c r="F33" s="1" t="s">
        <v>9</v>
      </c>
      <c r="G33" s="2" t="s">
        <v>9</v>
      </c>
      <c r="H33" s="53" t="s">
        <v>11</v>
      </c>
      <c r="I33" s="33"/>
      <c r="J33" s="97"/>
      <c r="K33" s="42" t="s">
        <v>276</v>
      </c>
      <c r="L33" s="53" t="s">
        <v>11</v>
      </c>
      <c r="M33" s="53" t="s">
        <v>11</v>
      </c>
      <c r="N33" s="53" t="s">
        <v>11</v>
      </c>
      <c r="P33" s="97"/>
      <c r="Q33" s="42" t="s">
        <v>276</v>
      </c>
      <c r="R33" s="1" t="s">
        <v>9</v>
      </c>
      <c r="S33" s="1" t="s">
        <v>9</v>
      </c>
      <c r="T33" s="1" t="s">
        <v>9</v>
      </c>
      <c r="V33" s="97"/>
      <c r="W33" s="42" t="s">
        <v>276</v>
      </c>
      <c r="X33" s="1" t="s">
        <v>9</v>
      </c>
      <c r="Y33" s="53" t="s">
        <v>799</v>
      </c>
      <c r="Z33" s="1" t="s">
        <v>9</v>
      </c>
      <c r="AB33" s="97"/>
      <c r="AC33" s="42" t="s">
        <v>276</v>
      </c>
      <c r="AD33" s="53" t="s">
        <v>799</v>
      </c>
      <c r="AE33" s="53" t="s">
        <v>799</v>
      </c>
      <c r="AF33" s="1" t="s">
        <v>9</v>
      </c>
    </row>
    <row r="34" spans="4:32" x14ac:dyDescent="0.25">
      <c r="D34" s="97"/>
      <c r="E34" s="42" t="s">
        <v>277</v>
      </c>
      <c r="F34" s="1" t="s">
        <v>9</v>
      </c>
      <c r="G34" s="2" t="s">
        <v>9</v>
      </c>
      <c r="H34" s="53" t="s">
        <v>799</v>
      </c>
      <c r="I34" s="33"/>
      <c r="J34" s="97"/>
      <c r="K34" s="42" t="s">
        <v>277</v>
      </c>
      <c r="L34" s="53" t="s">
        <v>799</v>
      </c>
      <c r="M34" s="53" t="s">
        <v>799</v>
      </c>
      <c r="N34" s="53" t="s">
        <v>799</v>
      </c>
      <c r="P34" s="97"/>
      <c r="Q34" s="42" t="s">
        <v>277</v>
      </c>
      <c r="R34" s="1" t="s">
        <v>9</v>
      </c>
      <c r="S34" s="1" t="s">
        <v>9</v>
      </c>
      <c r="T34" s="1" t="s">
        <v>9</v>
      </c>
      <c r="V34" s="97"/>
      <c r="W34" s="42" t="s">
        <v>277</v>
      </c>
      <c r="X34" s="1" t="s">
        <v>9</v>
      </c>
      <c r="Y34" s="53" t="s">
        <v>11</v>
      </c>
      <c r="Z34" s="1" t="s">
        <v>9</v>
      </c>
      <c r="AB34" s="97"/>
      <c r="AC34" s="42" t="s">
        <v>277</v>
      </c>
      <c r="AD34" s="53" t="s">
        <v>11</v>
      </c>
      <c r="AE34" s="53" t="s">
        <v>11</v>
      </c>
      <c r="AF34" s="1" t="s">
        <v>9</v>
      </c>
    </row>
    <row r="35" spans="4:32" x14ac:dyDescent="0.25">
      <c r="D35" s="97"/>
      <c r="E35" s="42" t="s">
        <v>283</v>
      </c>
      <c r="F35" s="1" t="s">
        <v>9</v>
      </c>
      <c r="G35" s="2" t="s">
        <v>9</v>
      </c>
      <c r="H35" s="53" t="s">
        <v>800</v>
      </c>
      <c r="I35" s="33"/>
      <c r="J35" s="97"/>
      <c r="K35" s="42" t="s">
        <v>283</v>
      </c>
      <c r="L35" s="53" t="s">
        <v>800</v>
      </c>
      <c r="M35" s="53" t="s">
        <v>800</v>
      </c>
      <c r="N35" s="53" t="s">
        <v>800</v>
      </c>
      <c r="P35" s="97"/>
      <c r="Q35" s="42" t="s">
        <v>283</v>
      </c>
      <c r="R35" s="1" t="s">
        <v>9</v>
      </c>
      <c r="S35" s="1" t="s">
        <v>9</v>
      </c>
      <c r="T35" s="1" t="s">
        <v>9</v>
      </c>
      <c r="V35" s="97"/>
      <c r="W35" s="42" t="s">
        <v>283</v>
      </c>
      <c r="X35" s="1" t="s">
        <v>9</v>
      </c>
      <c r="Y35" s="53" t="s">
        <v>799</v>
      </c>
      <c r="Z35" s="1" t="s">
        <v>9</v>
      </c>
      <c r="AB35" s="97"/>
      <c r="AC35" s="42" t="s">
        <v>283</v>
      </c>
      <c r="AD35" s="53" t="s">
        <v>799</v>
      </c>
      <c r="AE35" s="53" t="s">
        <v>799</v>
      </c>
      <c r="AF35" s="1" t="s">
        <v>9</v>
      </c>
    </row>
    <row r="36" spans="4:32" x14ac:dyDescent="0.25">
      <c r="D36" s="97"/>
      <c r="E36" s="42" t="s">
        <v>278</v>
      </c>
      <c r="F36" s="1" t="s">
        <v>9</v>
      </c>
      <c r="G36" s="2" t="s">
        <v>9</v>
      </c>
      <c r="H36" s="53" t="s">
        <v>799</v>
      </c>
      <c r="I36" s="33"/>
      <c r="J36" s="97"/>
      <c r="K36" s="42" t="s">
        <v>278</v>
      </c>
      <c r="L36" s="53" t="s">
        <v>799</v>
      </c>
      <c r="M36" s="53" t="s">
        <v>799</v>
      </c>
      <c r="N36" s="53" t="s">
        <v>799</v>
      </c>
      <c r="P36" s="97"/>
      <c r="Q36" s="42" t="s">
        <v>278</v>
      </c>
      <c r="R36" s="1" t="s">
        <v>9</v>
      </c>
      <c r="S36" s="1" t="s">
        <v>9</v>
      </c>
      <c r="T36" s="1" t="s">
        <v>9</v>
      </c>
      <c r="V36" s="97"/>
      <c r="W36" s="42" t="s">
        <v>278</v>
      </c>
      <c r="X36" s="1" t="s">
        <v>9</v>
      </c>
      <c r="Y36" s="53" t="s">
        <v>800</v>
      </c>
      <c r="Z36" s="1" t="s">
        <v>9</v>
      </c>
      <c r="AB36" s="97"/>
      <c r="AC36" s="42" t="s">
        <v>278</v>
      </c>
      <c r="AD36" s="53" t="s">
        <v>800</v>
      </c>
      <c r="AE36" s="53" t="s">
        <v>800</v>
      </c>
      <c r="AF36" s="1" t="s">
        <v>9</v>
      </c>
    </row>
    <row r="37" spans="4:32" ht="15" customHeight="1" x14ac:dyDescent="0.25">
      <c r="D37" s="97" t="s">
        <v>4</v>
      </c>
      <c r="E37" s="42" t="s">
        <v>279</v>
      </c>
      <c r="F37" s="1" t="s">
        <v>9</v>
      </c>
      <c r="G37" s="1" t="s">
        <v>9</v>
      </c>
      <c r="H37" s="1" t="s">
        <v>9</v>
      </c>
      <c r="I37" s="33"/>
      <c r="J37" s="97" t="s">
        <v>4</v>
      </c>
      <c r="K37" s="42" t="s">
        <v>279</v>
      </c>
      <c r="L37" s="53" t="s">
        <v>11</v>
      </c>
      <c r="M37" s="1" t="s">
        <v>9</v>
      </c>
      <c r="N37" s="53" t="s">
        <v>11</v>
      </c>
      <c r="P37" s="97" t="s">
        <v>4</v>
      </c>
      <c r="Q37" s="42" t="s">
        <v>279</v>
      </c>
      <c r="R37" s="1" t="s">
        <v>9</v>
      </c>
      <c r="S37" s="1" t="s">
        <v>9</v>
      </c>
      <c r="T37" s="53" t="s">
        <v>11</v>
      </c>
      <c r="V37" s="97" t="s">
        <v>4</v>
      </c>
      <c r="W37" s="42" t="s">
        <v>279</v>
      </c>
      <c r="X37" s="1" t="s">
        <v>9</v>
      </c>
      <c r="Y37" s="1" t="s">
        <v>9</v>
      </c>
      <c r="Z37" s="1" t="s">
        <v>9</v>
      </c>
      <c r="AB37" s="97" t="s">
        <v>4</v>
      </c>
      <c r="AC37" s="42" t="s">
        <v>279</v>
      </c>
      <c r="AD37" s="53" t="s">
        <v>799</v>
      </c>
      <c r="AE37" s="1" t="s">
        <v>9</v>
      </c>
      <c r="AF37" s="1" t="s">
        <v>9</v>
      </c>
    </row>
    <row r="38" spans="4:32" x14ac:dyDescent="0.25">
      <c r="D38" s="97"/>
      <c r="E38" s="42" t="s">
        <v>280</v>
      </c>
      <c r="F38" s="1" t="s">
        <v>9</v>
      </c>
      <c r="G38" s="1" t="s">
        <v>9</v>
      </c>
      <c r="H38" s="1" t="s">
        <v>9</v>
      </c>
      <c r="I38" s="38"/>
      <c r="J38" s="97"/>
      <c r="K38" s="42" t="s">
        <v>280</v>
      </c>
      <c r="L38" s="53" t="s">
        <v>799</v>
      </c>
      <c r="M38" s="1" t="s">
        <v>9</v>
      </c>
      <c r="N38" s="53" t="s">
        <v>799</v>
      </c>
      <c r="P38" s="97"/>
      <c r="Q38" s="42" t="s">
        <v>280</v>
      </c>
      <c r="R38" s="1" t="s">
        <v>9</v>
      </c>
      <c r="S38" s="1" t="s">
        <v>9</v>
      </c>
      <c r="T38" s="53" t="s">
        <v>799</v>
      </c>
      <c r="V38" s="97"/>
      <c r="W38" s="42" t="s">
        <v>280</v>
      </c>
      <c r="X38" s="1" t="s">
        <v>9</v>
      </c>
      <c r="Y38" s="1" t="s">
        <v>9</v>
      </c>
      <c r="Z38" s="1" t="s">
        <v>9</v>
      </c>
      <c r="AB38" s="97"/>
      <c r="AC38" s="42" t="s">
        <v>280</v>
      </c>
      <c r="AD38" s="53" t="s">
        <v>799</v>
      </c>
      <c r="AE38" s="1" t="s">
        <v>9</v>
      </c>
      <c r="AF38" s="1" t="s">
        <v>9</v>
      </c>
    </row>
    <row r="39" spans="4:32" x14ac:dyDescent="0.25">
      <c r="D39" s="97"/>
      <c r="E39" s="42" t="s">
        <v>287</v>
      </c>
      <c r="F39" s="1" t="s">
        <v>9</v>
      </c>
      <c r="G39" s="1" t="s">
        <v>9</v>
      </c>
      <c r="H39" s="1" t="s">
        <v>9</v>
      </c>
      <c r="I39" s="38"/>
      <c r="J39" s="97"/>
      <c r="K39" s="42" t="s">
        <v>287</v>
      </c>
      <c r="L39" s="53" t="s">
        <v>800</v>
      </c>
      <c r="M39" s="1" t="s">
        <v>9</v>
      </c>
      <c r="N39" s="53" t="s">
        <v>800</v>
      </c>
      <c r="P39" s="97"/>
      <c r="Q39" s="42" t="s">
        <v>287</v>
      </c>
      <c r="R39" s="1" t="s">
        <v>9</v>
      </c>
      <c r="S39" s="1" t="s">
        <v>9</v>
      </c>
      <c r="T39" s="53" t="s">
        <v>800</v>
      </c>
      <c r="V39" s="97"/>
      <c r="W39" s="42" t="s">
        <v>287</v>
      </c>
      <c r="X39" s="1" t="s">
        <v>9</v>
      </c>
      <c r="Y39" s="1" t="s">
        <v>9</v>
      </c>
      <c r="Z39" s="1" t="s">
        <v>9</v>
      </c>
      <c r="AB39" s="97"/>
      <c r="AC39" s="42" t="s">
        <v>287</v>
      </c>
      <c r="AD39" s="53" t="s">
        <v>800</v>
      </c>
      <c r="AE39" s="1" t="s">
        <v>9</v>
      </c>
      <c r="AF39" s="1" t="s">
        <v>9</v>
      </c>
    </row>
    <row r="40" spans="4:32" x14ac:dyDescent="0.25">
      <c r="D40" s="97"/>
      <c r="E40" s="42" t="s">
        <v>281</v>
      </c>
      <c r="F40" s="1" t="s">
        <v>9</v>
      </c>
      <c r="G40" s="1" t="s">
        <v>9</v>
      </c>
      <c r="H40" s="1" t="s">
        <v>9</v>
      </c>
      <c r="I40" s="38"/>
      <c r="J40" s="97"/>
      <c r="K40" s="42" t="s">
        <v>281</v>
      </c>
      <c r="L40" s="53" t="s">
        <v>799</v>
      </c>
      <c r="M40" s="1" t="s">
        <v>9</v>
      </c>
      <c r="N40" s="53" t="s">
        <v>799</v>
      </c>
      <c r="P40" s="97"/>
      <c r="Q40" s="42" t="s">
        <v>281</v>
      </c>
      <c r="R40" s="1" t="s">
        <v>9</v>
      </c>
      <c r="S40" s="1" t="s">
        <v>9</v>
      </c>
      <c r="T40" s="53" t="s">
        <v>799</v>
      </c>
      <c r="V40" s="97"/>
      <c r="W40" s="42" t="s">
        <v>281</v>
      </c>
      <c r="X40" s="1" t="s">
        <v>9</v>
      </c>
      <c r="Y40" s="1" t="s">
        <v>9</v>
      </c>
      <c r="Z40" s="1" t="s">
        <v>9</v>
      </c>
      <c r="AB40" s="97"/>
      <c r="AC40" s="42" t="s">
        <v>281</v>
      </c>
      <c r="AD40" s="53" t="s">
        <v>799</v>
      </c>
      <c r="AE40" s="1" t="s">
        <v>9</v>
      </c>
      <c r="AF40" s="1" t="s">
        <v>9</v>
      </c>
    </row>
    <row r="41" spans="4:32" x14ac:dyDescent="0.25">
      <c r="D41" s="97"/>
      <c r="E41" s="42" t="s">
        <v>276</v>
      </c>
      <c r="F41" s="1" t="s">
        <v>9</v>
      </c>
      <c r="G41" s="1" t="s">
        <v>9</v>
      </c>
      <c r="H41" s="1" t="s">
        <v>9</v>
      </c>
      <c r="I41" s="38"/>
      <c r="J41" s="97"/>
      <c r="K41" s="42" t="s">
        <v>276</v>
      </c>
      <c r="L41" s="53" t="s">
        <v>11</v>
      </c>
      <c r="M41" s="1" t="s">
        <v>9</v>
      </c>
      <c r="N41" s="53" t="s">
        <v>11</v>
      </c>
      <c r="P41" s="97"/>
      <c r="Q41" s="42" t="s">
        <v>276</v>
      </c>
      <c r="R41" s="1" t="s">
        <v>9</v>
      </c>
      <c r="S41" s="1" t="s">
        <v>9</v>
      </c>
      <c r="T41" s="53" t="s">
        <v>11</v>
      </c>
      <c r="V41" s="97"/>
      <c r="W41" s="42" t="s">
        <v>276</v>
      </c>
      <c r="X41" s="1" t="s">
        <v>9</v>
      </c>
      <c r="Y41" s="1" t="s">
        <v>9</v>
      </c>
      <c r="Z41" s="1" t="s">
        <v>9</v>
      </c>
      <c r="AB41" s="97"/>
      <c r="AC41" s="42" t="s">
        <v>276</v>
      </c>
      <c r="AD41" s="53" t="s">
        <v>11</v>
      </c>
      <c r="AE41" s="1" t="s">
        <v>9</v>
      </c>
      <c r="AF41" s="1" t="s">
        <v>9</v>
      </c>
    </row>
    <row r="42" spans="4:32" x14ac:dyDescent="0.25">
      <c r="D42" s="97"/>
      <c r="E42" s="42" t="s">
        <v>277</v>
      </c>
      <c r="F42" s="1" t="s">
        <v>9</v>
      </c>
      <c r="G42" s="1" t="s">
        <v>9</v>
      </c>
      <c r="H42" s="1" t="s">
        <v>9</v>
      </c>
      <c r="I42" s="38"/>
      <c r="J42" s="97"/>
      <c r="K42" s="42" t="s">
        <v>277</v>
      </c>
      <c r="L42" s="53" t="s">
        <v>799</v>
      </c>
      <c r="M42" s="1" t="s">
        <v>9</v>
      </c>
      <c r="N42" s="53" t="s">
        <v>799</v>
      </c>
      <c r="P42" s="97"/>
      <c r="Q42" s="42" t="s">
        <v>277</v>
      </c>
      <c r="R42" s="1" t="s">
        <v>9</v>
      </c>
      <c r="S42" s="1" t="s">
        <v>9</v>
      </c>
      <c r="T42" s="53" t="s">
        <v>799</v>
      </c>
      <c r="V42" s="97"/>
      <c r="W42" s="42" t="s">
        <v>277</v>
      </c>
      <c r="X42" s="1" t="s">
        <v>9</v>
      </c>
      <c r="Y42" s="1" t="s">
        <v>9</v>
      </c>
      <c r="Z42" s="1" t="s">
        <v>9</v>
      </c>
      <c r="AB42" s="97"/>
      <c r="AC42" s="42" t="s">
        <v>277</v>
      </c>
      <c r="AD42" s="53" t="s">
        <v>799</v>
      </c>
      <c r="AE42" s="1" t="s">
        <v>9</v>
      </c>
      <c r="AF42" s="1" t="s">
        <v>9</v>
      </c>
    </row>
    <row r="43" spans="4:32" x14ac:dyDescent="0.25">
      <c r="D43" s="97"/>
      <c r="E43" s="42" t="s">
        <v>283</v>
      </c>
      <c r="F43" s="1" t="s">
        <v>9</v>
      </c>
      <c r="G43" s="1" t="s">
        <v>9</v>
      </c>
      <c r="H43" s="1" t="s">
        <v>9</v>
      </c>
      <c r="J43" s="97"/>
      <c r="K43" s="42" t="s">
        <v>283</v>
      </c>
      <c r="L43" s="53" t="s">
        <v>800</v>
      </c>
      <c r="M43" s="1" t="s">
        <v>9</v>
      </c>
      <c r="N43" s="53" t="s">
        <v>800</v>
      </c>
      <c r="P43" s="97"/>
      <c r="Q43" s="42" t="s">
        <v>283</v>
      </c>
      <c r="R43" s="1" t="s">
        <v>9</v>
      </c>
      <c r="S43" s="1" t="s">
        <v>9</v>
      </c>
      <c r="T43" s="53" t="s">
        <v>800</v>
      </c>
      <c r="V43" s="97"/>
      <c r="W43" s="42" t="s">
        <v>283</v>
      </c>
      <c r="X43" s="1" t="s">
        <v>9</v>
      </c>
      <c r="Y43" s="1" t="s">
        <v>9</v>
      </c>
      <c r="Z43" s="1" t="s">
        <v>9</v>
      </c>
      <c r="AB43" s="97"/>
      <c r="AC43" s="42" t="s">
        <v>283</v>
      </c>
      <c r="AD43" s="53" t="s">
        <v>800</v>
      </c>
      <c r="AE43" s="1" t="s">
        <v>9</v>
      </c>
      <c r="AF43" s="1" t="s">
        <v>9</v>
      </c>
    </row>
    <row r="44" spans="4:32" x14ac:dyDescent="0.25">
      <c r="D44" s="97"/>
      <c r="E44" s="42" t="s">
        <v>278</v>
      </c>
      <c r="F44" s="1" t="s">
        <v>9</v>
      </c>
      <c r="G44" s="1" t="s">
        <v>9</v>
      </c>
      <c r="H44" s="1" t="s">
        <v>9</v>
      </c>
      <c r="J44" s="97"/>
      <c r="K44" s="42" t="s">
        <v>278</v>
      </c>
      <c r="L44" s="53" t="s">
        <v>799</v>
      </c>
      <c r="M44" s="1" t="s">
        <v>9</v>
      </c>
      <c r="N44" s="53" t="s">
        <v>799</v>
      </c>
      <c r="P44" s="97"/>
      <c r="Q44" s="42" t="s">
        <v>278</v>
      </c>
      <c r="R44" s="1" t="s">
        <v>9</v>
      </c>
      <c r="S44" s="1" t="s">
        <v>9</v>
      </c>
      <c r="T44" s="53" t="s">
        <v>799</v>
      </c>
      <c r="V44" s="97"/>
      <c r="W44" s="42" t="s">
        <v>278</v>
      </c>
      <c r="X44" s="1" t="s">
        <v>9</v>
      </c>
      <c r="Y44" s="1" t="s">
        <v>9</v>
      </c>
      <c r="Z44" s="1" t="s">
        <v>9</v>
      </c>
      <c r="AB44" s="97"/>
      <c r="AC44" s="42" t="s">
        <v>278</v>
      </c>
      <c r="AD44" s="53" t="s">
        <v>799</v>
      </c>
      <c r="AE44" s="1" t="s">
        <v>9</v>
      </c>
      <c r="AF44" s="1" t="s">
        <v>9</v>
      </c>
    </row>
    <row r="45" spans="4:32" ht="15" customHeight="1" x14ac:dyDescent="0.25">
      <c r="D45" s="97" t="s">
        <v>3</v>
      </c>
      <c r="E45" s="42" t="s">
        <v>273</v>
      </c>
      <c r="F45" s="1" t="s">
        <v>9</v>
      </c>
      <c r="G45" s="2" t="s">
        <v>9</v>
      </c>
      <c r="H45" s="53" t="s">
        <v>11</v>
      </c>
      <c r="J45" s="97" t="s">
        <v>3</v>
      </c>
      <c r="K45" s="42" t="s">
        <v>273</v>
      </c>
      <c r="L45" s="53" t="s">
        <v>11</v>
      </c>
      <c r="M45" s="53" t="s">
        <v>11</v>
      </c>
      <c r="N45" s="53" t="s">
        <v>11</v>
      </c>
      <c r="P45" s="97" t="s">
        <v>3</v>
      </c>
      <c r="Q45" s="42" t="s">
        <v>273</v>
      </c>
      <c r="R45" s="1" t="s">
        <v>9</v>
      </c>
      <c r="S45" s="1" t="s">
        <v>9</v>
      </c>
      <c r="T45" s="1" t="s">
        <v>9</v>
      </c>
      <c r="V45" s="97" t="s">
        <v>3</v>
      </c>
      <c r="W45" s="42" t="s">
        <v>273</v>
      </c>
      <c r="X45" s="1" t="s">
        <v>9</v>
      </c>
      <c r="Y45" s="1" t="s">
        <v>9</v>
      </c>
      <c r="Z45" s="1" t="s">
        <v>9</v>
      </c>
      <c r="AB45" s="97" t="s">
        <v>3</v>
      </c>
      <c r="AC45" s="42" t="s">
        <v>273</v>
      </c>
      <c r="AD45" s="1" t="s">
        <v>9</v>
      </c>
      <c r="AE45" s="1" t="s">
        <v>9</v>
      </c>
      <c r="AF45" s="1" t="s">
        <v>9</v>
      </c>
    </row>
    <row r="46" spans="4:32" x14ac:dyDescent="0.25">
      <c r="D46" s="97"/>
      <c r="E46" s="42" t="s">
        <v>274</v>
      </c>
      <c r="F46" s="1" t="s">
        <v>9</v>
      </c>
      <c r="G46" s="2" t="s">
        <v>9</v>
      </c>
      <c r="H46" s="53" t="s">
        <v>799</v>
      </c>
      <c r="J46" s="97"/>
      <c r="K46" s="42" t="s">
        <v>274</v>
      </c>
      <c r="L46" s="53" t="s">
        <v>799</v>
      </c>
      <c r="M46" s="53" t="s">
        <v>799</v>
      </c>
      <c r="N46" s="53" t="s">
        <v>799</v>
      </c>
      <c r="P46" s="97"/>
      <c r="Q46" s="42" t="s">
        <v>274</v>
      </c>
      <c r="R46" s="1" t="s">
        <v>9</v>
      </c>
      <c r="S46" s="1" t="s">
        <v>9</v>
      </c>
      <c r="T46" s="1" t="s">
        <v>9</v>
      </c>
      <c r="V46" s="97"/>
      <c r="W46" s="42" t="s">
        <v>274</v>
      </c>
      <c r="X46" s="1" t="s">
        <v>9</v>
      </c>
      <c r="Y46" s="1" t="s">
        <v>9</v>
      </c>
      <c r="Z46" s="1" t="s">
        <v>9</v>
      </c>
      <c r="AB46" s="97"/>
      <c r="AC46" s="42" t="s">
        <v>274</v>
      </c>
      <c r="AD46" s="1" t="s">
        <v>9</v>
      </c>
      <c r="AE46" s="1" t="s">
        <v>9</v>
      </c>
      <c r="AF46" s="1" t="s">
        <v>9</v>
      </c>
    </row>
    <row r="47" spans="4:32" x14ac:dyDescent="0.25">
      <c r="D47" s="97"/>
      <c r="E47" s="42" t="s">
        <v>282</v>
      </c>
      <c r="F47" s="1" t="s">
        <v>9</v>
      </c>
      <c r="G47" s="2" t="s">
        <v>9</v>
      </c>
      <c r="H47" s="53" t="s">
        <v>800</v>
      </c>
      <c r="J47" s="97"/>
      <c r="K47" s="42" t="s">
        <v>282</v>
      </c>
      <c r="L47" s="53" t="s">
        <v>800</v>
      </c>
      <c r="M47" s="53" t="s">
        <v>800</v>
      </c>
      <c r="N47" s="53" t="s">
        <v>800</v>
      </c>
      <c r="P47" s="97"/>
      <c r="Q47" s="42" t="s">
        <v>282</v>
      </c>
      <c r="R47" s="1" t="s">
        <v>9</v>
      </c>
      <c r="S47" s="1" t="s">
        <v>9</v>
      </c>
      <c r="T47" s="1" t="s">
        <v>9</v>
      </c>
      <c r="V47" s="97"/>
      <c r="W47" s="42" t="s">
        <v>282</v>
      </c>
      <c r="X47" s="1" t="s">
        <v>9</v>
      </c>
      <c r="Y47" s="1" t="s">
        <v>9</v>
      </c>
      <c r="Z47" s="1" t="s">
        <v>9</v>
      </c>
      <c r="AB47" s="97"/>
      <c r="AC47" s="42" t="s">
        <v>282</v>
      </c>
      <c r="AD47" s="1" t="s">
        <v>9</v>
      </c>
      <c r="AE47" s="1" t="s">
        <v>9</v>
      </c>
      <c r="AF47" s="1" t="s">
        <v>9</v>
      </c>
    </row>
    <row r="48" spans="4:32" x14ac:dyDescent="0.25">
      <c r="D48" s="97"/>
      <c r="E48" s="42" t="s">
        <v>275</v>
      </c>
      <c r="F48" s="1" t="s">
        <v>9</v>
      </c>
      <c r="G48" s="2" t="s">
        <v>9</v>
      </c>
      <c r="H48" s="53" t="s">
        <v>799</v>
      </c>
      <c r="J48" s="97"/>
      <c r="K48" s="42" t="s">
        <v>275</v>
      </c>
      <c r="L48" s="53" t="s">
        <v>799</v>
      </c>
      <c r="M48" s="53" t="s">
        <v>799</v>
      </c>
      <c r="N48" s="53" t="s">
        <v>799</v>
      </c>
      <c r="P48" s="97"/>
      <c r="Q48" s="42" t="s">
        <v>275</v>
      </c>
      <c r="R48" s="1" t="s">
        <v>9</v>
      </c>
      <c r="S48" s="1" t="s">
        <v>9</v>
      </c>
      <c r="T48" s="1" t="s">
        <v>9</v>
      </c>
      <c r="V48" s="97"/>
      <c r="W48" s="42" t="s">
        <v>275</v>
      </c>
      <c r="X48" s="1" t="s">
        <v>9</v>
      </c>
      <c r="Y48" s="1" t="s">
        <v>9</v>
      </c>
      <c r="Z48" s="1" t="s">
        <v>9</v>
      </c>
      <c r="AB48" s="97"/>
      <c r="AC48" s="42" t="s">
        <v>275</v>
      </c>
      <c r="AD48" s="1" t="s">
        <v>9</v>
      </c>
      <c r="AE48" s="1" t="s">
        <v>9</v>
      </c>
      <c r="AF48" s="1" t="s">
        <v>9</v>
      </c>
    </row>
    <row r="49" spans="2:32" x14ac:dyDescent="0.25">
      <c r="D49" s="47" t="s">
        <v>288</v>
      </c>
      <c r="E49" s="43" t="s">
        <v>6</v>
      </c>
      <c r="F49" s="1" t="s">
        <v>9</v>
      </c>
      <c r="G49" s="1" t="s">
        <v>9</v>
      </c>
      <c r="H49" s="1" t="s">
        <v>9</v>
      </c>
      <c r="J49" s="47" t="s">
        <v>288</v>
      </c>
      <c r="K49" s="43" t="s">
        <v>6</v>
      </c>
      <c r="L49" s="1" t="s">
        <v>9</v>
      </c>
      <c r="M49" s="1" t="s">
        <v>9</v>
      </c>
      <c r="N49" s="53" t="s">
        <v>903</v>
      </c>
      <c r="P49" s="47" t="s">
        <v>288</v>
      </c>
      <c r="Q49" s="43" t="s">
        <v>6</v>
      </c>
      <c r="R49" s="1" t="s">
        <v>9</v>
      </c>
      <c r="S49" s="1" t="s">
        <v>9</v>
      </c>
      <c r="T49" s="53" t="s">
        <v>903</v>
      </c>
      <c r="V49" s="86" t="s">
        <v>288</v>
      </c>
      <c r="W49" s="43" t="s">
        <v>6</v>
      </c>
      <c r="X49" s="1" t="s">
        <v>9</v>
      </c>
      <c r="Y49" s="1" t="s">
        <v>9</v>
      </c>
      <c r="Z49" s="1" t="s">
        <v>9</v>
      </c>
      <c r="AB49" s="86" t="s">
        <v>288</v>
      </c>
      <c r="AC49" s="43" t="s">
        <v>6</v>
      </c>
      <c r="AD49" s="53" t="s">
        <v>903</v>
      </c>
      <c r="AE49" s="1" t="s">
        <v>9</v>
      </c>
      <c r="AF49" s="1" t="s">
        <v>9</v>
      </c>
    </row>
    <row r="50" spans="2:32" x14ac:dyDescent="0.25">
      <c r="D50" s="47" t="s">
        <v>289</v>
      </c>
      <c r="E50" s="43" t="s">
        <v>6</v>
      </c>
      <c r="F50" s="1" t="s">
        <v>9</v>
      </c>
      <c r="G50" s="1" t="s">
        <v>9</v>
      </c>
      <c r="H50" s="1" t="s">
        <v>9</v>
      </c>
      <c r="J50" s="47" t="s">
        <v>289</v>
      </c>
      <c r="K50" s="43" t="s">
        <v>6</v>
      </c>
      <c r="L50" s="1" t="s">
        <v>9</v>
      </c>
      <c r="M50" s="1" t="s">
        <v>9</v>
      </c>
      <c r="N50" s="53" t="s">
        <v>903</v>
      </c>
      <c r="P50" s="47" t="s">
        <v>289</v>
      </c>
      <c r="Q50" s="43" t="s">
        <v>6</v>
      </c>
      <c r="R50" s="1" t="s">
        <v>9</v>
      </c>
      <c r="S50" s="1" t="s">
        <v>9</v>
      </c>
      <c r="T50" s="53" t="s">
        <v>903</v>
      </c>
      <c r="V50" s="86" t="s">
        <v>289</v>
      </c>
      <c r="W50" s="43" t="s">
        <v>6</v>
      </c>
      <c r="X50" s="1" t="s">
        <v>9</v>
      </c>
      <c r="Y50" s="1" t="s">
        <v>9</v>
      </c>
      <c r="Z50" s="1" t="s">
        <v>9</v>
      </c>
      <c r="AB50" s="86" t="s">
        <v>289</v>
      </c>
      <c r="AC50" s="43" t="s">
        <v>6</v>
      </c>
      <c r="AD50" s="53" t="s">
        <v>903</v>
      </c>
      <c r="AE50" s="1" t="s">
        <v>9</v>
      </c>
      <c r="AF50" s="1" t="s">
        <v>9</v>
      </c>
    </row>
    <row r="51" spans="2:32" x14ac:dyDescent="0.25">
      <c r="D51" s="48" t="s">
        <v>5</v>
      </c>
      <c r="E51" s="43" t="s">
        <v>6</v>
      </c>
      <c r="F51" s="1" t="s">
        <v>9</v>
      </c>
      <c r="G51" s="1" t="s">
        <v>9</v>
      </c>
      <c r="H51" s="96" t="s">
        <v>11</v>
      </c>
      <c r="J51" s="48" t="s">
        <v>5</v>
      </c>
      <c r="K51" s="43" t="s">
        <v>6</v>
      </c>
      <c r="L51" s="1" t="s">
        <v>9</v>
      </c>
      <c r="M51" s="1" t="s">
        <v>9</v>
      </c>
      <c r="N51" s="53" t="s">
        <v>903</v>
      </c>
      <c r="P51" s="48" t="s">
        <v>5</v>
      </c>
      <c r="Q51" s="43" t="s">
        <v>6</v>
      </c>
      <c r="R51" s="1" t="s">
        <v>9</v>
      </c>
      <c r="S51" s="1" t="s">
        <v>9</v>
      </c>
      <c r="T51" s="53" t="s">
        <v>903</v>
      </c>
      <c r="V51" s="48" t="s">
        <v>5</v>
      </c>
      <c r="W51" s="43" t="s">
        <v>6</v>
      </c>
      <c r="X51" s="1" t="s">
        <v>9</v>
      </c>
      <c r="Y51" s="53" t="s">
        <v>11</v>
      </c>
      <c r="Z51" s="1" t="s">
        <v>9</v>
      </c>
      <c r="AB51" s="48" t="s">
        <v>5</v>
      </c>
      <c r="AC51" s="43" t="s">
        <v>6</v>
      </c>
      <c r="AD51" s="53" t="s">
        <v>903</v>
      </c>
      <c r="AE51" s="53" t="s">
        <v>11</v>
      </c>
      <c r="AF51" s="1" t="s">
        <v>9</v>
      </c>
    </row>
    <row r="52" spans="2:32" x14ac:dyDescent="0.25">
      <c r="D52" s="48" t="s">
        <v>899</v>
      </c>
      <c r="E52" s="43" t="s">
        <v>6</v>
      </c>
      <c r="F52" s="1" t="s">
        <v>9</v>
      </c>
      <c r="G52" s="1" t="s">
        <v>9</v>
      </c>
      <c r="H52" s="96" t="s">
        <v>11</v>
      </c>
      <c r="J52" s="48" t="s">
        <v>899</v>
      </c>
      <c r="K52" s="43" t="s">
        <v>6</v>
      </c>
      <c r="L52" s="1" t="s">
        <v>9</v>
      </c>
      <c r="M52" s="1" t="s">
        <v>9</v>
      </c>
      <c r="N52" s="96" t="s">
        <v>11</v>
      </c>
      <c r="P52" s="48" t="s">
        <v>899</v>
      </c>
      <c r="Q52" s="43" t="s">
        <v>6</v>
      </c>
      <c r="R52" s="1" t="s">
        <v>9</v>
      </c>
      <c r="S52" s="1" t="s">
        <v>9</v>
      </c>
      <c r="T52" s="1" t="s">
        <v>9</v>
      </c>
      <c r="V52" s="48" t="s">
        <v>899</v>
      </c>
      <c r="W52" s="43" t="s">
        <v>6</v>
      </c>
      <c r="X52" s="1" t="s">
        <v>9</v>
      </c>
      <c r="Y52" s="53" t="s">
        <v>11</v>
      </c>
      <c r="Z52" s="1" t="s">
        <v>9</v>
      </c>
      <c r="AB52" s="48" t="s">
        <v>899</v>
      </c>
      <c r="AC52" s="43" t="s">
        <v>6</v>
      </c>
      <c r="AD52" s="1" t="s">
        <v>9</v>
      </c>
      <c r="AE52" s="53" t="s">
        <v>11</v>
      </c>
      <c r="AF52" s="1" t="s">
        <v>9</v>
      </c>
    </row>
    <row r="53" spans="2:32" x14ac:dyDescent="0.25">
      <c r="D53" s="48" t="s">
        <v>312</v>
      </c>
      <c r="E53" s="43" t="s">
        <v>7</v>
      </c>
      <c r="F53" s="1" t="s">
        <v>9</v>
      </c>
      <c r="G53" s="1" t="s">
        <v>9</v>
      </c>
      <c r="H53" s="1" t="s">
        <v>9</v>
      </c>
      <c r="J53" s="48" t="s">
        <v>312</v>
      </c>
      <c r="K53" s="43" t="s">
        <v>7</v>
      </c>
      <c r="L53" s="1" t="s">
        <v>9</v>
      </c>
      <c r="M53" s="1" t="s">
        <v>9</v>
      </c>
      <c r="N53" s="53" t="s">
        <v>11</v>
      </c>
      <c r="P53" s="48" t="s">
        <v>312</v>
      </c>
      <c r="Q53" s="43" t="s">
        <v>7</v>
      </c>
      <c r="R53" s="1" t="s">
        <v>9</v>
      </c>
      <c r="S53" s="1" t="s">
        <v>9</v>
      </c>
      <c r="T53" s="1" t="s">
        <v>9</v>
      </c>
      <c r="V53" s="48" t="s">
        <v>312</v>
      </c>
      <c r="W53" s="43" t="s">
        <v>7</v>
      </c>
      <c r="X53" s="1" t="s">
        <v>9</v>
      </c>
      <c r="Y53" s="1" t="s">
        <v>9</v>
      </c>
      <c r="Z53" s="1" t="s">
        <v>9</v>
      </c>
      <c r="AB53" s="48" t="s">
        <v>312</v>
      </c>
      <c r="AC53" s="43" t="s">
        <v>7</v>
      </c>
      <c r="AD53" s="1" t="s">
        <v>9</v>
      </c>
      <c r="AE53" s="1" t="s">
        <v>9</v>
      </c>
      <c r="AF53" s="1" t="s">
        <v>9</v>
      </c>
    </row>
    <row r="54" spans="2:32" ht="15" customHeight="1" x14ac:dyDescent="0.25">
      <c r="D54" s="97" t="s">
        <v>300</v>
      </c>
      <c r="E54" s="43" t="s">
        <v>273</v>
      </c>
      <c r="F54" s="1" t="s">
        <v>9</v>
      </c>
      <c r="G54" s="1" t="s">
        <v>9</v>
      </c>
      <c r="H54" s="96" t="s">
        <v>800</v>
      </c>
      <c r="J54" s="97" t="s">
        <v>300</v>
      </c>
      <c r="K54" s="43" t="s">
        <v>273</v>
      </c>
      <c r="L54" s="1" t="s">
        <v>9</v>
      </c>
      <c r="M54" s="1" t="s">
        <v>9</v>
      </c>
      <c r="N54" s="96" t="s">
        <v>800</v>
      </c>
      <c r="P54" s="97" t="s">
        <v>300</v>
      </c>
      <c r="Q54" s="43" t="s">
        <v>273</v>
      </c>
      <c r="R54" s="1" t="s">
        <v>9</v>
      </c>
      <c r="S54" s="1" t="s">
        <v>9</v>
      </c>
      <c r="T54" s="53" t="s">
        <v>800</v>
      </c>
      <c r="V54" s="97" t="s">
        <v>300</v>
      </c>
      <c r="W54" s="43" t="s">
        <v>273</v>
      </c>
      <c r="X54" s="1" t="s">
        <v>9</v>
      </c>
      <c r="Y54" s="53" t="s">
        <v>800</v>
      </c>
      <c r="Z54" s="1" t="s">
        <v>9</v>
      </c>
      <c r="AB54" s="97" t="s">
        <v>300</v>
      </c>
      <c r="AC54" s="43" t="s">
        <v>273</v>
      </c>
      <c r="AD54" s="53" t="s">
        <v>800</v>
      </c>
      <c r="AE54" s="53" t="s">
        <v>800</v>
      </c>
      <c r="AF54" s="1" t="s">
        <v>9</v>
      </c>
    </row>
    <row r="55" spans="2:32" x14ac:dyDescent="0.25">
      <c r="D55" s="97"/>
      <c r="E55" s="43" t="s">
        <v>282</v>
      </c>
      <c r="F55" s="1" t="s">
        <v>9</v>
      </c>
      <c r="G55" s="1" t="s">
        <v>9</v>
      </c>
      <c r="H55" s="96" t="s">
        <v>800</v>
      </c>
      <c r="J55" s="97"/>
      <c r="K55" s="43" t="s">
        <v>282</v>
      </c>
      <c r="L55" s="1" t="s">
        <v>9</v>
      </c>
      <c r="M55" s="1" t="s">
        <v>9</v>
      </c>
      <c r="N55" s="96" t="s">
        <v>800</v>
      </c>
      <c r="P55" s="97"/>
      <c r="Q55" s="43" t="s">
        <v>282</v>
      </c>
      <c r="R55" s="1" t="s">
        <v>9</v>
      </c>
      <c r="S55" s="1" t="s">
        <v>9</v>
      </c>
      <c r="T55" s="53" t="s">
        <v>800</v>
      </c>
      <c r="V55" s="97"/>
      <c r="W55" s="43" t="s">
        <v>282</v>
      </c>
      <c r="X55" s="1" t="s">
        <v>9</v>
      </c>
      <c r="Y55" s="53" t="s">
        <v>800</v>
      </c>
      <c r="Z55" s="1" t="s">
        <v>9</v>
      </c>
      <c r="AB55" s="97"/>
      <c r="AC55" s="43" t="s">
        <v>282</v>
      </c>
      <c r="AD55" s="53" t="s">
        <v>800</v>
      </c>
      <c r="AE55" s="53" t="s">
        <v>800</v>
      </c>
      <c r="AF55" s="1" t="s">
        <v>9</v>
      </c>
    </row>
    <row r="56" spans="2:32" x14ac:dyDescent="0.25">
      <c r="D56" s="97"/>
      <c r="E56" s="43" t="s">
        <v>302</v>
      </c>
      <c r="F56" s="1" t="s">
        <v>9</v>
      </c>
      <c r="G56" s="1" t="s">
        <v>9</v>
      </c>
      <c r="H56" s="96" t="s">
        <v>800</v>
      </c>
      <c r="J56" s="97"/>
      <c r="K56" s="43" t="s">
        <v>302</v>
      </c>
      <c r="L56" s="1" t="s">
        <v>9</v>
      </c>
      <c r="M56" s="1" t="s">
        <v>9</v>
      </c>
      <c r="N56" s="96" t="s">
        <v>800</v>
      </c>
      <c r="P56" s="97"/>
      <c r="Q56" s="43" t="s">
        <v>302</v>
      </c>
      <c r="R56" s="1" t="s">
        <v>9</v>
      </c>
      <c r="S56" s="1" t="s">
        <v>9</v>
      </c>
      <c r="T56" s="53" t="s">
        <v>800</v>
      </c>
      <c r="V56" s="97"/>
      <c r="W56" s="43" t="s">
        <v>302</v>
      </c>
      <c r="X56" s="1" t="s">
        <v>9</v>
      </c>
      <c r="Y56" s="53" t="s">
        <v>800</v>
      </c>
      <c r="Z56" s="1" t="s">
        <v>9</v>
      </c>
      <c r="AB56" s="97"/>
      <c r="AC56" s="43" t="s">
        <v>302</v>
      </c>
      <c r="AD56" s="53" t="s">
        <v>800</v>
      </c>
      <c r="AE56" s="53" t="s">
        <v>800</v>
      </c>
      <c r="AF56" s="1" t="s">
        <v>9</v>
      </c>
    </row>
    <row r="57" spans="2:32" x14ac:dyDescent="0.25">
      <c r="D57" s="97"/>
      <c r="E57" s="43" t="s">
        <v>285</v>
      </c>
      <c r="F57" s="1" t="s">
        <v>9</v>
      </c>
      <c r="G57" s="1" t="s">
        <v>9</v>
      </c>
      <c r="H57" s="96" t="s">
        <v>800</v>
      </c>
      <c r="J57" s="97"/>
      <c r="K57" s="43" t="s">
        <v>285</v>
      </c>
      <c r="L57" s="1" t="s">
        <v>9</v>
      </c>
      <c r="M57" s="1" t="s">
        <v>9</v>
      </c>
      <c r="N57" s="96" t="s">
        <v>800</v>
      </c>
      <c r="P57" s="97"/>
      <c r="Q57" s="43" t="s">
        <v>285</v>
      </c>
      <c r="R57" s="1" t="s">
        <v>9</v>
      </c>
      <c r="S57" s="1" t="s">
        <v>9</v>
      </c>
      <c r="T57" s="53" t="s">
        <v>800</v>
      </c>
      <c r="V57" s="97"/>
      <c r="W57" s="43" t="s">
        <v>285</v>
      </c>
      <c r="X57" s="1" t="s">
        <v>9</v>
      </c>
      <c r="Y57" s="53" t="s">
        <v>800</v>
      </c>
      <c r="Z57" s="1" t="s">
        <v>9</v>
      </c>
      <c r="AB57" s="97"/>
      <c r="AC57" s="43" t="s">
        <v>285</v>
      </c>
      <c r="AD57" s="53" t="s">
        <v>800</v>
      </c>
      <c r="AE57" s="53" t="s">
        <v>800</v>
      </c>
      <c r="AF57" s="1" t="s">
        <v>9</v>
      </c>
    </row>
    <row r="58" spans="2:32" x14ac:dyDescent="0.25">
      <c r="D58" s="97"/>
      <c r="E58" s="43" t="s">
        <v>276</v>
      </c>
      <c r="F58" s="1" t="s">
        <v>9</v>
      </c>
      <c r="G58" s="1" t="s">
        <v>9</v>
      </c>
      <c r="H58" s="96" t="s">
        <v>800</v>
      </c>
      <c r="J58" s="97"/>
      <c r="K58" s="43" t="s">
        <v>276</v>
      </c>
      <c r="L58" s="1" t="s">
        <v>9</v>
      </c>
      <c r="M58" s="1" t="s">
        <v>9</v>
      </c>
      <c r="N58" s="96" t="s">
        <v>800</v>
      </c>
      <c r="P58" s="97"/>
      <c r="Q58" s="43" t="s">
        <v>276</v>
      </c>
      <c r="R58" s="1" t="s">
        <v>9</v>
      </c>
      <c r="S58" s="1" t="s">
        <v>9</v>
      </c>
      <c r="T58" s="53" t="s">
        <v>800</v>
      </c>
      <c r="V58" s="97"/>
      <c r="W58" s="43" t="s">
        <v>276</v>
      </c>
      <c r="X58" s="1" t="s">
        <v>9</v>
      </c>
      <c r="Y58" s="53" t="s">
        <v>800</v>
      </c>
      <c r="Z58" s="1" t="s">
        <v>9</v>
      </c>
      <c r="AB58" s="97"/>
      <c r="AC58" s="43" t="s">
        <v>276</v>
      </c>
      <c r="AD58" s="53" t="s">
        <v>800</v>
      </c>
      <c r="AE58" s="53" t="s">
        <v>800</v>
      </c>
      <c r="AF58" s="1" t="s">
        <v>9</v>
      </c>
    </row>
    <row r="59" spans="2:32" x14ac:dyDescent="0.25">
      <c r="D59" s="97"/>
      <c r="E59" s="43" t="s">
        <v>283</v>
      </c>
      <c r="F59" s="1" t="s">
        <v>9</v>
      </c>
      <c r="G59" s="1" t="s">
        <v>9</v>
      </c>
      <c r="H59" s="96" t="s">
        <v>800</v>
      </c>
      <c r="J59" s="97"/>
      <c r="K59" s="43" t="s">
        <v>283</v>
      </c>
      <c r="L59" s="1" t="s">
        <v>9</v>
      </c>
      <c r="M59" s="1" t="s">
        <v>9</v>
      </c>
      <c r="N59" s="96" t="s">
        <v>800</v>
      </c>
      <c r="P59" s="97"/>
      <c r="Q59" s="43" t="s">
        <v>283</v>
      </c>
      <c r="R59" s="1" t="s">
        <v>9</v>
      </c>
      <c r="S59" s="1" t="s">
        <v>9</v>
      </c>
      <c r="T59" s="53" t="s">
        <v>800</v>
      </c>
      <c r="V59" s="97"/>
      <c r="W59" s="43" t="s">
        <v>283</v>
      </c>
      <c r="X59" s="1" t="s">
        <v>9</v>
      </c>
      <c r="Y59" s="53" t="s">
        <v>800</v>
      </c>
      <c r="Z59" s="1" t="s">
        <v>9</v>
      </c>
      <c r="AB59" s="97"/>
      <c r="AC59" s="43" t="s">
        <v>283</v>
      </c>
      <c r="AD59" s="53" t="s">
        <v>800</v>
      </c>
      <c r="AE59" s="53" t="s">
        <v>800</v>
      </c>
      <c r="AF59" s="1" t="s">
        <v>9</v>
      </c>
    </row>
    <row r="60" spans="2:32" ht="15" customHeight="1" x14ac:dyDescent="0.25">
      <c r="D60" s="97" t="s">
        <v>301</v>
      </c>
      <c r="E60" s="43" t="s">
        <v>273</v>
      </c>
      <c r="F60" s="1" t="s">
        <v>9</v>
      </c>
      <c r="G60" s="1" t="s">
        <v>9</v>
      </c>
      <c r="H60" s="96" t="s">
        <v>800</v>
      </c>
      <c r="J60" s="97" t="s">
        <v>301</v>
      </c>
      <c r="K60" s="43" t="s">
        <v>273</v>
      </c>
      <c r="L60" s="1" t="s">
        <v>9</v>
      </c>
      <c r="M60" s="1" t="s">
        <v>9</v>
      </c>
      <c r="N60" s="96" t="s">
        <v>800</v>
      </c>
      <c r="P60" s="97" t="s">
        <v>301</v>
      </c>
      <c r="Q60" s="43" t="s">
        <v>273</v>
      </c>
      <c r="R60" s="1" t="s">
        <v>9</v>
      </c>
      <c r="S60" s="1" t="s">
        <v>9</v>
      </c>
      <c r="T60" s="53" t="s">
        <v>800</v>
      </c>
      <c r="V60" s="97" t="s">
        <v>301</v>
      </c>
      <c r="W60" s="43" t="s">
        <v>273</v>
      </c>
      <c r="X60" s="1" t="s">
        <v>9</v>
      </c>
      <c r="Y60" s="53" t="s">
        <v>800</v>
      </c>
      <c r="Z60" s="1" t="s">
        <v>9</v>
      </c>
      <c r="AB60" s="97" t="s">
        <v>301</v>
      </c>
      <c r="AC60" s="43" t="s">
        <v>273</v>
      </c>
      <c r="AD60" s="53" t="s">
        <v>800</v>
      </c>
      <c r="AE60" s="53" t="s">
        <v>800</v>
      </c>
      <c r="AF60" s="1" t="s">
        <v>9</v>
      </c>
    </row>
    <row r="61" spans="2:32" x14ac:dyDescent="0.25">
      <c r="D61" s="97"/>
      <c r="E61" s="43" t="s">
        <v>282</v>
      </c>
      <c r="F61" s="1" t="s">
        <v>9</v>
      </c>
      <c r="G61" s="1" t="s">
        <v>9</v>
      </c>
      <c r="H61" s="96" t="s">
        <v>800</v>
      </c>
      <c r="J61" s="97"/>
      <c r="K61" s="43" t="s">
        <v>282</v>
      </c>
      <c r="L61" s="1" t="s">
        <v>9</v>
      </c>
      <c r="M61" s="1" t="s">
        <v>9</v>
      </c>
      <c r="N61" s="96" t="s">
        <v>800</v>
      </c>
      <c r="P61" s="97"/>
      <c r="Q61" s="43" t="s">
        <v>282</v>
      </c>
      <c r="R61" s="1" t="s">
        <v>9</v>
      </c>
      <c r="S61" s="1" t="s">
        <v>9</v>
      </c>
      <c r="T61" s="53" t="s">
        <v>800</v>
      </c>
      <c r="V61" s="97"/>
      <c r="W61" s="43" t="s">
        <v>282</v>
      </c>
      <c r="X61" s="1" t="s">
        <v>9</v>
      </c>
      <c r="Y61" s="53" t="s">
        <v>800</v>
      </c>
      <c r="Z61" s="1" t="s">
        <v>9</v>
      </c>
      <c r="AB61" s="97"/>
      <c r="AC61" s="43" t="s">
        <v>282</v>
      </c>
      <c r="AD61" s="53" t="s">
        <v>800</v>
      </c>
      <c r="AE61" s="53" t="s">
        <v>800</v>
      </c>
      <c r="AF61" s="1" t="s">
        <v>9</v>
      </c>
    </row>
    <row r="64" spans="2:32" s="55" customFormat="1" ht="15.75" x14ac:dyDescent="0.25">
      <c r="B64" s="54" t="s">
        <v>229</v>
      </c>
      <c r="D64" s="56"/>
    </row>
    <row r="66" spans="3:32" ht="16.5" x14ac:dyDescent="0.3">
      <c r="C66" s="57" t="s">
        <v>914</v>
      </c>
      <c r="D66" s="58"/>
      <c r="E66" s="58"/>
      <c r="F66" s="58"/>
      <c r="G66" s="58"/>
      <c r="H66" s="58"/>
      <c r="J66" s="57" t="s">
        <v>263</v>
      </c>
      <c r="K66" s="58"/>
      <c r="L66" s="58"/>
      <c r="M66" s="58"/>
      <c r="N66" s="58"/>
      <c r="P66" s="57" t="s">
        <v>264</v>
      </c>
      <c r="Q66" s="58"/>
      <c r="R66" s="58"/>
      <c r="S66" s="58"/>
      <c r="T66" s="58"/>
      <c r="V66" s="57" t="s">
        <v>902</v>
      </c>
      <c r="W66" s="58"/>
      <c r="X66" s="58"/>
      <c r="Y66" s="58"/>
      <c r="Z66" s="58"/>
      <c r="AB66" s="57" t="s">
        <v>902</v>
      </c>
      <c r="AC66" s="58"/>
      <c r="AD66" s="58"/>
      <c r="AE66" s="58"/>
      <c r="AF66" s="58"/>
    </row>
    <row r="67" spans="3:32" ht="16.5" x14ac:dyDescent="0.3">
      <c r="C67" s="57" t="s">
        <v>915</v>
      </c>
      <c r="D67" s="58"/>
      <c r="E67" s="58"/>
      <c r="F67" s="58"/>
      <c r="G67" s="58"/>
      <c r="H67" s="58"/>
      <c r="V67" t="s">
        <v>905</v>
      </c>
      <c r="AB67" t="s">
        <v>912</v>
      </c>
    </row>
    <row r="68" spans="3:32" ht="15.75" x14ac:dyDescent="0.25">
      <c r="C68" s="49"/>
    </row>
    <row r="69" spans="3:32" ht="15.75" x14ac:dyDescent="0.25">
      <c r="C69" s="49"/>
      <c r="D69" s="86" t="s">
        <v>916</v>
      </c>
      <c r="E69" s="42" t="s">
        <v>271</v>
      </c>
      <c r="F69" s="53" t="s">
        <v>11</v>
      </c>
      <c r="J69" s="86" t="s">
        <v>916</v>
      </c>
      <c r="K69" s="42" t="s">
        <v>271</v>
      </c>
      <c r="L69" s="53" t="s">
        <v>11</v>
      </c>
      <c r="P69" s="86" t="s">
        <v>916</v>
      </c>
      <c r="Q69" s="42" t="s">
        <v>271</v>
      </c>
      <c r="R69" s="53" t="s">
        <v>11</v>
      </c>
      <c r="V69" s="86" t="s">
        <v>916</v>
      </c>
      <c r="W69" s="42" t="s">
        <v>271</v>
      </c>
      <c r="X69" s="53" t="s">
        <v>11</v>
      </c>
    </row>
    <row r="70" spans="3:32" x14ac:dyDescent="0.25">
      <c r="D70" s="47" t="s">
        <v>291</v>
      </c>
      <c r="E70" s="42" t="s">
        <v>292</v>
      </c>
      <c r="F70" s="53" t="s">
        <v>799</v>
      </c>
      <c r="J70" s="47" t="s">
        <v>291</v>
      </c>
      <c r="K70" s="42" t="s">
        <v>292</v>
      </c>
      <c r="L70" s="53" t="s">
        <v>799</v>
      </c>
      <c r="P70" s="47" t="s">
        <v>291</v>
      </c>
      <c r="Q70" s="42" t="s">
        <v>292</v>
      </c>
      <c r="R70" s="53" t="s">
        <v>11</v>
      </c>
      <c r="V70" s="86" t="s">
        <v>291</v>
      </c>
      <c r="W70" s="42" t="s">
        <v>292</v>
      </c>
      <c r="X70" s="53" t="s">
        <v>11</v>
      </c>
      <c r="AB70" s="87" t="s">
        <v>913</v>
      </c>
    </row>
    <row r="71" spans="3:32" x14ac:dyDescent="0.25">
      <c r="D71" s="47" t="s">
        <v>293</v>
      </c>
      <c r="E71" s="42" t="s">
        <v>271</v>
      </c>
      <c r="F71" s="53" t="s">
        <v>800</v>
      </c>
      <c r="J71" s="47" t="s">
        <v>293</v>
      </c>
      <c r="K71" s="42" t="s">
        <v>271</v>
      </c>
      <c r="L71" s="53" t="s">
        <v>800</v>
      </c>
      <c r="P71" s="47" t="s">
        <v>293</v>
      </c>
      <c r="Q71" s="42" t="s">
        <v>271</v>
      </c>
      <c r="R71" s="53" t="s">
        <v>11</v>
      </c>
      <c r="V71" s="86" t="s">
        <v>293</v>
      </c>
      <c r="W71" s="42" t="s">
        <v>271</v>
      </c>
      <c r="X71" s="53" t="s">
        <v>11</v>
      </c>
    </row>
    <row r="72" spans="3:32" x14ac:dyDescent="0.25">
      <c r="D72" s="97" t="s">
        <v>295</v>
      </c>
      <c r="E72" s="42" t="s">
        <v>294</v>
      </c>
      <c r="F72" s="53" t="s">
        <v>799</v>
      </c>
      <c r="J72" s="97" t="s">
        <v>295</v>
      </c>
      <c r="K72" s="42" t="s">
        <v>294</v>
      </c>
      <c r="L72" s="53" t="s">
        <v>799</v>
      </c>
      <c r="P72" s="97" t="s">
        <v>295</v>
      </c>
      <c r="Q72" s="42" t="s">
        <v>294</v>
      </c>
      <c r="R72" s="53" t="s">
        <v>799</v>
      </c>
      <c r="V72" s="97" t="s">
        <v>295</v>
      </c>
      <c r="W72" s="42" t="s">
        <v>294</v>
      </c>
      <c r="X72" s="53" t="s">
        <v>799</v>
      </c>
    </row>
    <row r="73" spans="3:32" x14ac:dyDescent="0.25">
      <c r="D73" s="97"/>
      <c r="E73" s="42" t="s">
        <v>296</v>
      </c>
      <c r="F73" s="53" t="s">
        <v>800</v>
      </c>
      <c r="J73" s="97"/>
      <c r="K73" s="42" t="s">
        <v>296</v>
      </c>
      <c r="L73" s="53" t="s">
        <v>800</v>
      </c>
      <c r="P73" s="97"/>
      <c r="Q73" s="42" t="s">
        <v>296</v>
      </c>
      <c r="R73" s="53" t="s">
        <v>800</v>
      </c>
      <c r="V73" s="97"/>
      <c r="W73" s="42" t="s">
        <v>296</v>
      </c>
      <c r="X73" s="53" t="s">
        <v>800</v>
      </c>
    </row>
    <row r="74" spans="3:32" x14ac:dyDescent="0.25">
      <c r="D74" s="97" t="s">
        <v>297</v>
      </c>
      <c r="E74" s="42" t="s">
        <v>273</v>
      </c>
      <c r="F74" s="53" t="s">
        <v>11</v>
      </c>
      <c r="J74" s="97" t="s">
        <v>297</v>
      </c>
      <c r="K74" s="42" t="s">
        <v>273</v>
      </c>
      <c r="L74" s="53" t="s">
        <v>11</v>
      </c>
      <c r="P74" s="97" t="s">
        <v>297</v>
      </c>
      <c r="Q74" s="42" t="s">
        <v>273</v>
      </c>
      <c r="R74" s="53" t="s">
        <v>11</v>
      </c>
      <c r="V74" s="97" t="s">
        <v>297</v>
      </c>
      <c r="W74" s="42" t="s">
        <v>273</v>
      </c>
      <c r="X74" s="53" t="s">
        <v>11</v>
      </c>
    </row>
    <row r="75" spans="3:32" x14ac:dyDescent="0.25">
      <c r="D75" s="97"/>
      <c r="E75" s="42" t="s">
        <v>275</v>
      </c>
      <c r="F75" s="53" t="s">
        <v>799</v>
      </c>
      <c r="J75" s="97"/>
      <c r="K75" s="42" t="s">
        <v>275</v>
      </c>
      <c r="L75" s="53" t="s">
        <v>799</v>
      </c>
      <c r="P75" s="97"/>
      <c r="Q75" s="42" t="s">
        <v>275</v>
      </c>
      <c r="R75" s="53" t="s">
        <v>799</v>
      </c>
      <c r="V75" s="97"/>
      <c r="W75" s="42" t="s">
        <v>275</v>
      </c>
      <c r="X75" s="53" t="s">
        <v>799</v>
      </c>
    </row>
    <row r="76" spans="3:32" x14ac:dyDescent="0.25">
      <c r="D76" s="97" t="s">
        <v>269</v>
      </c>
      <c r="E76" s="42" t="s">
        <v>273</v>
      </c>
      <c r="F76" s="53" t="s">
        <v>11</v>
      </c>
      <c r="J76" s="97" t="s">
        <v>269</v>
      </c>
      <c r="K76" s="42" t="s">
        <v>273</v>
      </c>
      <c r="L76" s="53" t="s">
        <v>11</v>
      </c>
      <c r="P76" s="97" t="s">
        <v>269</v>
      </c>
      <c r="Q76" s="42" t="s">
        <v>273</v>
      </c>
      <c r="R76" s="1" t="s">
        <v>9</v>
      </c>
      <c r="V76" s="97" t="s">
        <v>269</v>
      </c>
      <c r="W76" s="42" t="s">
        <v>273</v>
      </c>
      <c r="X76" s="53" t="s">
        <v>11</v>
      </c>
    </row>
    <row r="77" spans="3:32" x14ac:dyDescent="0.25">
      <c r="D77" s="97"/>
      <c r="E77" s="42" t="s">
        <v>274</v>
      </c>
      <c r="F77" s="53" t="s">
        <v>799</v>
      </c>
      <c r="J77" s="97"/>
      <c r="K77" s="42" t="s">
        <v>274</v>
      </c>
      <c r="L77" s="53" t="s">
        <v>799</v>
      </c>
      <c r="P77" s="97"/>
      <c r="Q77" s="42" t="s">
        <v>274</v>
      </c>
      <c r="R77" s="1" t="s">
        <v>9</v>
      </c>
      <c r="V77" s="97"/>
      <c r="W77" s="42" t="s">
        <v>274</v>
      </c>
      <c r="X77" s="53" t="s">
        <v>11</v>
      </c>
    </row>
    <row r="78" spans="3:32" x14ac:dyDescent="0.25">
      <c r="D78" s="97"/>
      <c r="E78" s="42" t="s">
        <v>282</v>
      </c>
      <c r="F78" s="53" t="s">
        <v>800</v>
      </c>
      <c r="J78" s="97"/>
      <c r="K78" s="42" t="s">
        <v>282</v>
      </c>
      <c r="L78" s="53" t="s">
        <v>800</v>
      </c>
      <c r="P78" s="97"/>
      <c r="Q78" s="42" t="s">
        <v>282</v>
      </c>
      <c r="R78" s="1" t="s">
        <v>9</v>
      </c>
      <c r="V78" s="97"/>
      <c r="W78" s="42" t="s">
        <v>282</v>
      </c>
      <c r="X78" s="53" t="s">
        <v>799</v>
      </c>
    </row>
    <row r="79" spans="3:32" x14ac:dyDescent="0.25">
      <c r="D79" s="97"/>
      <c r="E79" s="42" t="s">
        <v>275</v>
      </c>
      <c r="F79" s="53" t="s">
        <v>799</v>
      </c>
      <c r="J79" s="97"/>
      <c r="K79" s="42" t="s">
        <v>275</v>
      </c>
      <c r="L79" s="53" t="s">
        <v>799</v>
      </c>
      <c r="P79" s="97"/>
      <c r="Q79" s="42" t="s">
        <v>275</v>
      </c>
      <c r="R79" s="1" t="s">
        <v>9</v>
      </c>
      <c r="V79" s="97"/>
      <c r="W79" s="42" t="s">
        <v>275</v>
      </c>
      <c r="X79" s="53" t="s">
        <v>800</v>
      </c>
    </row>
    <row r="80" spans="3:32" x14ac:dyDescent="0.25">
      <c r="D80" s="97"/>
      <c r="E80" s="42" t="s">
        <v>302</v>
      </c>
      <c r="F80" s="53" t="s">
        <v>11</v>
      </c>
      <c r="J80" s="97"/>
      <c r="K80" s="42" t="s">
        <v>302</v>
      </c>
      <c r="L80" s="53" t="s">
        <v>11</v>
      </c>
      <c r="P80" s="97"/>
      <c r="Q80" s="42" t="s">
        <v>302</v>
      </c>
      <c r="R80" s="1" t="s">
        <v>9</v>
      </c>
      <c r="V80" s="97"/>
      <c r="W80" s="42" t="s">
        <v>302</v>
      </c>
      <c r="X80" s="53" t="s">
        <v>799</v>
      </c>
    </row>
    <row r="81" spans="4:24" x14ac:dyDescent="0.25">
      <c r="D81" s="97"/>
      <c r="E81" s="42" t="s">
        <v>284</v>
      </c>
      <c r="F81" s="53" t="s">
        <v>799</v>
      </c>
      <c r="J81" s="97"/>
      <c r="K81" s="42" t="s">
        <v>284</v>
      </c>
      <c r="L81" s="53" t="s">
        <v>799</v>
      </c>
      <c r="P81" s="97"/>
      <c r="Q81" s="42" t="s">
        <v>284</v>
      </c>
      <c r="R81" s="1" t="s">
        <v>9</v>
      </c>
      <c r="V81" s="97"/>
      <c r="W81" s="42" t="s">
        <v>284</v>
      </c>
      <c r="X81" s="53" t="s">
        <v>11</v>
      </c>
    </row>
    <row r="82" spans="4:24" x14ac:dyDescent="0.25">
      <c r="D82" s="97"/>
      <c r="E82" s="42" t="s">
        <v>285</v>
      </c>
      <c r="F82" s="53" t="s">
        <v>800</v>
      </c>
      <c r="J82" s="97"/>
      <c r="K82" s="42" t="s">
        <v>285</v>
      </c>
      <c r="L82" s="53" t="s">
        <v>800</v>
      </c>
      <c r="P82" s="97"/>
      <c r="Q82" s="42" t="s">
        <v>285</v>
      </c>
      <c r="R82" s="1" t="s">
        <v>9</v>
      </c>
      <c r="V82" s="97"/>
      <c r="W82" s="42" t="s">
        <v>285</v>
      </c>
      <c r="X82" s="53" t="s">
        <v>799</v>
      </c>
    </row>
    <row r="83" spans="4:24" x14ac:dyDescent="0.25">
      <c r="D83" s="97"/>
      <c r="E83" s="42" t="s">
        <v>286</v>
      </c>
      <c r="F83" s="53" t="s">
        <v>799</v>
      </c>
      <c r="J83" s="97"/>
      <c r="K83" s="42" t="s">
        <v>286</v>
      </c>
      <c r="L83" s="53" t="s">
        <v>799</v>
      </c>
      <c r="P83" s="97"/>
      <c r="Q83" s="42" t="s">
        <v>286</v>
      </c>
      <c r="R83" s="1" t="s">
        <v>9</v>
      </c>
      <c r="V83" s="97"/>
      <c r="W83" s="42" t="s">
        <v>286</v>
      </c>
      <c r="X83" s="53" t="s">
        <v>800</v>
      </c>
    </row>
    <row r="84" spans="4:24" x14ac:dyDescent="0.25">
      <c r="D84" s="97"/>
      <c r="E84" s="42" t="s">
        <v>276</v>
      </c>
      <c r="F84" s="53" t="s">
        <v>11</v>
      </c>
      <c r="J84" s="97"/>
      <c r="K84" s="42" t="s">
        <v>276</v>
      </c>
      <c r="L84" s="53" t="s">
        <v>11</v>
      </c>
      <c r="P84" s="97"/>
      <c r="Q84" s="42" t="s">
        <v>276</v>
      </c>
      <c r="R84" s="1" t="s">
        <v>9</v>
      </c>
      <c r="V84" s="97"/>
      <c r="W84" s="42" t="s">
        <v>276</v>
      </c>
      <c r="X84" s="53" t="s">
        <v>799</v>
      </c>
    </row>
    <row r="85" spans="4:24" x14ac:dyDescent="0.25">
      <c r="D85" s="97"/>
      <c r="E85" s="42" t="s">
        <v>277</v>
      </c>
      <c r="F85" s="53" t="s">
        <v>799</v>
      </c>
      <c r="J85" s="97"/>
      <c r="K85" s="42" t="s">
        <v>277</v>
      </c>
      <c r="L85" s="53" t="s">
        <v>799</v>
      </c>
      <c r="P85" s="97"/>
      <c r="Q85" s="42" t="s">
        <v>277</v>
      </c>
      <c r="R85" s="1" t="s">
        <v>9</v>
      </c>
      <c r="V85" s="97"/>
      <c r="W85" s="42" t="s">
        <v>277</v>
      </c>
      <c r="X85" s="53" t="s">
        <v>11</v>
      </c>
    </row>
    <row r="86" spans="4:24" x14ac:dyDescent="0.25">
      <c r="D86" s="97"/>
      <c r="E86" s="42" t="s">
        <v>283</v>
      </c>
      <c r="F86" s="53" t="s">
        <v>800</v>
      </c>
      <c r="J86" s="97"/>
      <c r="K86" s="42" t="s">
        <v>283</v>
      </c>
      <c r="L86" s="53" t="s">
        <v>800</v>
      </c>
      <c r="P86" s="97"/>
      <c r="Q86" s="42" t="s">
        <v>283</v>
      </c>
      <c r="R86" s="1" t="s">
        <v>9</v>
      </c>
      <c r="V86" s="97"/>
      <c r="W86" s="42" t="s">
        <v>283</v>
      </c>
      <c r="X86" s="53" t="s">
        <v>799</v>
      </c>
    </row>
    <row r="87" spans="4:24" x14ac:dyDescent="0.25">
      <c r="D87" s="97"/>
      <c r="E87" s="42" t="s">
        <v>278</v>
      </c>
      <c r="F87" s="53" t="s">
        <v>799</v>
      </c>
      <c r="J87" s="97"/>
      <c r="K87" s="42" t="s">
        <v>278</v>
      </c>
      <c r="L87" s="53" t="s">
        <v>799</v>
      </c>
      <c r="P87" s="97"/>
      <c r="Q87" s="42" t="s">
        <v>278</v>
      </c>
      <c r="R87" s="1" t="s">
        <v>9</v>
      </c>
      <c r="V87" s="97"/>
      <c r="W87" s="42" t="s">
        <v>278</v>
      </c>
      <c r="X87" s="53" t="s">
        <v>800</v>
      </c>
    </row>
    <row r="88" spans="4:24" x14ac:dyDescent="0.25">
      <c r="D88" s="97" t="s">
        <v>298</v>
      </c>
      <c r="E88" s="42" t="s">
        <v>280</v>
      </c>
      <c r="F88" s="1" t="s">
        <v>9</v>
      </c>
      <c r="J88" s="97" t="s">
        <v>298</v>
      </c>
      <c r="K88" s="42" t="s">
        <v>280</v>
      </c>
      <c r="L88" s="53" t="s">
        <v>799</v>
      </c>
      <c r="P88" s="97" t="s">
        <v>298</v>
      </c>
      <c r="Q88" s="42" t="s">
        <v>280</v>
      </c>
      <c r="R88" s="53" t="s">
        <v>799</v>
      </c>
      <c r="V88" s="97" t="s">
        <v>298</v>
      </c>
      <c r="W88" s="42" t="s">
        <v>280</v>
      </c>
      <c r="X88" s="1" t="s">
        <v>9</v>
      </c>
    </row>
    <row r="89" spans="4:24" x14ac:dyDescent="0.25">
      <c r="D89" s="97"/>
      <c r="E89" s="42" t="s">
        <v>287</v>
      </c>
      <c r="F89" s="1" t="s">
        <v>9</v>
      </c>
      <c r="J89" s="97"/>
      <c r="K89" s="42" t="s">
        <v>287</v>
      </c>
      <c r="L89" s="53" t="s">
        <v>800</v>
      </c>
      <c r="P89" s="97"/>
      <c r="Q89" s="42" t="s">
        <v>287</v>
      </c>
      <c r="R89" s="53" t="s">
        <v>800</v>
      </c>
      <c r="V89" s="97"/>
      <c r="W89" s="42" t="s">
        <v>287</v>
      </c>
      <c r="X89" s="1" t="s">
        <v>9</v>
      </c>
    </row>
    <row r="90" spans="4:24" x14ac:dyDescent="0.25">
      <c r="D90" s="97" t="s">
        <v>299</v>
      </c>
      <c r="E90" s="42" t="s">
        <v>279</v>
      </c>
      <c r="F90" s="1" t="s">
        <v>9</v>
      </c>
      <c r="J90" s="97" t="s">
        <v>299</v>
      </c>
      <c r="K90" s="42" t="s">
        <v>279</v>
      </c>
      <c r="L90" s="53" t="s">
        <v>11</v>
      </c>
      <c r="P90" s="97" t="s">
        <v>299</v>
      </c>
      <c r="Q90" s="42" t="s">
        <v>279</v>
      </c>
      <c r="R90" s="53" t="s">
        <v>11</v>
      </c>
      <c r="V90" s="97" t="s">
        <v>299</v>
      </c>
      <c r="W90" s="42" t="s">
        <v>279</v>
      </c>
      <c r="X90" s="1" t="s">
        <v>9</v>
      </c>
    </row>
    <row r="91" spans="4:24" x14ac:dyDescent="0.25">
      <c r="D91" s="97"/>
      <c r="E91" s="42" t="s">
        <v>281</v>
      </c>
      <c r="F91" s="1" t="s">
        <v>9</v>
      </c>
      <c r="J91" s="97"/>
      <c r="K91" s="42" t="s">
        <v>281</v>
      </c>
      <c r="L91" s="53" t="s">
        <v>799</v>
      </c>
      <c r="P91" s="97"/>
      <c r="Q91" s="42" t="s">
        <v>281</v>
      </c>
      <c r="R91" s="53" t="s">
        <v>799</v>
      </c>
      <c r="V91" s="97"/>
      <c r="W91" s="42" t="s">
        <v>281</v>
      </c>
      <c r="X91" s="1" t="s">
        <v>9</v>
      </c>
    </row>
    <row r="92" spans="4:24" x14ac:dyDescent="0.25">
      <c r="D92" s="97"/>
      <c r="E92" s="42" t="s">
        <v>277</v>
      </c>
      <c r="F92" s="1" t="s">
        <v>9</v>
      </c>
      <c r="J92" s="97"/>
      <c r="K92" s="42" t="s">
        <v>277</v>
      </c>
      <c r="L92" s="53" t="s">
        <v>799</v>
      </c>
      <c r="P92" s="97"/>
      <c r="Q92" s="42" t="s">
        <v>277</v>
      </c>
      <c r="R92" s="53" t="s">
        <v>799</v>
      </c>
      <c r="V92" s="97"/>
      <c r="W92" s="42" t="s">
        <v>277</v>
      </c>
      <c r="X92" s="1" t="s">
        <v>9</v>
      </c>
    </row>
    <row r="93" spans="4:24" x14ac:dyDescent="0.25">
      <c r="D93" s="97"/>
      <c r="E93" s="42" t="s">
        <v>283</v>
      </c>
      <c r="F93" s="1" t="s">
        <v>9</v>
      </c>
      <c r="J93" s="97"/>
      <c r="K93" s="42" t="s">
        <v>283</v>
      </c>
      <c r="L93" s="53" t="s">
        <v>800</v>
      </c>
      <c r="P93" s="97"/>
      <c r="Q93" s="42" t="s">
        <v>283</v>
      </c>
      <c r="R93" s="53" t="s">
        <v>800</v>
      </c>
      <c r="V93" s="97"/>
      <c r="W93" s="42" t="s">
        <v>283</v>
      </c>
      <c r="X93" s="1" t="s">
        <v>9</v>
      </c>
    </row>
    <row r="94" spans="4:24" x14ac:dyDescent="0.25">
      <c r="D94" s="97"/>
      <c r="E94" s="42" t="s">
        <v>276</v>
      </c>
      <c r="F94" s="1" t="s">
        <v>9</v>
      </c>
      <c r="J94" s="97"/>
      <c r="K94" s="42" t="s">
        <v>276</v>
      </c>
      <c r="L94" s="53" t="s">
        <v>11</v>
      </c>
      <c r="P94" s="97"/>
      <c r="Q94" s="42" t="s">
        <v>276</v>
      </c>
      <c r="R94" s="53" t="s">
        <v>11</v>
      </c>
      <c r="V94" s="97"/>
      <c r="W94" s="42" t="s">
        <v>276</v>
      </c>
      <c r="X94" s="1" t="s">
        <v>9</v>
      </c>
    </row>
    <row r="95" spans="4:24" x14ac:dyDescent="0.25">
      <c r="D95" s="97"/>
      <c r="E95" s="42" t="s">
        <v>278</v>
      </c>
      <c r="F95" s="1" t="s">
        <v>9</v>
      </c>
      <c r="J95" s="97"/>
      <c r="K95" s="42" t="s">
        <v>278</v>
      </c>
      <c r="L95" s="53" t="s">
        <v>799</v>
      </c>
      <c r="P95" s="97"/>
      <c r="Q95" s="42" t="s">
        <v>278</v>
      </c>
      <c r="R95" s="53" t="s">
        <v>799</v>
      </c>
      <c r="V95" s="97"/>
      <c r="W95" s="42" t="s">
        <v>278</v>
      </c>
      <c r="X95" s="1" t="s">
        <v>9</v>
      </c>
    </row>
    <row r="96" spans="4:24" x14ac:dyDescent="0.25">
      <c r="D96" s="47" t="s">
        <v>288</v>
      </c>
      <c r="E96" s="43" t="s">
        <v>6</v>
      </c>
      <c r="F96" s="1" t="s">
        <v>9</v>
      </c>
      <c r="J96" s="47" t="s">
        <v>288</v>
      </c>
      <c r="K96" s="43" t="s">
        <v>6</v>
      </c>
      <c r="L96" s="53" t="s">
        <v>903</v>
      </c>
      <c r="P96" s="47" t="s">
        <v>288</v>
      </c>
      <c r="Q96" s="43" t="s">
        <v>6</v>
      </c>
      <c r="R96" s="53" t="s">
        <v>903</v>
      </c>
      <c r="V96" s="86" t="s">
        <v>288</v>
      </c>
      <c r="W96" s="43" t="s">
        <v>6</v>
      </c>
      <c r="X96" s="1" t="s">
        <v>9</v>
      </c>
    </row>
    <row r="97" spans="4:24" x14ac:dyDescent="0.25">
      <c r="D97" s="47" t="s">
        <v>289</v>
      </c>
      <c r="E97" s="43" t="s">
        <v>6</v>
      </c>
      <c r="F97" s="1" t="s">
        <v>9</v>
      </c>
      <c r="J97" s="47" t="s">
        <v>289</v>
      </c>
      <c r="K97" s="43" t="s">
        <v>6</v>
      </c>
      <c r="L97" s="53" t="s">
        <v>903</v>
      </c>
      <c r="P97" s="47" t="s">
        <v>289</v>
      </c>
      <c r="Q97" s="43" t="s">
        <v>6</v>
      </c>
      <c r="R97" s="53" t="s">
        <v>903</v>
      </c>
      <c r="V97" s="86" t="s">
        <v>289</v>
      </c>
      <c r="W97" s="43" t="s">
        <v>6</v>
      </c>
      <c r="X97" s="1" t="s">
        <v>9</v>
      </c>
    </row>
    <row r="98" spans="4:24" x14ac:dyDescent="0.25">
      <c r="D98" s="48" t="s">
        <v>5</v>
      </c>
      <c r="E98" s="43" t="s">
        <v>6</v>
      </c>
      <c r="F98" s="96" t="s">
        <v>11</v>
      </c>
      <c r="J98" s="48" t="s">
        <v>5</v>
      </c>
      <c r="K98" s="43" t="s">
        <v>6</v>
      </c>
      <c r="L98" s="53" t="s">
        <v>903</v>
      </c>
      <c r="P98" s="48" t="s">
        <v>5</v>
      </c>
      <c r="Q98" s="43" t="s">
        <v>6</v>
      </c>
      <c r="R98" s="53" t="s">
        <v>903</v>
      </c>
      <c r="V98" s="48" t="s">
        <v>5</v>
      </c>
      <c r="W98" s="43" t="s">
        <v>6</v>
      </c>
      <c r="X98" s="53" t="s">
        <v>11</v>
      </c>
    </row>
    <row r="99" spans="4:24" x14ac:dyDescent="0.25">
      <c r="D99" s="48" t="s">
        <v>899</v>
      </c>
      <c r="E99" s="43" t="s">
        <v>6</v>
      </c>
      <c r="F99" s="96" t="s">
        <v>11</v>
      </c>
      <c r="J99" s="48" t="s">
        <v>899</v>
      </c>
      <c r="K99" s="43" t="s">
        <v>6</v>
      </c>
      <c r="L99" s="96" t="s">
        <v>11</v>
      </c>
      <c r="P99" s="48" t="s">
        <v>899</v>
      </c>
      <c r="Q99" s="43" t="s">
        <v>6</v>
      </c>
      <c r="R99" s="1" t="s">
        <v>9</v>
      </c>
      <c r="V99" s="48" t="s">
        <v>899</v>
      </c>
      <c r="W99" s="43" t="s">
        <v>6</v>
      </c>
      <c r="X99" s="53" t="s">
        <v>11</v>
      </c>
    </row>
    <row r="100" spans="4:24" x14ac:dyDescent="0.25">
      <c r="D100" s="97" t="s">
        <v>300</v>
      </c>
      <c r="E100" s="43" t="s">
        <v>273</v>
      </c>
      <c r="F100" s="96" t="s">
        <v>800</v>
      </c>
      <c r="J100" s="97" t="s">
        <v>300</v>
      </c>
      <c r="K100" s="43" t="s">
        <v>273</v>
      </c>
      <c r="L100" s="96" t="s">
        <v>800</v>
      </c>
      <c r="P100" s="97" t="s">
        <v>300</v>
      </c>
      <c r="Q100" s="43" t="s">
        <v>273</v>
      </c>
      <c r="R100" s="53" t="s">
        <v>800</v>
      </c>
      <c r="V100" s="97" t="s">
        <v>300</v>
      </c>
      <c r="W100" s="43" t="s">
        <v>273</v>
      </c>
      <c r="X100" s="53" t="s">
        <v>800</v>
      </c>
    </row>
    <row r="101" spans="4:24" x14ac:dyDescent="0.25">
      <c r="D101" s="97"/>
      <c r="E101" s="43" t="s">
        <v>282</v>
      </c>
      <c r="F101" s="96" t="s">
        <v>800</v>
      </c>
      <c r="J101" s="97"/>
      <c r="K101" s="43" t="s">
        <v>282</v>
      </c>
      <c r="L101" s="96" t="s">
        <v>800</v>
      </c>
      <c r="P101" s="97"/>
      <c r="Q101" s="43" t="s">
        <v>282</v>
      </c>
      <c r="R101" s="53" t="s">
        <v>800</v>
      </c>
      <c r="V101" s="97"/>
      <c r="W101" s="43" t="s">
        <v>282</v>
      </c>
      <c r="X101" s="53" t="s">
        <v>800</v>
      </c>
    </row>
    <row r="102" spans="4:24" x14ac:dyDescent="0.25">
      <c r="D102" s="97"/>
      <c r="E102" s="43" t="s">
        <v>302</v>
      </c>
      <c r="F102" s="96" t="s">
        <v>800</v>
      </c>
      <c r="J102" s="97"/>
      <c r="K102" s="43" t="s">
        <v>302</v>
      </c>
      <c r="L102" s="96" t="s">
        <v>800</v>
      </c>
      <c r="P102" s="97"/>
      <c r="Q102" s="43" t="s">
        <v>302</v>
      </c>
      <c r="R102" s="53" t="s">
        <v>800</v>
      </c>
      <c r="V102" s="97"/>
      <c r="W102" s="43" t="s">
        <v>302</v>
      </c>
      <c r="X102" s="53" t="s">
        <v>800</v>
      </c>
    </row>
    <row r="103" spans="4:24" x14ac:dyDescent="0.25">
      <c r="D103" s="97"/>
      <c r="E103" s="43" t="s">
        <v>285</v>
      </c>
      <c r="F103" s="96" t="s">
        <v>800</v>
      </c>
      <c r="J103" s="97"/>
      <c r="K103" s="43" t="s">
        <v>285</v>
      </c>
      <c r="L103" s="96" t="s">
        <v>800</v>
      </c>
      <c r="P103" s="97"/>
      <c r="Q103" s="43" t="s">
        <v>285</v>
      </c>
      <c r="R103" s="53" t="s">
        <v>800</v>
      </c>
      <c r="V103" s="97"/>
      <c r="W103" s="43" t="s">
        <v>285</v>
      </c>
      <c r="X103" s="53" t="s">
        <v>800</v>
      </c>
    </row>
    <row r="104" spans="4:24" x14ac:dyDescent="0.25">
      <c r="D104" s="97"/>
      <c r="E104" s="43" t="s">
        <v>276</v>
      </c>
      <c r="F104" s="96" t="s">
        <v>800</v>
      </c>
      <c r="J104" s="97"/>
      <c r="K104" s="43" t="s">
        <v>276</v>
      </c>
      <c r="L104" s="96" t="s">
        <v>800</v>
      </c>
      <c r="P104" s="97"/>
      <c r="Q104" s="43" t="s">
        <v>276</v>
      </c>
      <c r="R104" s="53" t="s">
        <v>800</v>
      </c>
      <c r="V104" s="97"/>
      <c r="W104" s="43" t="s">
        <v>276</v>
      </c>
      <c r="X104" s="53" t="s">
        <v>800</v>
      </c>
    </row>
    <row r="105" spans="4:24" x14ac:dyDescent="0.25">
      <c r="D105" s="97"/>
      <c r="E105" s="43" t="s">
        <v>283</v>
      </c>
      <c r="F105" s="96" t="s">
        <v>800</v>
      </c>
      <c r="J105" s="97"/>
      <c r="K105" s="43" t="s">
        <v>283</v>
      </c>
      <c r="L105" s="96" t="s">
        <v>800</v>
      </c>
      <c r="P105" s="97"/>
      <c r="Q105" s="43" t="s">
        <v>283</v>
      </c>
      <c r="R105" s="53" t="s">
        <v>800</v>
      </c>
      <c r="V105" s="97"/>
      <c r="W105" s="43" t="s">
        <v>283</v>
      </c>
      <c r="X105" s="53" t="s">
        <v>800</v>
      </c>
    </row>
    <row r="106" spans="4:24" x14ac:dyDescent="0.25">
      <c r="D106" s="97" t="s">
        <v>301</v>
      </c>
      <c r="E106" s="43" t="s">
        <v>273</v>
      </c>
      <c r="F106" s="96" t="s">
        <v>800</v>
      </c>
      <c r="J106" s="97" t="s">
        <v>301</v>
      </c>
      <c r="K106" s="43" t="s">
        <v>273</v>
      </c>
      <c r="L106" s="96" t="s">
        <v>800</v>
      </c>
      <c r="P106" s="97" t="s">
        <v>301</v>
      </c>
      <c r="Q106" s="43" t="s">
        <v>273</v>
      </c>
      <c r="R106" s="53" t="s">
        <v>800</v>
      </c>
      <c r="V106" s="97" t="s">
        <v>301</v>
      </c>
      <c r="W106" s="43" t="s">
        <v>273</v>
      </c>
      <c r="X106" s="53" t="s">
        <v>800</v>
      </c>
    </row>
    <row r="107" spans="4:24" x14ac:dyDescent="0.25">
      <c r="D107" s="97"/>
      <c r="E107" s="43" t="s">
        <v>282</v>
      </c>
      <c r="F107" s="96" t="s">
        <v>800</v>
      </c>
      <c r="J107" s="97"/>
      <c r="K107" s="43" t="s">
        <v>282</v>
      </c>
      <c r="L107" s="96" t="s">
        <v>800</v>
      </c>
      <c r="P107" s="97"/>
      <c r="Q107" s="43" t="s">
        <v>282</v>
      </c>
      <c r="R107" s="53" t="s">
        <v>800</v>
      </c>
      <c r="V107" s="97"/>
      <c r="W107" s="43" t="s">
        <v>282</v>
      </c>
      <c r="X107" s="53" t="s">
        <v>800</v>
      </c>
    </row>
  </sheetData>
  <customSheetViews>
    <customSheetView guid="{638E9BBB-9DE1-4C03-99E5-6DF442C45AE3}" showPageBreaks="1" topLeftCell="A19">
      <selection activeCell="X93" sqref="X93:X95"/>
      <pageMargins left="0.7" right="0.7" top="0.78740157499999996" bottom="0.78740157499999996" header="0.3" footer="0.3"/>
      <pageSetup paperSize="9" orientation="portrait" r:id="rId1"/>
    </customSheetView>
  </customSheetViews>
  <mergeCells count="98">
    <mergeCell ref="R17:T17"/>
    <mergeCell ref="D17:E17"/>
    <mergeCell ref="F17:H17"/>
    <mergeCell ref="J17:K17"/>
    <mergeCell ref="L17:N17"/>
    <mergeCell ref="P17:Q17"/>
    <mergeCell ref="F20:H20"/>
    <mergeCell ref="L20:N20"/>
    <mergeCell ref="R20:T20"/>
    <mergeCell ref="D18:D19"/>
    <mergeCell ref="F18:H18"/>
    <mergeCell ref="J18:J19"/>
    <mergeCell ref="L18:N18"/>
    <mergeCell ref="P18:P19"/>
    <mergeCell ref="R18:T18"/>
    <mergeCell ref="F19:H19"/>
    <mergeCell ref="L19:N19"/>
    <mergeCell ref="R19:T19"/>
    <mergeCell ref="F21:H21"/>
    <mergeCell ref="L21:N21"/>
    <mergeCell ref="R21:T21"/>
    <mergeCell ref="F22:H22"/>
    <mergeCell ref="L22:N22"/>
    <mergeCell ref="R22:T22"/>
    <mergeCell ref="D23:E23"/>
    <mergeCell ref="J23:K23"/>
    <mergeCell ref="P23:Q23"/>
    <mergeCell ref="D25:D36"/>
    <mergeCell ref="J25:J36"/>
    <mergeCell ref="P25:P36"/>
    <mergeCell ref="D37:D44"/>
    <mergeCell ref="J37:J44"/>
    <mergeCell ref="P37:P44"/>
    <mergeCell ref="D45:D48"/>
    <mergeCell ref="J45:J48"/>
    <mergeCell ref="P45:P48"/>
    <mergeCell ref="D54:D59"/>
    <mergeCell ref="J54:J59"/>
    <mergeCell ref="P54:P59"/>
    <mergeCell ref="D60:D61"/>
    <mergeCell ref="J60:J61"/>
    <mergeCell ref="P60:P61"/>
    <mergeCell ref="D72:D73"/>
    <mergeCell ref="J72:J73"/>
    <mergeCell ref="P72:P73"/>
    <mergeCell ref="D74:D75"/>
    <mergeCell ref="J74:J75"/>
    <mergeCell ref="P74:P75"/>
    <mergeCell ref="D76:D87"/>
    <mergeCell ref="J76:J87"/>
    <mergeCell ref="P76:P87"/>
    <mergeCell ref="D88:D89"/>
    <mergeCell ref="J88:J89"/>
    <mergeCell ref="P88:P89"/>
    <mergeCell ref="D106:D107"/>
    <mergeCell ref="J106:J107"/>
    <mergeCell ref="P106:P107"/>
    <mergeCell ref="D90:D95"/>
    <mergeCell ref="J90:J95"/>
    <mergeCell ref="P90:P95"/>
    <mergeCell ref="D100:D105"/>
    <mergeCell ref="J100:J105"/>
    <mergeCell ref="P100:P105"/>
    <mergeCell ref="V54:V59"/>
    <mergeCell ref="X20:Z20"/>
    <mergeCell ref="X21:Z21"/>
    <mergeCell ref="X22:Z22"/>
    <mergeCell ref="V17:W17"/>
    <mergeCell ref="X17:Z17"/>
    <mergeCell ref="V18:V19"/>
    <mergeCell ref="X18:Z18"/>
    <mergeCell ref="X19:Z19"/>
    <mergeCell ref="AD21:AF21"/>
    <mergeCell ref="AD22:AF22"/>
    <mergeCell ref="AB23:AC23"/>
    <mergeCell ref="AB25:AB36"/>
    <mergeCell ref="AB37:AB44"/>
    <mergeCell ref="AD17:AF17"/>
    <mergeCell ref="AB18:AB19"/>
    <mergeCell ref="AD18:AF18"/>
    <mergeCell ref="AD19:AF19"/>
    <mergeCell ref="AD20:AF20"/>
    <mergeCell ref="AB60:AB61"/>
    <mergeCell ref="V90:V95"/>
    <mergeCell ref="V100:V105"/>
    <mergeCell ref="V106:V107"/>
    <mergeCell ref="AB17:AC17"/>
    <mergeCell ref="AB45:AB48"/>
    <mergeCell ref="AB54:AB59"/>
    <mergeCell ref="V60:V61"/>
    <mergeCell ref="V72:V73"/>
    <mergeCell ref="V74:V75"/>
    <mergeCell ref="V76:V87"/>
    <mergeCell ref="V88:V89"/>
    <mergeCell ref="V23:W23"/>
    <mergeCell ref="V25:V36"/>
    <mergeCell ref="V37:V44"/>
    <mergeCell ref="V45:V48"/>
  </mergeCells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ARP101"/>
  <sheetViews>
    <sheetView topLeftCell="A22" zoomScaleNormal="100" workbookViewId="0">
      <selection activeCell="H48" sqref="H48:H57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313</v>
      </c>
    </row>
    <row r="5" spans="2:11" x14ac:dyDescent="0.25">
      <c r="C5" s="1" t="s">
        <v>9</v>
      </c>
      <c r="D5" t="s">
        <v>311</v>
      </c>
    </row>
    <row r="11" spans="2:11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261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98" t="s">
        <v>0</v>
      </c>
      <c r="E15" s="98"/>
      <c r="F15" s="99" t="s">
        <v>689</v>
      </c>
      <c r="G15" s="99"/>
      <c r="H15" s="99"/>
      <c r="I15" s="99"/>
      <c r="J15" s="99"/>
      <c r="K15" s="99"/>
    </row>
    <row r="16" spans="2:11" x14ac:dyDescent="0.25">
      <c r="D16" s="100" t="s">
        <v>1</v>
      </c>
      <c r="E16" s="42" t="s">
        <v>271</v>
      </c>
      <c r="F16" s="107" t="s">
        <v>8</v>
      </c>
      <c r="G16" s="108"/>
      <c r="H16" s="109"/>
      <c r="I16" s="107" t="s">
        <v>290</v>
      </c>
      <c r="J16" s="108"/>
      <c r="K16" s="109"/>
    </row>
    <row r="17" spans="4:1160" x14ac:dyDescent="0.25">
      <c r="D17" s="101"/>
      <c r="E17" s="42" t="s">
        <v>270</v>
      </c>
      <c r="F17" s="105" t="s">
        <v>690</v>
      </c>
      <c r="G17" s="105"/>
      <c r="H17" s="105"/>
      <c r="I17" s="106" t="s">
        <v>690</v>
      </c>
      <c r="J17" s="106"/>
      <c r="K17" s="106"/>
      <c r="L17" s="21"/>
    </row>
    <row r="18" spans="4:1160" x14ac:dyDescent="0.25">
      <c r="D18" s="75" t="s">
        <v>265</v>
      </c>
      <c r="E18" s="42" t="s">
        <v>271</v>
      </c>
      <c r="F18" s="105" t="s">
        <v>691</v>
      </c>
      <c r="G18" s="105"/>
      <c r="H18" s="105"/>
      <c r="I18" s="106" t="s">
        <v>691</v>
      </c>
      <c r="J18" s="106"/>
      <c r="K18" s="106"/>
      <c r="L18" s="21"/>
    </row>
    <row r="19" spans="4:1160" x14ac:dyDescent="0.25">
      <c r="D19" s="75" t="s">
        <v>266</v>
      </c>
      <c r="E19" s="42" t="s">
        <v>270</v>
      </c>
      <c r="F19" s="105" t="s">
        <v>692</v>
      </c>
      <c r="G19" s="105"/>
      <c r="H19" s="105"/>
      <c r="I19" s="106" t="s">
        <v>692</v>
      </c>
      <c r="J19" s="106"/>
      <c r="K19" s="106"/>
      <c r="L19" s="21"/>
    </row>
    <row r="20" spans="4:1160" x14ac:dyDescent="0.25">
      <c r="D20" s="75" t="s">
        <v>267</v>
      </c>
      <c r="E20" s="42" t="s">
        <v>270</v>
      </c>
      <c r="F20" s="105" t="s">
        <v>693</v>
      </c>
      <c r="G20" s="105"/>
      <c r="H20" s="105"/>
      <c r="I20" s="106" t="s">
        <v>693</v>
      </c>
      <c r="J20" s="106"/>
      <c r="K20" s="106"/>
      <c r="L20" s="21"/>
    </row>
    <row r="21" spans="4:1160" s="45" customFormat="1" ht="45" x14ac:dyDescent="0.25">
      <c r="D21" s="97" t="s">
        <v>2</v>
      </c>
      <c r="E21" s="97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</row>
    <row r="22" spans="4:1160" x14ac:dyDescent="0.25">
      <c r="D22" s="75" t="s">
        <v>268</v>
      </c>
      <c r="E22" s="42" t="s">
        <v>272</v>
      </c>
      <c r="F22" s="1" t="s">
        <v>9</v>
      </c>
      <c r="G22" s="2" t="s">
        <v>9</v>
      </c>
      <c r="H22" s="76" t="s">
        <v>694</v>
      </c>
      <c r="I22" s="1" t="s">
        <v>9</v>
      </c>
      <c r="J22" s="1" t="s">
        <v>9</v>
      </c>
      <c r="K22" s="76" t="s">
        <v>694</v>
      </c>
      <c r="L22" s="21"/>
    </row>
    <row r="23" spans="4:1160" x14ac:dyDescent="0.25">
      <c r="D23" s="97" t="s">
        <v>269</v>
      </c>
      <c r="E23" s="42" t="s">
        <v>273</v>
      </c>
      <c r="F23" s="1" t="s">
        <v>9</v>
      </c>
      <c r="G23" s="2" t="s">
        <v>9</v>
      </c>
      <c r="H23" s="76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6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160" x14ac:dyDescent="0.25">
      <c r="D24" s="97"/>
      <c r="E24" s="42" t="s">
        <v>274</v>
      </c>
      <c r="F24" s="1" t="s">
        <v>9</v>
      </c>
      <c r="G24" s="2" t="s">
        <v>9</v>
      </c>
      <c r="H24" s="76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6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160" x14ac:dyDescent="0.25">
      <c r="D25" s="97"/>
      <c r="E25" s="42" t="s">
        <v>282</v>
      </c>
      <c r="F25" s="1" t="s">
        <v>9</v>
      </c>
      <c r="G25" s="2" t="s">
        <v>9</v>
      </c>
      <c r="H25" s="76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6" t="str">
        <f t="shared" si="1"/>
        <v>/VectoCustomerInformation/Data/Results/Result/Total/Fuel/FuelConsumption[@unit='g/p-km']</v>
      </c>
      <c r="L25" s="21"/>
    </row>
    <row r="26" spans="4:1160" x14ac:dyDescent="0.25">
      <c r="D26" s="97"/>
      <c r="E26" s="42" t="s">
        <v>275</v>
      </c>
      <c r="F26" s="1" t="s">
        <v>9</v>
      </c>
      <c r="G26" s="2" t="s">
        <v>9</v>
      </c>
      <c r="H26" s="76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6" t="str">
        <f t="shared" si="1"/>
        <v>/VectoCustomerInformation/Data/Results/Result/Total/Fuel/FuelConsumption[@unit='g/m³-km']</v>
      </c>
      <c r="L26" s="36"/>
    </row>
    <row r="27" spans="4:1160" x14ac:dyDescent="0.25">
      <c r="D27" s="97"/>
      <c r="E27" s="42" t="s">
        <v>302</v>
      </c>
      <c r="F27" s="1" t="s">
        <v>9</v>
      </c>
      <c r="G27" s="2" t="s">
        <v>9</v>
      </c>
      <c r="H27" s="76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6" t="str">
        <f t="shared" si="1"/>
        <v>/VectoCustomerInformation/Data/Results/Result/Total/Fuel/FuelConsumption[@unit='l/100km']</v>
      </c>
      <c r="L27" s="33"/>
    </row>
    <row r="28" spans="4:1160" x14ac:dyDescent="0.25">
      <c r="D28" s="97"/>
      <c r="E28" s="42" t="s">
        <v>284</v>
      </c>
      <c r="F28" s="1" t="s">
        <v>9</v>
      </c>
      <c r="G28" s="2" t="s">
        <v>9</v>
      </c>
      <c r="H28" s="76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6" t="str">
        <f t="shared" si="1"/>
        <v>/VectoCustomerInformation/Data/Results/Result/Total/Fuel/FuelConsumption[@unit='l/t-km']</v>
      </c>
      <c r="L28" s="33"/>
    </row>
    <row r="29" spans="4:1160" x14ac:dyDescent="0.25">
      <c r="D29" s="97"/>
      <c r="E29" s="42" t="s">
        <v>285</v>
      </c>
      <c r="F29" s="1" t="s">
        <v>9</v>
      </c>
      <c r="G29" s="2" t="s">
        <v>9</v>
      </c>
      <c r="H29" s="76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6" t="str">
        <f t="shared" si="1"/>
        <v>/VectoCustomerInformation/Data/Results/Result/Total/Fuel/FuelConsumption[@unit='l/p-km']</v>
      </c>
      <c r="L29" s="33"/>
    </row>
    <row r="30" spans="4:1160" x14ac:dyDescent="0.25">
      <c r="D30" s="97"/>
      <c r="E30" s="42" t="s">
        <v>286</v>
      </c>
      <c r="F30" s="1" t="s">
        <v>9</v>
      </c>
      <c r="G30" s="2" t="s">
        <v>9</v>
      </c>
      <c r="H30" s="76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6" t="str">
        <f t="shared" si="1"/>
        <v>/VectoCustomerInformation/Data/Results/Result/Total/Fuel/FuelConsumption[@unit='l/m³-km']</v>
      </c>
      <c r="L30" s="33"/>
    </row>
    <row r="31" spans="4:1160" x14ac:dyDescent="0.25">
      <c r="D31" s="97"/>
      <c r="E31" s="42" t="s">
        <v>276</v>
      </c>
      <c r="F31" s="1" t="s">
        <v>9</v>
      </c>
      <c r="G31" s="2" t="s">
        <v>9</v>
      </c>
      <c r="H31" s="76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6" t="str">
        <f t="shared" si="1"/>
        <v>/VectoCustomerInformation/Data/Results/Result/Total/Fuel/FuelConsumption[@unit='MJ/km']</v>
      </c>
      <c r="L31" s="33"/>
    </row>
    <row r="32" spans="4:1160" x14ac:dyDescent="0.25">
      <c r="D32" s="97"/>
      <c r="E32" s="42" t="s">
        <v>277</v>
      </c>
      <c r="F32" s="1" t="s">
        <v>9</v>
      </c>
      <c r="G32" s="2" t="s">
        <v>9</v>
      </c>
      <c r="H32" s="76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6" t="str">
        <f t="shared" si="1"/>
        <v>/VectoCustomerInformation/Data/Results/Result/Total/Fuel/FuelConsumption[@unit='MJ/t-km']</v>
      </c>
      <c r="L32" s="33"/>
    </row>
    <row r="33" spans="4:12" x14ac:dyDescent="0.25">
      <c r="D33" s="97"/>
      <c r="E33" s="42" t="s">
        <v>283</v>
      </c>
      <c r="F33" s="1" t="s">
        <v>9</v>
      </c>
      <c r="G33" s="2" t="s">
        <v>9</v>
      </c>
      <c r="H33" s="76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6" t="str">
        <f t="shared" si="1"/>
        <v>/VectoCustomerInformation/Data/Results/Result/Total/Fuel/FuelConsumption[@unit='MJ/p-km']</v>
      </c>
      <c r="L33" s="33"/>
    </row>
    <row r="34" spans="4:12" x14ac:dyDescent="0.25">
      <c r="D34" s="97"/>
      <c r="E34" s="42" t="s">
        <v>278</v>
      </c>
      <c r="F34" s="1" t="s">
        <v>9</v>
      </c>
      <c r="G34" s="2" t="s">
        <v>9</v>
      </c>
      <c r="H34" s="76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6" t="str">
        <f t="shared" si="1"/>
        <v>/VectoCustomerInformation/Data/Results/Result/Total/Fuel/FuelConsumption[@unit='MJ/m³-km']</v>
      </c>
      <c r="L34" s="33"/>
    </row>
    <row r="35" spans="4:12" x14ac:dyDescent="0.25">
      <c r="D35" s="97" t="s">
        <v>4</v>
      </c>
      <c r="E35" s="42" t="s">
        <v>279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97"/>
      <c r="E36" s="42" t="s">
        <v>280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97"/>
      <c r="E37" s="42" t="s">
        <v>287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97"/>
      <c r="E38" s="42" t="s">
        <v>281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97"/>
      <c r="E39" s="42" t="s">
        <v>276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97"/>
      <c r="E40" s="42" t="s">
        <v>277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97"/>
      <c r="E41" s="42" t="s">
        <v>283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97"/>
      <c r="E42" s="42" t="s">
        <v>278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97" t="s">
        <v>3</v>
      </c>
      <c r="E43" s="42" t="s">
        <v>273</v>
      </c>
      <c r="F43" s="1" t="s">
        <v>9</v>
      </c>
      <c r="G43" s="2" t="s">
        <v>9</v>
      </c>
      <c r="H43" s="76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6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97"/>
      <c r="E44" s="42" t="s">
        <v>274</v>
      </c>
      <c r="F44" s="1" t="s">
        <v>9</v>
      </c>
      <c r="G44" s="2" t="s">
        <v>9</v>
      </c>
      <c r="H44" s="76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6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97"/>
      <c r="E45" s="42" t="s">
        <v>282</v>
      </c>
      <c r="F45" s="1" t="s">
        <v>9</v>
      </c>
      <c r="G45" s="2" t="s">
        <v>9</v>
      </c>
      <c r="H45" s="76" t="str">
        <f t="shared" si="2"/>
        <v>/VectoCustomerInformation/Data/Results/Result/Total/CO2[@unit='g/p-km']</v>
      </c>
      <c r="I45" s="1" t="s">
        <v>9</v>
      </c>
      <c r="J45" s="2" t="s">
        <v>9</v>
      </c>
      <c r="K45" s="76" t="str">
        <f t="shared" si="3"/>
        <v>/VectoCustomerInformation/Data/Results/Result/Total/CO2[@unit='g/p-km']</v>
      </c>
    </row>
    <row r="46" spans="4:12" x14ac:dyDescent="0.25">
      <c r="D46" s="97"/>
      <c r="E46" s="42" t="s">
        <v>275</v>
      </c>
      <c r="F46" s="1" t="s">
        <v>9</v>
      </c>
      <c r="G46" s="2" t="s">
        <v>9</v>
      </c>
      <c r="H46" s="76" t="str">
        <f t="shared" si="2"/>
        <v>/VectoCustomerInformation/Data/Results/Result/Total/CO2[@unit='g/m³-km']</v>
      </c>
      <c r="I46" s="1" t="s">
        <v>9</v>
      </c>
      <c r="J46" s="2" t="s">
        <v>9</v>
      </c>
      <c r="K46" s="76" t="str">
        <f t="shared" si="3"/>
        <v>/VectoCustomerInformation/Data/Results/Result/Total/CO2[@unit='g/m³-km']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1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97" t="s">
        <v>300</v>
      </c>
      <c r="E51" s="43" t="s">
        <v>273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97"/>
      <c r="E52" s="43" t="s">
        <v>282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97"/>
      <c r="E53" s="43" t="s">
        <v>302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97"/>
      <c r="E54" s="43" t="s">
        <v>285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97"/>
      <c r="E55" s="43" t="s">
        <v>276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97"/>
      <c r="E56" s="43" t="s">
        <v>283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97" t="s">
        <v>301</v>
      </c>
      <c r="E57" s="43" t="s">
        <v>273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97"/>
      <c r="E58" s="43" t="s">
        <v>282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261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5" t="s">
        <v>291</v>
      </c>
      <c r="E65" s="42" t="s">
        <v>292</v>
      </c>
      <c r="F65" s="76" t="s">
        <v>701</v>
      </c>
    </row>
    <row r="66" spans="4:6" x14ac:dyDescent="0.25">
      <c r="D66" s="75" t="s">
        <v>293</v>
      </c>
      <c r="E66" s="42" t="s">
        <v>271</v>
      </c>
      <c r="F66" s="76" t="s">
        <v>702</v>
      </c>
    </row>
    <row r="67" spans="4:6" x14ac:dyDescent="0.25">
      <c r="D67" s="97" t="s">
        <v>295</v>
      </c>
      <c r="E67" s="42" t="s">
        <v>294</v>
      </c>
      <c r="F67" s="76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97"/>
      <c r="E68" s="42" t="s">
        <v>296</v>
      </c>
      <c r="F68" s="76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97" t="s">
        <v>297</v>
      </c>
      <c r="E69" s="42" t="s">
        <v>273</v>
      </c>
      <c r="F69" s="76" t="str">
        <f t="shared" si="4"/>
        <v>/VectoCustomerInformation/Data/Results/Summary/CO2[@unit='g/km']</v>
      </c>
    </row>
    <row r="70" spans="4:6" x14ac:dyDescent="0.25">
      <c r="D70" s="97"/>
      <c r="E70" s="42" t="s">
        <v>275</v>
      </c>
      <c r="F70" s="76" t="str">
        <f t="shared" si="4"/>
        <v>/VectoCustomerInformation/Data/Results/Summary/CO2[@unit='g/m³-km']</v>
      </c>
    </row>
    <row r="71" spans="4:6" x14ac:dyDescent="0.25">
      <c r="D71" s="97" t="s">
        <v>269</v>
      </c>
      <c r="E71" s="42" t="s">
        <v>273</v>
      </c>
      <c r="F71" s="76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97"/>
      <c r="E72" s="42" t="s">
        <v>274</v>
      </c>
      <c r="F72" s="76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97"/>
      <c r="E73" s="42" t="s">
        <v>282</v>
      </c>
      <c r="F73" s="76" t="str">
        <f t="shared" si="5"/>
        <v>/VectoCustomerInformation/Data/Results/Summary/Fuel/FuelConsumption[@unit='g/p-km']</v>
      </c>
    </row>
    <row r="74" spans="4:6" x14ac:dyDescent="0.25">
      <c r="D74" s="97"/>
      <c r="E74" s="42" t="s">
        <v>275</v>
      </c>
      <c r="F74" s="76" t="str">
        <f t="shared" si="5"/>
        <v>/VectoCustomerInformation/Data/Results/Summary/Fuel/FuelConsumption[@unit='g/m³-km']</v>
      </c>
    </row>
    <row r="75" spans="4:6" x14ac:dyDescent="0.25">
      <c r="D75" s="97"/>
      <c r="E75" s="42" t="s">
        <v>302</v>
      </c>
      <c r="F75" s="76" t="str">
        <f t="shared" si="5"/>
        <v>/VectoCustomerInformation/Data/Results/Summary/Fuel/FuelConsumption[@unit='l/100km']</v>
      </c>
    </row>
    <row r="76" spans="4:6" x14ac:dyDescent="0.25">
      <c r="D76" s="97"/>
      <c r="E76" s="42" t="s">
        <v>284</v>
      </c>
      <c r="F76" s="76" t="str">
        <f t="shared" si="5"/>
        <v>/VectoCustomerInformation/Data/Results/Summary/Fuel/FuelConsumption[@unit='l/t-km']</v>
      </c>
    </row>
    <row r="77" spans="4:6" x14ac:dyDescent="0.25">
      <c r="D77" s="97"/>
      <c r="E77" s="42" t="s">
        <v>285</v>
      </c>
      <c r="F77" s="76" t="str">
        <f t="shared" si="5"/>
        <v>/VectoCustomerInformation/Data/Results/Summary/Fuel/FuelConsumption[@unit='l/p-km']</v>
      </c>
    </row>
    <row r="78" spans="4:6" x14ac:dyDescent="0.25">
      <c r="D78" s="97"/>
      <c r="E78" s="42" t="s">
        <v>286</v>
      </c>
      <c r="F78" s="76" t="str">
        <f t="shared" si="5"/>
        <v>/VectoCustomerInformation/Data/Results/Summary/Fuel/FuelConsumption[@unit='l/m³-km']</v>
      </c>
    </row>
    <row r="79" spans="4:6" x14ac:dyDescent="0.25">
      <c r="D79" s="97"/>
      <c r="E79" s="42" t="s">
        <v>276</v>
      </c>
      <c r="F79" s="76" t="str">
        <f t="shared" si="5"/>
        <v>/VectoCustomerInformation/Data/Results/Summary/Fuel/FuelConsumption[@unit='MJ/km']</v>
      </c>
    </row>
    <row r="80" spans="4:6" x14ac:dyDescent="0.25">
      <c r="D80" s="97"/>
      <c r="E80" s="42" t="s">
        <v>277</v>
      </c>
      <c r="F80" s="76" t="str">
        <f t="shared" si="5"/>
        <v>/VectoCustomerInformation/Data/Results/Summary/Fuel/FuelConsumption[@unit='MJ/t-km']</v>
      </c>
    </row>
    <row r="81" spans="4:6" x14ac:dyDescent="0.25">
      <c r="D81" s="97"/>
      <c r="E81" s="42" t="s">
        <v>283</v>
      </c>
      <c r="F81" s="76" t="str">
        <f t="shared" si="5"/>
        <v>/VectoCustomerInformation/Data/Results/Summary/Fuel/FuelConsumption[@unit='MJ/p-km']</v>
      </c>
    </row>
    <row r="82" spans="4:6" x14ac:dyDescent="0.25">
      <c r="D82" s="97"/>
      <c r="E82" s="42" t="s">
        <v>278</v>
      </c>
      <c r="F82" s="76" t="str">
        <f t="shared" si="5"/>
        <v>/VectoCustomerInformation/Data/Results/Summary/Fuel/FuelConsumption[@unit='MJ/m³-km']</v>
      </c>
    </row>
    <row r="83" spans="4:6" x14ac:dyDescent="0.25">
      <c r="D83" s="97" t="s">
        <v>298</v>
      </c>
      <c r="E83" s="42" t="s">
        <v>280</v>
      </c>
      <c r="F83" s="1" t="s">
        <v>9</v>
      </c>
    </row>
    <row r="84" spans="4:6" x14ac:dyDescent="0.25">
      <c r="D84" s="97"/>
      <c r="E84" s="42" t="s">
        <v>287</v>
      </c>
      <c r="F84" s="1" t="s">
        <v>9</v>
      </c>
    </row>
    <row r="85" spans="4:6" x14ac:dyDescent="0.25">
      <c r="D85" s="97" t="s">
        <v>299</v>
      </c>
      <c r="E85" s="42" t="s">
        <v>279</v>
      </c>
      <c r="F85" s="1" t="s">
        <v>9</v>
      </c>
    </row>
    <row r="86" spans="4:6" x14ac:dyDescent="0.25">
      <c r="D86" s="97"/>
      <c r="E86" s="42" t="s">
        <v>281</v>
      </c>
      <c r="F86" s="1" t="s">
        <v>9</v>
      </c>
    </row>
    <row r="87" spans="4:6" x14ac:dyDescent="0.25">
      <c r="D87" s="97"/>
      <c r="E87" s="42" t="s">
        <v>277</v>
      </c>
      <c r="F87" s="1" t="s">
        <v>9</v>
      </c>
    </row>
    <row r="88" spans="4:6" x14ac:dyDescent="0.25">
      <c r="D88" s="97"/>
      <c r="E88" s="42" t="s">
        <v>283</v>
      </c>
      <c r="F88" s="1" t="s">
        <v>9</v>
      </c>
    </row>
    <row r="89" spans="4:6" x14ac:dyDescent="0.25">
      <c r="D89" s="97"/>
      <c r="E89" s="42" t="s">
        <v>276</v>
      </c>
      <c r="F89" s="1" t="s">
        <v>9</v>
      </c>
    </row>
    <row r="90" spans="4:6" x14ac:dyDescent="0.25">
      <c r="D90" s="97"/>
      <c r="E90" s="42" t="s">
        <v>278</v>
      </c>
      <c r="F90" s="1" t="s">
        <v>9</v>
      </c>
    </row>
    <row r="91" spans="4:6" x14ac:dyDescent="0.25">
      <c r="D91" s="75" t="s">
        <v>288</v>
      </c>
      <c r="E91" s="43" t="s">
        <v>6</v>
      </c>
      <c r="F91" s="1" t="s">
        <v>9</v>
      </c>
    </row>
    <row r="92" spans="4:6" x14ac:dyDescent="0.25">
      <c r="D92" s="75" t="s">
        <v>289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97" t="s">
        <v>300</v>
      </c>
      <c r="E94" s="43" t="s">
        <v>273</v>
      </c>
      <c r="F94" s="1" t="s">
        <v>9</v>
      </c>
    </row>
    <row r="95" spans="4:6" x14ac:dyDescent="0.25">
      <c r="D95" s="97"/>
      <c r="E95" s="43" t="s">
        <v>282</v>
      </c>
      <c r="F95" s="1" t="s">
        <v>9</v>
      </c>
    </row>
    <row r="96" spans="4:6" x14ac:dyDescent="0.25">
      <c r="D96" s="97"/>
      <c r="E96" s="43" t="s">
        <v>302</v>
      </c>
      <c r="F96" s="1" t="s">
        <v>9</v>
      </c>
    </row>
    <row r="97" spans="4:6" x14ac:dyDescent="0.25">
      <c r="D97" s="97"/>
      <c r="E97" s="43" t="s">
        <v>285</v>
      </c>
      <c r="F97" s="1" t="s">
        <v>9</v>
      </c>
    </row>
    <row r="98" spans="4:6" x14ac:dyDescent="0.25">
      <c r="D98" s="97"/>
      <c r="E98" s="43" t="s">
        <v>276</v>
      </c>
      <c r="F98" s="1" t="s">
        <v>9</v>
      </c>
    </row>
    <row r="99" spans="4:6" x14ac:dyDescent="0.25">
      <c r="D99" s="97"/>
      <c r="E99" s="43" t="s">
        <v>283</v>
      </c>
      <c r="F99" s="1" t="s">
        <v>9</v>
      </c>
    </row>
    <row r="100" spans="4:6" x14ac:dyDescent="0.25">
      <c r="D100" s="97" t="s">
        <v>301</v>
      </c>
      <c r="E100" s="43" t="s">
        <v>273</v>
      </c>
      <c r="F100" s="1" t="s">
        <v>9</v>
      </c>
    </row>
    <row r="101" spans="4:6" x14ac:dyDescent="0.25">
      <c r="D101" s="97"/>
      <c r="E101" s="43" t="s">
        <v>282</v>
      </c>
      <c r="F101" s="1" t="s">
        <v>9</v>
      </c>
    </row>
  </sheetData>
  <customSheetViews>
    <customSheetView guid="{638E9BBB-9DE1-4C03-99E5-6DF442C45AE3}" showPageBreaks="1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00:D101"/>
    <mergeCell ref="D85:D90"/>
    <mergeCell ref="D94:D99"/>
    <mergeCell ref="D71:D82"/>
    <mergeCell ref="D83:D84"/>
    <mergeCell ref="D67:D68"/>
    <mergeCell ref="D69:D70"/>
    <mergeCell ref="D51:D56"/>
    <mergeCell ref="D57:D58"/>
    <mergeCell ref="D35:D42"/>
    <mergeCell ref="D43:D46"/>
    <mergeCell ref="D21:E21"/>
    <mergeCell ref="D23:D34"/>
    <mergeCell ref="F20:H20"/>
    <mergeCell ref="I20:K20"/>
    <mergeCell ref="F19:H19"/>
    <mergeCell ref="I19:K19"/>
    <mergeCell ref="D15:E15"/>
    <mergeCell ref="F15:K15"/>
    <mergeCell ref="F18:H18"/>
    <mergeCell ref="I18:K18"/>
    <mergeCell ref="F17:H17"/>
    <mergeCell ref="I17:K17"/>
    <mergeCell ref="D16:D17"/>
    <mergeCell ref="F16:H16"/>
    <mergeCell ref="I16:K16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N101"/>
  <sheetViews>
    <sheetView zoomScaleNormal="100"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  <c r="M2" s="79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313</v>
      </c>
      <c r="M4" s="49"/>
    </row>
    <row r="5" spans="2:13" ht="15.75" x14ac:dyDescent="0.25">
      <c r="C5" s="1" t="s">
        <v>9</v>
      </c>
      <c r="D5" t="s">
        <v>311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  <c r="M11" s="79"/>
    </row>
    <row r="13" spans="2:13" ht="16.5" x14ac:dyDescent="0.3">
      <c r="C13" s="57" t="s">
        <v>262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98" t="s">
        <v>0</v>
      </c>
      <c r="E15" s="98"/>
      <c r="F15" s="99" t="s">
        <v>689</v>
      </c>
      <c r="G15" s="99"/>
      <c r="H15" s="99"/>
      <c r="I15" s="99"/>
      <c r="J15" s="99"/>
      <c r="K15" s="99"/>
    </row>
    <row r="16" spans="2:13" x14ac:dyDescent="0.25">
      <c r="D16" s="100" t="s">
        <v>1</v>
      </c>
      <c r="E16" s="42" t="s">
        <v>271</v>
      </c>
      <c r="F16" s="102" t="s">
        <v>8</v>
      </c>
      <c r="G16" s="103"/>
      <c r="H16" s="104"/>
      <c r="I16" s="102" t="s">
        <v>290</v>
      </c>
      <c r="J16" s="103"/>
      <c r="K16" s="104"/>
    </row>
    <row r="17" spans="4:12" x14ac:dyDescent="0.25">
      <c r="D17" s="101"/>
      <c r="E17" s="42" t="s">
        <v>270</v>
      </c>
      <c r="F17" s="106" t="s">
        <v>690</v>
      </c>
      <c r="G17" s="106"/>
      <c r="H17" s="106"/>
      <c r="I17" s="106" t="s">
        <v>690</v>
      </c>
      <c r="J17" s="106"/>
      <c r="K17" s="106"/>
      <c r="L17" s="21"/>
    </row>
    <row r="18" spans="4:12" x14ac:dyDescent="0.25">
      <c r="D18" s="75" t="s">
        <v>265</v>
      </c>
      <c r="E18" s="42" t="s">
        <v>271</v>
      </c>
      <c r="F18" s="106" t="s">
        <v>691</v>
      </c>
      <c r="G18" s="106"/>
      <c r="H18" s="106"/>
      <c r="I18" s="106" t="s">
        <v>691</v>
      </c>
      <c r="J18" s="106"/>
      <c r="K18" s="106"/>
      <c r="L18" s="21"/>
    </row>
    <row r="19" spans="4:12" x14ac:dyDescent="0.25">
      <c r="D19" s="75" t="s">
        <v>266</v>
      </c>
      <c r="E19" s="42" t="s">
        <v>270</v>
      </c>
      <c r="F19" s="106" t="s">
        <v>692</v>
      </c>
      <c r="G19" s="106"/>
      <c r="H19" s="106"/>
      <c r="I19" s="106" t="s">
        <v>692</v>
      </c>
      <c r="J19" s="106"/>
      <c r="K19" s="106"/>
      <c r="L19" s="21"/>
    </row>
    <row r="20" spans="4:12" x14ac:dyDescent="0.25">
      <c r="D20" s="75" t="s">
        <v>267</v>
      </c>
      <c r="E20" s="42" t="s">
        <v>270</v>
      </c>
      <c r="F20" s="106" t="s">
        <v>693</v>
      </c>
      <c r="G20" s="106"/>
      <c r="H20" s="106"/>
      <c r="I20" s="106" t="s">
        <v>693</v>
      </c>
      <c r="J20" s="106"/>
      <c r="K20" s="106"/>
      <c r="L20" s="21"/>
    </row>
    <row r="21" spans="4:12" s="45" customFormat="1" ht="45" x14ac:dyDescent="0.25">
      <c r="D21" s="97" t="s">
        <v>2</v>
      </c>
      <c r="E21" s="97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</row>
    <row r="22" spans="4:12" x14ac:dyDescent="0.25">
      <c r="D22" s="75" t="s">
        <v>268</v>
      </c>
      <c r="E22" s="42" t="s">
        <v>272</v>
      </c>
      <c r="F22" s="1" t="s">
        <v>9</v>
      </c>
      <c r="G22" s="2" t="s">
        <v>9</v>
      </c>
      <c r="H22" s="76" t="s">
        <v>694</v>
      </c>
      <c r="I22" s="1" t="s">
        <v>9</v>
      </c>
      <c r="J22" s="1" t="s">
        <v>9</v>
      </c>
      <c r="K22" s="76" t="s">
        <v>694</v>
      </c>
      <c r="L22" s="21"/>
    </row>
    <row r="23" spans="4:12" x14ac:dyDescent="0.25">
      <c r="D23" s="97" t="s">
        <v>269</v>
      </c>
      <c r="E23" s="42" t="s">
        <v>273</v>
      </c>
      <c r="F23" s="1" t="s">
        <v>9</v>
      </c>
      <c r="G23" s="2" t="s">
        <v>9</v>
      </c>
      <c r="H23" s="76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6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2" x14ac:dyDescent="0.25">
      <c r="D24" s="97"/>
      <c r="E24" s="42" t="s">
        <v>274</v>
      </c>
      <c r="F24" s="1" t="s">
        <v>9</v>
      </c>
      <c r="G24" s="2" t="s">
        <v>9</v>
      </c>
      <c r="H24" s="76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6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2" x14ac:dyDescent="0.25">
      <c r="D25" s="97"/>
      <c r="E25" s="42" t="s">
        <v>282</v>
      </c>
      <c r="F25" s="1" t="s">
        <v>9</v>
      </c>
      <c r="G25" s="2" t="s">
        <v>9</v>
      </c>
      <c r="H25" s="76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6" t="str">
        <f t="shared" si="1"/>
        <v>/VectoCustomerInformation/Data/Results/Result/Total/Fuel/FuelConsumption[@unit='g/p-km']</v>
      </c>
      <c r="L25" s="21"/>
    </row>
    <row r="26" spans="4:12" x14ac:dyDescent="0.25">
      <c r="D26" s="97"/>
      <c r="E26" s="42" t="s">
        <v>275</v>
      </c>
      <c r="F26" s="1" t="s">
        <v>9</v>
      </c>
      <c r="G26" s="2" t="s">
        <v>9</v>
      </c>
      <c r="H26" s="76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6" t="str">
        <f t="shared" si="1"/>
        <v>/VectoCustomerInformation/Data/Results/Result/Total/Fuel/FuelConsumption[@unit='g/m³-km']</v>
      </c>
      <c r="L26" s="36"/>
    </row>
    <row r="27" spans="4:12" x14ac:dyDescent="0.25">
      <c r="D27" s="97"/>
      <c r="E27" s="42" t="s">
        <v>302</v>
      </c>
      <c r="F27" s="1" t="s">
        <v>9</v>
      </c>
      <c r="G27" s="2" t="s">
        <v>9</v>
      </c>
      <c r="H27" s="76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6" t="str">
        <f t="shared" si="1"/>
        <v>/VectoCustomerInformation/Data/Results/Result/Total/Fuel/FuelConsumption[@unit='l/100km']</v>
      </c>
      <c r="L27" s="33"/>
    </row>
    <row r="28" spans="4:12" x14ac:dyDescent="0.25">
      <c r="D28" s="97"/>
      <c r="E28" s="42" t="s">
        <v>284</v>
      </c>
      <c r="F28" s="1" t="s">
        <v>9</v>
      </c>
      <c r="G28" s="2" t="s">
        <v>9</v>
      </c>
      <c r="H28" s="76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6" t="str">
        <f t="shared" si="1"/>
        <v>/VectoCustomerInformation/Data/Results/Result/Total/Fuel/FuelConsumption[@unit='l/t-km']</v>
      </c>
      <c r="L28" s="33"/>
    </row>
    <row r="29" spans="4:12" x14ac:dyDescent="0.25">
      <c r="D29" s="97"/>
      <c r="E29" s="42" t="s">
        <v>285</v>
      </c>
      <c r="F29" s="1" t="s">
        <v>9</v>
      </c>
      <c r="G29" s="2" t="s">
        <v>9</v>
      </c>
      <c r="H29" s="76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6" t="str">
        <f t="shared" si="1"/>
        <v>/VectoCustomerInformation/Data/Results/Result/Total/Fuel/FuelConsumption[@unit='l/p-km']</v>
      </c>
      <c r="L29" s="33"/>
    </row>
    <row r="30" spans="4:12" x14ac:dyDescent="0.25">
      <c r="D30" s="97"/>
      <c r="E30" s="42" t="s">
        <v>286</v>
      </c>
      <c r="F30" s="1" t="s">
        <v>9</v>
      </c>
      <c r="G30" s="2" t="s">
        <v>9</v>
      </c>
      <c r="H30" s="76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6" t="str">
        <f t="shared" si="1"/>
        <v>/VectoCustomerInformation/Data/Results/Result/Total/Fuel/FuelConsumption[@unit='l/m³-km']</v>
      </c>
      <c r="L30" s="33"/>
    </row>
    <row r="31" spans="4:12" x14ac:dyDescent="0.25">
      <c r="D31" s="97"/>
      <c r="E31" s="42" t="s">
        <v>276</v>
      </c>
      <c r="F31" s="1" t="s">
        <v>9</v>
      </c>
      <c r="G31" s="2" t="s">
        <v>9</v>
      </c>
      <c r="H31" s="76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6" t="str">
        <f t="shared" si="1"/>
        <v>/VectoCustomerInformation/Data/Results/Result/Total/Fuel/FuelConsumption[@unit='MJ/km']</v>
      </c>
      <c r="L31" s="33"/>
    </row>
    <row r="32" spans="4:12" x14ac:dyDescent="0.25">
      <c r="D32" s="97"/>
      <c r="E32" s="42" t="s">
        <v>277</v>
      </c>
      <c r="F32" s="1" t="s">
        <v>9</v>
      </c>
      <c r="G32" s="2" t="s">
        <v>9</v>
      </c>
      <c r="H32" s="76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6" t="str">
        <f t="shared" si="1"/>
        <v>/VectoCustomerInformation/Data/Results/Result/Total/Fuel/FuelConsumption[@unit='MJ/t-km']</v>
      </c>
      <c r="L32" s="33"/>
    </row>
    <row r="33" spans="4:12" x14ac:dyDescent="0.25">
      <c r="D33" s="97"/>
      <c r="E33" s="42" t="s">
        <v>283</v>
      </c>
      <c r="F33" s="1" t="s">
        <v>9</v>
      </c>
      <c r="G33" s="2" t="s">
        <v>9</v>
      </c>
      <c r="H33" s="76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6" t="str">
        <f t="shared" si="1"/>
        <v>/VectoCustomerInformation/Data/Results/Result/Total/Fuel/FuelConsumption[@unit='MJ/p-km']</v>
      </c>
      <c r="L33" s="33"/>
    </row>
    <row r="34" spans="4:12" x14ac:dyDescent="0.25">
      <c r="D34" s="97"/>
      <c r="E34" s="42" t="s">
        <v>278</v>
      </c>
      <c r="F34" s="1" t="s">
        <v>9</v>
      </c>
      <c r="G34" s="2" t="s">
        <v>9</v>
      </c>
      <c r="H34" s="76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6" t="str">
        <f t="shared" si="1"/>
        <v>/VectoCustomerInformation/Data/Results/Result/Total/Fuel/FuelConsumption[@unit='MJ/m³-km']</v>
      </c>
      <c r="L34" s="33"/>
    </row>
    <row r="35" spans="4:12" x14ac:dyDescent="0.25">
      <c r="D35" s="97" t="s">
        <v>4</v>
      </c>
      <c r="E35" s="42" t="s">
        <v>279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97"/>
      <c r="E36" s="42" t="s">
        <v>280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97"/>
      <c r="E37" s="42" t="s">
        <v>287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97"/>
      <c r="E38" s="42" t="s">
        <v>281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97"/>
      <c r="E39" s="42" t="s">
        <v>276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97"/>
      <c r="E40" s="42" t="s">
        <v>277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97"/>
      <c r="E41" s="42" t="s">
        <v>283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97"/>
      <c r="E42" s="42" t="s">
        <v>278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97" t="s">
        <v>3</v>
      </c>
      <c r="E43" s="42" t="s">
        <v>273</v>
      </c>
      <c r="F43" s="1" t="s">
        <v>9</v>
      </c>
      <c r="G43" s="2" t="s">
        <v>9</v>
      </c>
      <c r="H43" s="76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6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97"/>
      <c r="E44" s="42" t="s">
        <v>274</v>
      </c>
      <c r="F44" s="1" t="s">
        <v>9</v>
      </c>
      <c r="G44" s="2" t="s">
        <v>9</v>
      </c>
      <c r="H44" s="76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6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97"/>
      <c r="E45" s="42" t="s">
        <v>282</v>
      </c>
      <c r="F45" s="1" t="s">
        <v>9</v>
      </c>
      <c r="G45" s="2" t="s">
        <v>9</v>
      </c>
      <c r="H45" s="76" t="str">
        <f t="shared" si="2"/>
        <v>/VectoCustomerInformation/Data/Results/Result/Total/CO2[@unit='g/p-km']</v>
      </c>
      <c r="I45" s="1" t="s">
        <v>9</v>
      </c>
      <c r="J45" s="2" t="s">
        <v>9</v>
      </c>
      <c r="K45" s="76" t="str">
        <f t="shared" si="3"/>
        <v>/VectoCustomerInformation/Data/Results/Result/Total/CO2[@unit='g/p-km']</v>
      </c>
    </row>
    <row r="46" spans="4:12" x14ac:dyDescent="0.25">
      <c r="D46" s="97"/>
      <c r="E46" s="42" t="s">
        <v>275</v>
      </c>
      <c r="F46" s="1" t="s">
        <v>9</v>
      </c>
      <c r="G46" s="2" t="s">
        <v>9</v>
      </c>
      <c r="H46" s="76" t="str">
        <f t="shared" si="2"/>
        <v>/VectoCustomerInformation/Data/Results/Result/Total/CO2[@unit='g/m³-km']</v>
      </c>
      <c r="I46" s="1" t="s">
        <v>9</v>
      </c>
      <c r="J46" s="2" t="s">
        <v>9</v>
      </c>
      <c r="K46" s="76" t="str">
        <f t="shared" si="3"/>
        <v>/VectoCustomerInformation/Data/Results/Result/Total/CO2[@unit='g/m³-km']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4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4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4" x14ac:dyDescent="0.25">
      <c r="D51" s="97" t="s">
        <v>300</v>
      </c>
      <c r="E51" s="43" t="s">
        <v>273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4" x14ac:dyDescent="0.25">
      <c r="D52" s="97"/>
      <c r="E52" s="43" t="s">
        <v>282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4" x14ac:dyDescent="0.25">
      <c r="D53" s="97"/>
      <c r="E53" s="43" t="s">
        <v>302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4" x14ac:dyDescent="0.25">
      <c r="D54" s="97"/>
      <c r="E54" s="43" t="s">
        <v>285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4" x14ac:dyDescent="0.25">
      <c r="D55" s="97"/>
      <c r="E55" s="43" t="s">
        <v>276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4" x14ac:dyDescent="0.25">
      <c r="D56" s="97"/>
      <c r="E56" s="43" t="s">
        <v>283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4" x14ac:dyDescent="0.25">
      <c r="D57" s="97" t="s">
        <v>301</v>
      </c>
      <c r="E57" s="43" t="s">
        <v>273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4" x14ac:dyDescent="0.25">
      <c r="D58" s="97"/>
      <c r="E58" s="43" t="s">
        <v>282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4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  <c r="N61" s="81"/>
    </row>
    <row r="63" spans="2:14" ht="16.5" x14ac:dyDescent="0.3">
      <c r="C63" s="57" t="s">
        <v>262</v>
      </c>
      <c r="D63" s="58"/>
      <c r="E63" s="58"/>
      <c r="F63" s="58"/>
      <c r="G63" s="58"/>
      <c r="H63" s="58"/>
      <c r="I63" s="58"/>
      <c r="J63" s="58"/>
      <c r="K63" s="58"/>
    </row>
    <row r="64" spans="2:14" ht="15.75" x14ac:dyDescent="0.25">
      <c r="C64" s="49"/>
    </row>
    <row r="65" spans="4:6" x14ac:dyDescent="0.25">
      <c r="D65" s="75" t="s">
        <v>291</v>
      </c>
      <c r="E65" s="42" t="s">
        <v>292</v>
      </c>
      <c r="F65" s="76" t="s">
        <v>701</v>
      </c>
    </row>
    <row r="66" spans="4:6" x14ac:dyDescent="0.25">
      <c r="D66" s="75" t="s">
        <v>293</v>
      </c>
      <c r="E66" s="42" t="s">
        <v>271</v>
      </c>
      <c r="F66" s="76" t="s">
        <v>702</v>
      </c>
    </row>
    <row r="67" spans="4:6" x14ac:dyDescent="0.25">
      <c r="D67" s="97" t="s">
        <v>295</v>
      </c>
      <c r="E67" s="42" t="s">
        <v>294</v>
      </c>
      <c r="F67" s="76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97"/>
      <c r="E68" s="42" t="s">
        <v>296</v>
      </c>
      <c r="F68" s="76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97" t="s">
        <v>297</v>
      </c>
      <c r="E69" s="42" t="s">
        <v>273</v>
      </c>
      <c r="F69" s="76" t="str">
        <f t="shared" si="4"/>
        <v>/VectoCustomerInformation/Data/Results/Summary/CO2[@unit='g/km']</v>
      </c>
    </row>
    <row r="70" spans="4:6" x14ac:dyDescent="0.25">
      <c r="D70" s="97"/>
      <c r="E70" s="42" t="s">
        <v>275</v>
      </c>
      <c r="F70" s="76" t="str">
        <f t="shared" si="4"/>
        <v>/VectoCustomerInformation/Data/Results/Summary/CO2[@unit='g/m³-km']</v>
      </c>
    </row>
    <row r="71" spans="4:6" x14ac:dyDescent="0.25">
      <c r="D71" s="97" t="s">
        <v>269</v>
      </c>
      <c r="E71" s="42" t="s">
        <v>273</v>
      </c>
      <c r="F71" s="76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97"/>
      <c r="E72" s="42" t="s">
        <v>274</v>
      </c>
      <c r="F72" s="76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97"/>
      <c r="E73" s="42" t="s">
        <v>282</v>
      </c>
      <c r="F73" s="76" t="str">
        <f t="shared" si="5"/>
        <v>/VectoCustomerInformation/Data/Results/Summary/Fuel/FuelConsumption[@unit='g/p-km']</v>
      </c>
    </row>
    <row r="74" spans="4:6" x14ac:dyDescent="0.25">
      <c r="D74" s="97"/>
      <c r="E74" s="42" t="s">
        <v>275</v>
      </c>
      <c r="F74" s="76" t="str">
        <f t="shared" si="5"/>
        <v>/VectoCustomerInformation/Data/Results/Summary/Fuel/FuelConsumption[@unit='g/m³-km']</v>
      </c>
    </row>
    <row r="75" spans="4:6" x14ac:dyDescent="0.25">
      <c r="D75" s="97"/>
      <c r="E75" s="42" t="s">
        <v>302</v>
      </c>
      <c r="F75" s="76" t="str">
        <f t="shared" si="5"/>
        <v>/VectoCustomerInformation/Data/Results/Summary/Fuel/FuelConsumption[@unit='l/100km']</v>
      </c>
    </row>
    <row r="76" spans="4:6" x14ac:dyDescent="0.25">
      <c r="D76" s="97"/>
      <c r="E76" s="42" t="s">
        <v>284</v>
      </c>
      <c r="F76" s="76" t="str">
        <f t="shared" si="5"/>
        <v>/VectoCustomerInformation/Data/Results/Summary/Fuel/FuelConsumption[@unit='l/t-km']</v>
      </c>
    </row>
    <row r="77" spans="4:6" x14ac:dyDescent="0.25">
      <c r="D77" s="97"/>
      <c r="E77" s="42" t="s">
        <v>285</v>
      </c>
      <c r="F77" s="76" t="str">
        <f t="shared" si="5"/>
        <v>/VectoCustomerInformation/Data/Results/Summary/Fuel/FuelConsumption[@unit='l/p-km']</v>
      </c>
    </row>
    <row r="78" spans="4:6" x14ac:dyDescent="0.25">
      <c r="D78" s="97"/>
      <c r="E78" s="42" t="s">
        <v>286</v>
      </c>
      <c r="F78" s="76" t="str">
        <f t="shared" si="5"/>
        <v>/VectoCustomerInformation/Data/Results/Summary/Fuel/FuelConsumption[@unit='l/m³-km']</v>
      </c>
    </row>
    <row r="79" spans="4:6" x14ac:dyDescent="0.25">
      <c r="D79" s="97"/>
      <c r="E79" s="42" t="s">
        <v>276</v>
      </c>
      <c r="F79" s="76" t="str">
        <f t="shared" si="5"/>
        <v>/VectoCustomerInformation/Data/Results/Summary/Fuel/FuelConsumption[@unit='MJ/km']</v>
      </c>
    </row>
    <row r="80" spans="4:6" x14ac:dyDescent="0.25">
      <c r="D80" s="97"/>
      <c r="E80" s="42" t="s">
        <v>277</v>
      </c>
      <c r="F80" s="76" t="str">
        <f t="shared" si="5"/>
        <v>/VectoCustomerInformation/Data/Results/Summary/Fuel/FuelConsumption[@unit='MJ/t-km']</v>
      </c>
    </row>
    <row r="81" spans="4:6" x14ac:dyDescent="0.25">
      <c r="D81" s="97"/>
      <c r="E81" s="42" t="s">
        <v>283</v>
      </c>
      <c r="F81" s="76" t="str">
        <f t="shared" si="5"/>
        <v>/VectoCustomerInformation/Data/Results/Summary/Fuel/FuelConsumption[@unit='MJ/p-km']</v>
      </c>
    </row>
    <row r="82" spans="4:6" x14ac:dyDescent="0.25">
      <c r="D82" s="97"/>
      <c r="E82" s="42" t="s">
        <v>278</v>
      </c>
      <c r="F82" s="76" t="str">
        <f t="shared" si="5"/>
        <v>/VectoCustomerInformation/Data/Results/Summary/Fuel/FuelConsumption[@unit='MJ/m³-km']</v>
      </c>
    </row>
    <row r="83" spans="4:6" x14ac:dyDescent="0.25">
      <c r="D83" s="97" t="s">
        <v>298</v>
      </c>
      <c r="E83" s="42" t="s">
        <v>280</v>
      </c>
      <c r="F83" s="1" t="s">
        <v>9</v>
      </c>
    </row>
    <row r="84" spans="4:6" x14ac:dyDescent="0.25">
      <c r="D84" s="97"/>
      <c r="E84" s="42" t="s">
        <v>287</v>
      </c>
      <c r="F84" s="1" t="s">
        <v>9</v>
      </c>
    </row>
    <row r="85" spans="4:6" x14ac:dyDescent="0.25">
      <c r="D85" s="97" t="s">
        <v>299</v>
      </c>
      <c r="E85" s="42" t="s">
        <v>279</v>
      </c>
      <c r="F85" s="1" t="s">
        <v>9</v>
      </c>
    </row>
    <row r="86" spans="4:6" x14ac:dyDescent="0.25">
      <c r="D86" s="97"/>
      <c r="E86" s="42" t="s">
        <v>281</v>
      </c>
      <c r="F86" s="1" t="s">
        <v>9</v>
      </c>
    </row>
    <row r="87" spans="4:6" x14ac:dyDescent="0.25">
      <c r="D87" s="97"/>
      <c r="E87" s="42" t="s">
        <v>277</v>
      </c>
      <c r="F87" s="1" t="s">
        <v>9</v>
      </c>
    </row>
    <row r="88" spans="4:6" x14ac:dyDescent="0.25">
      <c r="D88" s="97"/>
      <c r="E88" s="42" t="s">
        <v>283</v>
      </c>
      <c r="F88" s="1" t="s">
        <v>9</v>
      </c>
    </row>
    <row r="89" spans="4:6" x14ac:dyDescent="0.25">
      <c r="D89" s="97"/>
      <c r="E89" s="42" t="s">
        <v>276</v>
      </c>
      <c r="F89" s="1" t="s">
        <v>9</v>
      </c>
    </row>
    <row r="90" spans="4:6" x14ac:dyDescent="0.25">
      <c r="D90" s="97"/>
      <c r="E90" s="42" t="s">
        <v>278</v>
      </c>
      <c r="F90" s="1" t="s">
        <v>9</v>
      </c>
    </row>
    <row r="91" spans="4:6" x14ac:dyDescent="0.25">
      <c r="D91" s="75" t="s">
        <v>288</v>
      </c>
      <c r="E91" s="43" t="s">
        <v>6</v>
      </c>
      <c r="F91" s="1" t="s">
        <v>9</v>
      </c>
    </row>
    <row r="92" spans="4:6" x14ac:dyDescent="0.25">
      <c r="D92" s="75" t="s">
        <v>289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97" t="s">
        <v>300</v>
      </c>
      <c r="E94" s="43" t="s">
        <v>273</v>
      </c>
      <c r="F94" s="1" t="s">
        <v>9</v>
      </c>
    </row>
    <row r="95" spans="4:6" x14ac:dyDescent="0.25">
      <c r="D95" s="97"/>
      <c r="E95" s="43" t="s">
        <v>282</v>
      </c>
      <c r="F95" s="1" t="s">
        <v>9</v>
      </c>
    </row>
    <row r="96" spans="4:6" x14ac:dyDescent="0.25">
      <c r="D96" s="97"/>
      <c r="E96" s="43" t="s">
        <v>302</v>
      </c>
      <c r="F96" s="1" t="s">
        <v>9</v>
      </c>
    </row>
    <row r="97" spans="4:6" x14ac:dyDescent="0.25">
      <c r="D97" s="97"/>
      <c r="E97" s="43" t="s">
        <v>285</v>
      </c>
      <c r="F97" s="1" t="s">
        <v>9</v>
      </c>
    </row>
    <row r="98" spans="4:6" x14ac:dyDescent="0.25">
      <c r="D98" s="97"/>
      <c r="E98" s="43" t="s">
        <v>276</v>
      </c>
      <c r="F98" s="1" t="s">
        <v>9</v>
      </c>
    </row>
    <row r="99" spans="4:6" x14ac:dyDescent="0.25">
      <c r="D99" s="97"/>
      <c r="E99" s="43" t="s">
        <v>283</v>
      </c>
      <c r="F99" s="1" t="s">
        <v>9</v>
      </c>
    </row>
    <row r="100" spans="4:6" x14ac:dyDescent="0.25">
      <c r="D100" s="97" t="s">
        <v>301</v>
      </c>
      <c r="E100" s="43" t="s">
        <v>273</v>
      </c>
      <c r="F100" s="1" t="s">
        <v>9</v>
      </c>
    </row>
    <row r="101" spans="4:6" x14ac:dyDescent="0.25">
      <c r="D101" s="97"/>
      <c r="E101" s="43" t="s">
        <v>282</v>
      </c>
      <c r="F101" s="1" t="s">
        <v>9</v>
      </c>
    </row>
  </sheetData>
  <customSheetViews>
    <customSheetView guid="{638E9BBB-9DE1-4C03-99E5-6DF442C45AE3}" showPageBreaks="1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00:D101"/>
    <mergeCell ref="D85:D90"/>
    <mergeCell ref="D94:D99"/>
    <mergeCell ref="D57:D58"/>
    <mergeCell ref="D67:D68"/>
    <mergeCell ref="D69:D70"/>
    <mergeCell ref="D71:D82"/>
    <mergeCell ref="D83:D84"/>
    <mergeCell ref="D21:E21"/>
    <mergeCell ref="D23:D34"/>
    <mergeCell ref="D35:D42"/>
    <mergeCell ref="D43:D46"/>
    <mergeCell ref="D51:D56"/>
    <mergeCell ref="F18:H18"/>
    <mergeCell ref="I18:K18"/>
    <mergeCell ref="F20:H20"/>
    <mergeCell ref="I20:K20"/>
    <mergeCell ref="F19:H19"/>
    <mergeCell ref="I19:K19"/>
    <mergeCell ref="D16:D17"/>
    <mergeCell ref="F16:H16"/>
    <mergeCell ref="I16:K16"/>
    <mergeCell ref="D15:E15"/>
    <mergeCell ref="F15:K15"/>
    <mergeCell ref="F17:H17"/>
    <mergeCell ref="I17:K17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AP101"/>
  <sheetViews>
    <sheetView zoomScaleNormal="100"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  <c r="M2" s="79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313</v>
      </c>
      <c r="M4" s="49"/>
    </row>
    <row r="5" spans="2:13" ht="15.75" x14ac:dyDescent="0.25">
      <c r="C5" s="1" t="s">
        <v>9</v>
      </c>
      <c r="D5" t="s">
        <v>311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3" ht="16.5" x14ac:dyDescent="0.3">
      <c r="C13" s="57" t="s">
        <v>263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98" t="s">
        <v>0</v>
      </c>
      <c r="E15" s="98"/>
      <c r="F15" s="99" t="s">
        <v>689</v>
      </c>
      <c r="G15" s="99"/>
      <c r="H15" s="99"/>
      <c r="I15" s="99"/>
      <c r="J15" s="99"/>
      <c r="K15" s="99"/>
    </row>
    <row r="16" spans="2:13" x14ac:dyDescent="0.25">
      <c r="D16" s="100" t="s">
        <v>1</v>
      </c>
      <c r="E16" s="42" t="s">
        <v>271</v>
      </c>
      <c r="F16" s="102" t="s">
        <v>8</v>
      </c>
      <c r="G16" s="103"/>
      <c r="H16" s="104"/>
      <c r="I16" s="102" t="s">
        <v>290</v>
      </c>
      <c r="J16" s="103"/>
      <c r="K16" s="104"/>
    </row>
    <row r="17" spans="4:42" x14ac:dyDescent="0.25">
      <c r="D17" s="101"/>
      <c r="E17" s="42" t="s">
        <v>270</v>
      </c>
      <c r="F17" s="106" t="s">
        <v>690</v>
      </c>
      <c r="G17" s="106"/>
      <c r="H17" s="106"/>
      <c r="I17" s="106" t="s">
        <v>690</v>
      </c>
      <c r="J17" s="106"/>
      <c r="K17" s="106"/>
      <c r="L17" s="21"/>
    </row>
    <row r="18" spans="4:42" x14ac:dyDescent="0.25">
      <c r="D18" s="75" t="s">
        <v>265</v>
      </c>
      <c r="E18" s="42" t="s">
        <v>271</v>
      </c>
      <c r="F18" s="106" t="s">
        <v>691</v>
      </c>
      <c r="G18" s="106"/>
      <c r="H18" s="106"/>
      <c r="I18" s="106" t="s">
        <v>691</v>
      </c>
      <c r="J18" s="106"/>
      <c r="K18" s="106"/>
      <c r="L18" s="21"/>
    </row>
    <row r="19" spans="4:42" x14ac:dyDescent="0.25">
      <c r="D19" s="75" t="s">
        <v>266</v>
      </c>
      <c r="E19" s="42" t="s">
        <v>270</v>
      </c>
      <c r="F19" s="106" t="s">
        <v>692</v>
      </c>
      <c r="G19" s="106"/>
      <c r="H19" s="106"/>
      <c r="I19" s="106" t="s">
        <v>692</v>
      </c>
      <c r="J19" s="106"/>
      <c r="K19" s="106"/>
      <c r="L19" s="21"/>
    </row>
    <row r="20" spans="4:42" x14ac:dyDescent="0.25">
      <c r="D20" s="75" t="s">
        <v>267</v>
      </c>
      <c r="E20" s="42" t="s">
        <v>270</v>
      </c>
      <c r="F20" s="106" t="s">
        <v>693</v>
      </c>
      <c r="G20" s="106"/>
      <c r="H20" s="106"/>
      <c r="I20" s="106" t="s">
        <v>693</v>
      </c>
      <c r="J20" s="106"/>
      <c r="K20" s="106"/>
      <c r="L20" s="21"/>
    </row>
    <row r="21" spans="4:42" s="45" customFormat="1" ht="45" x14ac:dyDescent="0.25">
      <c r="D21" s="97" t="s">
        <v>2</v>
      </c>
      <c r="E21" s="97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4:42" x14ac:dyDescent="0.25">
      <c r="D22" s="75" t="s">
        <v>268</v>
      </c>
      <c r="E22" s="42" t="s">
        <v>272</v>
      </c>
      <c r="F22" s="76" t="s">
        <v>695</v>
      </c>
      <c r="G22" s="76" t="s">
        <v>696</v>
      </c>
      <c r="H22" s="76" t="s">
        <v>694</v>
      </c>
      <c r="I22" s="76" t="s">
        <v>695</v>
      </c>
      <c r="J22" s="76" t="s">
        <v>696</v>
      </c>
      <c r="K22" s="76" t="s">
        <v>694</v>
      </c>
      <c r="L22" s="21"/>
    </row>
    <row r="23" spans="4:42" x14ac:dyDescent="0.25">
      <c r="D23" s="97" t="s">
        <v>269</v>
      </c>
      <c r="E23" s="42" t="s">
        <v>273</v>
      </c>
      <c r="F23" s="76" t="str">
        <f t="shared" ref="F23:F34" si="0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G23" s="76" t="str">
        <f t="shared" ref="G23:G34" si="1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H23" s="76" t="str">
        <f t="shared" ref="H23:H34" si="2">CONCATENATE("/VectoCustomerInformation/Data/Results/Result/Total/Fuel/FuelConsumption[@unit='",E23,"']")</f>
        <v>/VectoCustomerInformation/Data/Results/Result/Total/Fuel/FuelConsumption[@unit='g/km']</v>
      </c>
      <c r="I23" s="76" t="str">
        <f t="shared" ref="I23:I34" si="3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J23" s="76" t="str">
        <f t="shared" ref="J23:J34" si="4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K23" s="76" t="str">
        <f t="shared" ref="K23:K34" si="5"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42" x14ac:dyDescent="0.25">
      <c r="D24" s="97"/>
      <c r="E24" s="42" t="s">
        <v>274</v>
      </c>
      <c r="F24" s="76" t="str">
        <f t="shared" si="0"/>
        <v>/VectoCustomerInformation/Data/Results/Result/OVCMode[@type='charge depleting']/Fuel/FuelConsumption[@unit='g/t-km']</v>
      </c>
      <c r="G24" s="76" t="str">
        <f t="shared" si="1"/>
        <v>/VectoCustomerInformation/Data/Results/Result/OVCMode[@type='charge sustaining']/Fuel/FuelConsumption[@unit='g/t-km']</v>
      </c>
      <c r="H24" s="76" t="str">
        <f t="shared" si="2"/>
        <v>/VectoCustomerInformation/Data/Results/Result/Total/Fuel/FuelConsumption[@unit='g/t-km']</v>
      </c>
      <c r="I24" s="76" t="str">
        <f t="shared" si="3"/>
        <v>/VectoCustomerInformation/Data/Results/Result/OVCMode[@type='charge depleting']/Fuel/FuelConsumption[@unit='g/t-km']</v>
      </c>
      <c r="J24" s="76" t="str">
        <f t="shared" si="4"/>
        <v>/VectoCustomerInformation/Data/Results/Result/OVCMode[@type='charge sustaining']/Fuel/FuelConsumption[@unit='g/t-km']</v>
      </c>
      <c r="K24" s="76" t="str">
        <f t="shared" si="5"/>
        <v>/VectoCustomerInformation/Data/Results/Result/Total/Fuel/FuelConsumption[@unit='g/t-km']</v>
      </c>
      <c r="L24" s="21"/>
    </row>
    <row r="25" spans="4:42" x14ac:dyDescent="0.25">
      <c r="D25" s="97"/>
      <c r="E25" s="42" t="s">
        <v>282</v>
      </c>
      <c r="F25" s="76" t="str">
        <f t="shared" si="0"/>
        <v>/VectoCustomerInformation/Data/Results/Result/OVCMode[@type='charge depleting']/Fuel/FuelConsumption[@unit='g/p-km']</v>
      </c>
      <c r="G25" s="76" t="str">
        <f t="shared" si="1"/>
        <v>/VectoCustomerInformation/Data/Results/Result/OVCMode[@type='charge sustaining']/Fuel/FuelConsumption[@unit='g/p-km']</v>
      </c>
      <c r="H25" s="76" t="str">
        <f t="shared" si="2"/>
        <v>/VectoCustomerInformation/Data/Results/Result/Total/Fuel/FuelConsumption[@unit='g/p-km']</v>
      </c>
      <c r="I25" s="76" t="str">
        <f t="shared" si="3"/>
        <v>/VectoCustomerInformation/Data/Results/Result/OVCMode[@type='charge depleting']/Fuel/FuelConsumption[@unit='g/p-km']</v>
      </c>
      <c r="J25" s="76" t="str">
        <f t="shared" si="4"/>
        <v>/VectoCustomerInformation/Data/Results/Result/OVCMode[@type='charge sustaining']/Fuel/FuelConsumption[@unit='g/p-km']</v>
      </c>
      <c r="K25" s="76" t="str">
        <f t="shared" si="5"/>
        <v>/VectoCustomerInformation/Data/Results/Result/Total/Fuel/FuelConsumption[@unit='g/p-km']</v>
      </c>
      <c r="L25" s="21"/>
    </row>
    <row r="26" spans="4:42" x14ac:dyDescent="0.25">
      <c r="D26" s="97"/>
      <c r="E26" s="42" t="s">
        <v>275</v>
      </c>
      <c r="F26" s="76" t="str">
        <f t="shared" si="0"/>
        <v>/VectoCustomerInformation/Data/Results/Result/OVCMode[@type='charge depleting']/Fuel/FuelConsumption[@unit='g/m³-km']</v>
      </c>
      <c r="G26" s="76" t="str">
        <f t="shared" si="1"/>
        <v>/VectoCustomerInformation/Data/Results/Result/OVCMode[@type='charge sustaining']/Fuel/FuelConsumption[@unit='g/m³-km']</v>
      </c>
      <c r="H26" s="76" t="str">
        <f t="shared" si="2"/>
        <v>/VectoCustomerInformation/Data/Results/Result/Total/Fuel/FuelConsumption[@unit='g/m³-km']</v>
      </c>
      <c r="I26" s="76" t="str">
        <f t="shared" si="3"/>
        <v>/VectoCustomerInformation/Data/Results/Result/OVCMode[@type='charge depleting']/Fuel/FuelConsumption[@unit='g/m³-km']</v>
      </c>
      <c r="J26" s="76" t="str">
        <f t="shared" si="4"/>
        <v>/VectoCustomerInformation/Data/Results/Result/OVCMode[@type='charge sustaining']/Fuel/FuelConsumption[@unit='g/m³-km']</v>
      </c>
      <c r="K26" s="76" t="str">
        <f t="shared" si="5"/>
        <v>/VectoCustomerInformation/Data/Results/Result/Total/Fuel/FuelConsumption[@unit='g/m³-km']</v>
      </c>
      <c r="L26" s="36"/>
    </row>
    <row r="27" spans="4:42" x14ac:dyDescent="0.25">
      <c r="D27" s="97"/>
      <c r="E27" s="42" t="s">
        <v>302</v>
      </c>
      <c r="F27" s="76" t="str">
        <f t="shared" si="0"/>
        <v>/VectoCustomerInformation/Data/Results/Result/OVCMode[@type='charge depleting']/Fuel/FuelConsumption[@unit='l/100km']</v>
      </c>
      <c r="G27" s="76" t="str">
        <f t="shared" si="1"/>
        <v>/VectoCustomerInformation/Data/Results/Result/OVCMode[@type='charge sustaining']/Fuel/FuelConsumption[@unit='l/100km']</v>
      </c>
      <c r="H27" s="76" t="str">
        <f t="shared" si="2"/>
        <v>/VectoCustomerInformation/Data/Results/Result/Total/Fuel/FuelConsumption[@unit='l/100km']</v>
      </c>
      <c r="I27" s="76" t="str">
        <f t="shared" si="3"/>
        <v>/VectoCustomerInformation/Data/Results/Result/OVCMode[@type='charge depleting']/Fuel/FuelConsumption[@unit='l/100km']</v>
      </c>
      <c r="J27" s="76" t="str">
        <f t="shared" si="4"/>
        <v>/VectoCustomerInformation/Data/Results/Result/OVCMode[@type='charge sustaining']/Fuel/FuelConsumption[@unit='l/100km']</v>
      </c>
      <c r="K27" s="76" t="str">
        <f t="shared" si="5"/>
        <v>/VectoCustomerInformation/Data/Results/Result/Total/Fuel/FuelConsumption[@unit='l/100km']</v>
      </c>
      <c r="L27" s="33"/>
    </row>
    <row r="28" spans="4:42" x14ac:dyDescent="0.25">
      <c r="D28" s="97"/>
      <c r="E28" s="42" t="s">
        <v>284</v>
      </c>
      <c r="F28" s="76" t="str">
        <f t="shared" si="0"/>
        <v>/VectoCustomerInformation/Data/Results/Result/OVCMode[@type='charge depleting']/Fuel/FuelConsumption[@unit='l/t-km']</v>
      </c>
      <c r="G28" s="76" t="str">
        <f t="shared" si="1"/>
        <v>/VectoCustomerInformation/Data/Results/Result/OVCMode[@type='charge sustaining']/Fuel/FuelConsumption[@unit='l/t-km']</v>
      </c>
      <c r="H28" s="76" t="str">
        <f t="shared" si="2"/>
        <v>/VectoCustomerInformation/Data/Results/Result/Total/Fuel/FuelConsumption[@unit='l/t-km']</v>
      </c>
      <c r="I28" s="76" t="str">
        <f t="shared" si="3"/>
        <v>/VectoCustomerInformation/Data/Results/Result/OVCMode[@type='charge depleting']/Fuel/FuelConsumption[@unit='l/t-km']</v>
      </c>
      <c r="J28" s="76" t="str">
        <f t="shared" si="4"/>
        <v>/VectoCustomerInformation/Data/Results/Result/OVCMode[@type='charge sustaining']/Fuel/FuelConsumption[@unit='l/t-km']</v>
      </c>
      <c r="K28" s="76" t="str">
        <f t="shared" si="5"/>
        <v>/VectoCustomerInformation/Data/Results/Result/Total/Fuel/FuelConsumption[@unit='l/t-km']</v>
      </c>
      <c r="L28" s="33"/>
    </row>
    <row r="29" spans="4:42" x14ac:dyDescent="0.25">
      <c r="D29" s="97"/>
      <c r="E29" s="42" t="s">
        <v>285</v>
      </c>
      <c r="F29" s="76" t="str">
        <f t="shared" si="0"/>
        <v>/VectoCustomerInformation/Data/Results/Result/OVCMode[@type='charge depleting']/Fuel/FuelConsumption[@unit='l/p-km']</v>
      </c>
      <c r="G29" s="76" t="str">
        <f t="shared" si="1"/>
        <v>/VectoCustomerInformation/Data/Results/Result/OVCMode[@type='charge sustaining']/Fuel/FuelConsumption[@unit='l/p-km']</v>
      </c>
      <c r="H29" s="76" t="str">
        <f t="shared" si="2"/>
        <v>/VectoCustomerInformation/Data/Results/Result/Total/Fuel/FuelConsumption[@unit='l/p-km']</v>
      </c>
      <c r="I29" s="76" t="str">
        <f t="shared" si="3"/>
        <v>/VectoCustomerInformation/Data/Results/Result/OVCMode[@type='charge depleting']/Fuel/FuelConsumption[@unit='l/p-km']</v>
      </c>
      <c r="J29" s="76" t="str">
        <f t="shared" si="4"/>
        <v>/VectoCustomerInformation/Data/Results/Result/OVCMode[@type='charge sustaining']/Fuel/FuelConsumption[@unit='l/p-km']</v>
      </c>
      <c r="K29" s="76" t="str">
        <f t="shared" si="5"/>
        <v>/VectoCustomerInformation/Data/Results/Result/Total/Fuel/FuelConsumption[@unit='l/p-km']</v>
      </c>
      <c r="L29" s="33"/>
    </row>
    <row r="30" spans="4:42" x14ac:dyDescent="0.25">
      <c r="D30" s="97"/>
      <c r="E30" s="42" t="s">
        <v>286</v>
      </c>
      <c r="F30" s="76" t="str">
        <f t="shared" si="0"/>
        <v>/VectoCustomerInformation/Data/Results/Result/OVCMode[@type='charge depleting']/Fuel/FuelConsumption[@unit='l/m³-km']</v>
      </c>
      <c r="G30" s="76" t="str">
        <f t="shared" si="1"/>
        <v>/VectoCustomerInformation/Data/Results/Result/OVCMode[@type='charge sustaining']/Fuel/FuelConsumption[@unit='l/m³-km']</v>
      </c>
      <c r="H30" s="76" t="str">
        <f t="shared" si="2"/>
        <v>/VectoCustomerInformation/Data/Results/Result/Total/Fuel/FuelConsumption[@unit='l/m³-km']</v>
      </c>
      <c r="I30" s="76" t="str">
        <f t="shared" si="3"/>
        <v>/VectoCustomerInformation/Data/Results/Result/OVCMode[@type='charge depleting']/Fuel/FuelConsumption[@unit='l/m³-km']</v>
      </c>
      <c r="J30" s="76" t="str">
        <f t="shared" si="4"/>
        <v>/VectoCustomerInformation/Data/Results/Result/OVCMode[@type='charge sustaining']/Fuel/FuelConsumption[@unit='l/m³-km']</v>
      </c>
      <c r="K30" s="76" t="str">
        <f t="shared" si="5"/>
        <v>/VectoCustomerInformation/Data/Results/Result/Total/Fuel/FuelConsumption[@unit='l/m³-km']</v>
      </c>
      <c r="L30" s="33"/>
    </row>
    <row r="31" spans="4:42" x14ac:dyDescent="0.25">
      <c r="D31" s="97"/>
      <c r="E31" s="42" t="s">
        <v>276</v>
      </c>
      <c r="F31" s="76" t="str">
        <f t="shared" si="0"/>
        <v>/VectoCustomerInformation/Data/Results/Result/OVCMode[@type='charge depleting']/Fuel/FuelConsumption[@unit='MJ/km']</v>
      </c>
      <c r="G31" s="76" t="str">
        <f t="shared" si="1"/>
        <v>/VectoCustomerInformation/Data/Results/Result/OVCMode[@type='charge sustaining']/Fuel/FuelConsumption[@unit='MJ/km']</v>
      </c>
      <c r="H31" s="76" t="str">
        <f t="shared" si="2"/>
        <v>/VectoCustomerInformation/Data/Results/Result/Total/Fuel/FuelConsumption[@unit='MJ/km']</v>
      </c>
      <c r="I31" s="76" t="str">
        <f t="shared" si="3"/>
        <v>/VectoCustomerInformation/Data/Results/Result/OVCMode[@type='charge depleting']/Fuel/FuelConsumption[@unit='MJ/km']</v>
      </c>
      <c r="J31" s="76" t="str">
        <f t="shared" si="4"/>
        <v>/VectoCustomerInformation/Data/Results/Result/OVCMode[@type='charge sustaining']/Fuel/FuelConsumption[@unit='MJ/km']</v>
      </c>
      <c r="K31" s="76" t="str">
        <f t="shared" si="5"/>
        <v>/VectoCustomerInformation/Data/Results/Result/Total/Fuel/FuelConsumption[@unit='MJ/km']</v>
      </c>
      <c r="L31" s="33"/>
    </row>
    <row r="32" spans="4:42" x14ac:dyDescent="0.25">
      <c r="D32" s="97"/>
      <c r="E32" s="42" t="s">
        <v>277</v>
      </c>
      <c r="F32" s="76" t="str">
        <f t="shared" si="0"/>
        <v>/VectoCustomerInformation/Data/Results/Result/OVCMode[@type='charge depleting']/Fuel/FuelConsumption[@unit='MJ/t-km']</v>
      </c>
      <c r="G32" s="76" t="str">
        <f t="shared" si="1"/>
        <v>/VectoCustomerInformation/Data/Results/Result/OVCMode[@type='charge sustaining']/Fuel/FuelConsumption[@unit='MJ/t-km']</v>
      </c>
      <c r="H32" s="76" t="str">
        <f t="shared" si="2"/>
        <v>/VectoCustomerInformation/Data/Results/Result/Total/Fuel/FuelConsumption[@unit='MJ/t-km']</v>
      </c>
      <c r="I32" s="76" t="str">
        <f t="shared" si="3"/>
        <v>/VectoCustomerInformation/Data/Results/Result/OVCMode[@type='charge depleting']/Fuel/FuelConsumption[@unit='MJ/t-km']</v>
      </c>
      <c r="J32" s="76" t="str">
        <f t="shared" si="4"/>
        <v>/VectoCustomerInformation/Data/Results/Result/OVCMode[@type='charge sustaining']/Fuel/FuelConsumption[@unit='MJ/t-km']</v>
      </c>
      <c r="K32" s="76" t="str">
        <f t="shared" si="5"/>
        <v>/VectoCustomerInformation/Data/Results/Result/Total/Fuel/FuelConsumption[@unit='MJ/t-km']</v>
      </c>
      <c r="L32" s="33"/>
    </row>
    <row r="33" spans="4:12" x14ac:dyDescent="0.25">
      <c r="D33" s="97"/>
      <c r="E33" s="42" t="s">
        <v>283</v>
      </c>
      <c r="F33" s="76" t="str">
        <f t="shared" si="0"/>
        <v>/VectoCustomerInformation/Data/Results/Result/OVCMode[@type='charge depleting']/Fuel/FuelConsumption[@unit='MJ/p-km']</v>
      </c>
      <c r="G33" s="76" t="str">
        <f t="shared" si="1"/>
        <v>/VectoCustomerInformation/Data/Results/Result/OVCMode[@type='charge sustaining']/Fuel/FuelConsumption[@unit='MJ/p-km']</v>
      </c>
      <c r="H33" s="76" t="str">
        <f t="shared" si="2"/>
        <v>/VectoCustomerInformation/Data/Results/Result/Total/Fuel/FuelConsumption[@unit='MJ/p-km']</v>
      </c>
      <c r="I33" s="76" t="str">
        <f t="shared" si="3"/>
        <v>/VectoCustomerInformation/Data/Results/Result/OVCMode[@type='charge depleting']/Fuel/FuelConsumption[@unit='MJ/p-km']</v>
      </c>
      <c r="J33" s="76" t="str">
        <f t="shared" si="4"/>
        <v>/VectoCustomerInformation/Data/Results/Result/OVCMode[@type='charge sustaining']/Fuel/FuelConsumption[@unit='MJ/p-km']</v>
      </c>
      <c r="K33" s="76" t="str">
        <f t="shared" si="5"/>
        <v>/VectoCustomerInformation/Data/Results/Result/Total/Fuel/FuelConsumption[@unit='MJ/p-km']</v>
      </c>
      <c r="L33" s="33"/>
    </row>
    <row r="34" spans="4:12" x14ac:dyDescent="0.25">
      <c r="D34" s="97"/>
      <c r="E34" s="42" t="s">
        <v>278</v>
      </c>
      <c r="F34" s="76" t="str">
        <f t="shared" si="0"/>
        <v>/VectoCustomerInformation/Data/Results/Result/OVCMode[@type='charge depleting']/Fuel/FuelConsumption[@unit='MJ/m³-km']</v>
      </c>
      <c r="G34" s="76" t="str">
        <f t="shared" si="1"/>
        <v>/VectoCustomerInformation/Data/Results/Result/OVCMode[@type='charge sustaining']/Fuel/FuelConsumption[@unit='MJ/m³-km']</v>
      </c>
      <c r="H34" s="76" t="str">
        <f t="shared" si="2"/>
        <v>/VectoCustomerInformation/Data/Results/Result/Total/Fuel/FuelConsumption[@unit='MJ/m³-km']</v>
      </c>
      <c r="I34" s="76" t="str">
        <f t="shared" si="3"/>
        <v>/VectoCustomerInformation/Data/Results/Result/OVCMode[@type='charge depleting']/Fuel/FuelConsumption[@unit='MJ/m³-km']</v>
      </c>
      <c r="J34" s="76" t="str">
        <f t="shared" si="4"/>
        <v>/VectoCustomerInformation/Data/Results/Result/OVCMode[@type='charge sustaining']/Fuel/FuelConsumption[@unit='MJ/m³-km']</v>
      </c>
      <c r="K34" s="76" t="str">
        <f t="shared" si="5"/>
        <v>/VectoCustomerInformation/Data/Results/Result/Total/Fuel/FuelConsumption[@unit='MJ/m³-km']</v>
      </c>
      <c r="L34" s="33"/>
    </row>
    <row r="35" spans="4:12" x14ac:dyDescent="0.25">
      <c r="D35" s="97" t="s">
        <v>4</v>
      </c>
      <c r="E35" s="42" t="s">
        <v>279</v>
      </c>
      <c r="F35" s="76" t="str">
        <f t="shared" ref="F35:F42" si="6">CONCATENATE("/VectoCustomerInformation/Data/Results/Result/OVCMode[@type='charge depleting']/ElectricEnergy/EnergyConsumption[@unit='",E35,"']")</f>
        <v>/VectoCustomerInformation/Data/Results/Result/OVCMode[@type='charge depleting']/ElectricEnergy/EnergyConsumption[@unit='kWh/km']</v>
      </c>
      <c r="G35" s="1" t="s">
        <v>9</v>
      </c>
      <c r="H35" s="76" t="str">
        <f t="shared" ref="H35:H42" si="7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76" t="str">
        <f t="shared" ref="J35:J42" si="8">CONCATENATE("/VectoCustomerInformation/Data/Results/Result/OVCMode[@type='charge sustaining']/ElectricEnergy/EnergyConsumption[@unit='",E35,"']")</f>
        <v>/VectoCustomerInformation/Data/Results/Result/OVCMode[@type='charge sustaining']/ElectricEnergy/EnergyConsumption[@unit='kWh/km']</v>
      </c>
      <c r="K35" s="76" t="str">
        <f t="shared" ref="K35:K43" si="9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97"/>
      <c r="E36" s="42" t="s">
        <v>280</v>
      </c>
      <c r="F36" s="76" t="str">
        <f t="shared" si="6"/>
        <v>/VectoCustomerInformation/Data/Results/Result/OVCMode[@type='charge depleting']/ElectricEnergy/EnergyConsumption[@unit='kWh/t-km']</v>
      </c>
      <c r="G36" s="1" t="s">
        <v>9</v>
      </c>
      <c r="H36" s="76" t="str">
        <f t="shared" si="7"/>
        <v>/VectoCustomerInformation/Data/Results/Result/Total/ElectricEnergy/EnergyConsumption[@unit='kWh/t-km']</v>
      </c>
      <c r="I36" s="1" t="s">
        <v>9</v>
      </c>
      <c r="J36" s="76" t="str">
        <f t="shared" si="8"/>
        <v>/VectoCustomerInformation/Data/Results/Result/OVCMode[@type='charge sustaining']/ElectricEnergy/EnergyConsumption[@unit='kWh/t-km']</v>
      </c>
      <c r="K36" s="76" t="str">
        <f t="shared" si="9"/>
        <v>/VectoCustomerInformation/Data/Results/Result/Total/ElectricEnergy/EnergyConsumption[@unit='kWh/t-km']</v>
      </c>
      <c r="L36" s="38"/>
    </row>
    <row r="37" spans="4:12" x14ac:dyDescent="0.25">
      <c r="D37" s="97"/>
      <c r="E37" s="42" t="s">
        <v>287</v>
      </c>
      <c r="F37" s="76" t="str">
        <f t="shared" si="6"/>
        <v>/VectoCustomerInformation/Data/Results/Result/OVCMode[@type='charge depleting']/ElectricEnergy/EnergyConsumption[@unit='kWh/p-km']</v>
      </c>
      <c r="G37" s="1" t="s">
        <v>9</v>
      </c>
      <c r="H37" s="76" t="str">
        <f t="shared" si="7"/>
        <v>/VectoCustomerInformation/Data/Results/Result/Total/ElectricEnergy/EnergyConsumption[@unit='kWh/p-km']</v>
      </c>
      <c r="I37" s="1" t="s">
        <v>9</v>
      </c>
      <c r="J37" s="76" t="str">
        <f t="shared" si="8"/>
        <v>/VectoCustomerInformation/Data/Results/Result/OVCMode[@type='charge sustaining']/ElectricEnergy/EnergyConsumption[@unit='kWh/p-km']</v>
      </c>
      <c r="K37" s="76" t="str">
        <f t="shared" si="9"/>
        <v>/VectoCustomerInformation/Data/Results/Result/Total/ElectricEnergy/EnergyConsumption[@unit='kWh/p-km']</v>
      </c>
      <c r="L37" s="38"/>
    </row>
    <row r="38" spans="4:12" x14ac:dyDescent="0.25">
      <c r="D38" s="97"/>
      <c r="E38" s="42" t="s">
        <v>281</v>
      </c>
      <c r="F38" s="76" t="str">
        <f t="shared" si="6"/>
        <v>/VectoCustomerInformation/Data/Results/Result/OVCMode[@type='charge depleting']/ElectricEnergy/EnergyConsumption[@unit='kWh/m³-km']</v>
      </c>
      <c r="G38" s="1" t="s">
        <v>9</v>
      </c>
      <c r="H38" s="76" t="str">
        <f t="shared" si="7"/>
        <v>/VectoCustomerInformation/Data/Results/Result/Total/ElectricEnergy/EnergyConsumption[@unit='kWh/m³-km']</v>
      </c>
      <c r="I38" s="1" t="s">
        <v>9</v>
      </c>
      <c r="J38" s="76" t="str">
        <f t="shared" si="8"/>
        <v>/VectoCustomerInformation/Data/Results/Result/OVCMode[@type='charge sustaining']/ElectricEnergy/EnergyConsumption[@unit='kWh/m³-km']</v>
      </c>
      <c r="K38" s="76" t="str">
        <f t="shared" si="9"/>
        <v>/VectoCustomerInformation/Data/Results/Result/Total/ElectricEnergy/EnergyConsumption[@unit='kWh/m³-km']</v>
      </c>
      <c r="L38" s="38"/>
    </row>
    <row r="39" spans="4:12" x14ac:dyDescent="0.25">
      <c r="D39" s="97"/>
      <c r="E39" s="42" t="s">
        <v>276</v>
      </c>
      <c r="F39" s="76" t="str">
        <f t="shared" si="6"/>
        <v>/VectoCustomerInformation/Data/Results/Result/OVCMode[@type='charge depleting']/ElectricEnergy/EnergyConsumption[@unit='MJ/km']</v>
      </c>
      <c r="G39" s="1" t="s">
        <v>9</v>
      </c>
      <c r="H39" s="76" t="str">
        <f t="shared" si="7"/>
        <v>/VectoCustomerInformation/Data/Results/Result/Total/ElectricEnergy/EnergyConsumption[@unit='MJ/km']</v>
      </c>
      <c r="I39" s="1" t="s">
        <v>9</v>
      </c>
      <c r="J39" s="76" t="str">
        <f t="shared" si="8"/>
        <v>/VectoCustomerInformation/Data/Results/Result/OVCMode[@type='charge sustaining']/ElectricEnergy/EnergyConsumption[@unit='MJ/km']</v>
      </c>
      <c r="K39" s="76" t="str">
        <f t="shared" si="9"/>
        <v>/VectoCustomerInformation/Data/Results/Result/Total/ElectricEnergy/EnergyConsumption[@unit='MJ/km']</v>
      </c>
      <c r="L39" s="38"/>
    </row>
    <row r="40" spans="4:12" x14ac:dyDescent="0.25">
      <c r="D40" s="97"/>
      <c r="E40" s="42" t="s">
        <v>277</v>
      </c>
      <c r="F40" s="76" t="str">
        <f t="shared" si="6"/>
        <v>/VectoCustomerInformation/Data/Results/Result/OVCMode[@type='charge depleting']/ElectricEnergy/EnergyConsumption[@unit='MJ/t-km']</v>
      </c>
      <c r="G40" s="1" t="s">
        <v>9</v>
      </c>
      <c r="H40" s="76" t="str">
        <f t="shared" si="7"/>
        <v>/VectoCustomerInformation/Data/Results/Result/Total/ElectricEnergy/EnergyConsumption[@unit='MJ/t-km']</v>
      </c>
      <c r="I40" s="1" t="s">
        <v>9</v>
      </c>
      <c r="J40" s="76" t="str">
        <f t="shared" si="8"/>
        <v>/VectoCustomerInformation/Data/Results/Result/OVCMode[@type='charge sustaining']/ElectricEnergy/EnergyConsumption[@unit='MJ/t-km']</v>
      </c>
      <c r="K40" s="76" t="str">
        <f t="shared" si="9"/>
        <v>/VectoCustomerInformation/Data/Results/Result/Total/ElectricEnergy/EnergyConsumption[@unit='MJ/t-km']</v>
      </c>
      <c r="L40" s="38"/>
    </row>
    <row r="41" spans="4:12" x14ac:dyDescent="0.25">
      <c r="D41" s="97"/>
      <c r="E41" s="42" t="s">
        <v>283</v>
      </c>
      <c r="F41" s="76" t="str">
        <f t="shared" si="6"/>
        <v>/VectoCustomerInformation/Data/Results/Result/OVCMode[@type='charge depleting']/ElectricEnergy/EnergyConsumption[@unit='MJ/p-km']</v>
      </c>
      <c r="G41" s="1" t="s">
        <v>9</v>
      </c>
      <c r="H41" s="76" t="str">
        <f t="shared" si="7"/>
        <v>/VectoCustomerInformation/Data/Results/Result/Total/ElectricEnergy/EnergyConsumption[@unit='MJ/p-km']</v>
      </c>
      <c r="I41" s="1" t="s">
        <v>9</v>
      </c>
      <c r="J41" s="76" t="str">
        <f t="shared" si="8"/>
        <v>/VectoCustomerInformation/Data/Results/Result/OVCMode[@type='charge sustaining']/ElectricEnergy/EnergyConsumption[@unit='MJ/p-km']</v>
      </c>
      <c r="K41" s="76" t="str">
        <f t="shared" si="9"/>
        <v>/VectoCustomerInformation/Data/Results/Result/Total/ElectricEnergy/EnergyConsumption[@unit='MJ/p-km']</v>
      </c>
    </row>
    <row r="42" spans="4:12" x14ac:dyDescent="0.25">
      <c r="D42" s="97"/>
      <c r="E42" s="42" t="s">
        <v>278</v>
      </c>
      <c r="F42" s="76" t="str">
        <f t="shared" si="6"/>
        <v>/VectoCustomerInformation/Data/Results/Result/OVCMode[@type='charge depleting']/ElectricEnergy/EnergyConsumption[@unit='MJ/m³-km']</v>
      </c>
      <c r="G42" s="1" t="s">
        <v>9</v>
      </c>
      <c r="H42" s="76" t="str">
        <f t="shared" si="7"/>
        <v>/VectoCustomerInformation/Data/Results/Result/Total/ElectricEnergy/EnergyConsumption[@unit='MJ/m³-km']</v>
      </c>
      <c r="I42" s="1" t="s">
        <v>9</v>
      </c>
      <c r="J42" s="76" t="str">
        <f t="shared" si="8"/>
        <v>/VectoCustomerInformation/Data/Results/Result/OVCMode[@type='charge sustaining']/ElectricEnergy/EnergyConsumption[@unit='MJ/m³-km']</v>
      </c>
      <c r="K42" s="76" t="str">
        <f t="shared" si="9"/>
        <v>/VectoCustomerInformation/Data/Results/Result/Total/ElectricEnergy/EnergyConsumption[@unit='MJ/m³-km']</v>
      </c>
    </row>
    <row r="43" spans="4:12" x14ac:dyDescent="0.25">
      <c r="D43" s="97" t="s">
        <v>3</v>
      </c>
      <c r="E43" s="42" t="s">
        <v>273</v>
      </c>
      <c r="F43" s="76" t="str">
        <f>CONCATENATE("/VectoCustomerInformation/Data/Results/Result/OVCMode[@type='charge depleting']/CO2[@unit='",E43,"']")</f>
        <v>/VectoCustomerInformation/Data/Results/Result/OVCMode[@type='charge depleting']/CO2[@unit='g/km']</v>
      </c>
      <c r="G43" s="76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H43" s="76" t="str">
        <f>CONCATENATE("/VectoCustomerInformation/Data/Results/Result/Total/CO2[@unit='",E42,"']")</f>
        <v>/VectoCustomerInformation/Data/Results/Result/Total/CO2[@unit='MJ/m³-km']</v>
      </c>
      <c r="I43" s="76" t="str">
        <f>CONCATENATE("/VectoCustomerInformation/Data/Results/Result/OVCMode[@type='charge depleting']/CO2[@unit='",E43,"']")</f>
        <v>/VectoCustomerInformation/Data/Results/Result/OVCMode[@type='charge depleting']/CO2[@unit='g/km']</v>
      </c>
      <c r="J43" s="76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K43" s="76" t="str">
        <f t="shared" si="9"/>
        <v>/VectoCustomerInformation/Data/Results/Result/Total/ElectricEnergy/EnergyConsumption[@unit='g/km']</v>
      </c>
    </row>
    <row r="44" spans="4:12" x14ac:dyDescent="0.25">
      <c r="D44" s="97"/>
      <c r="E44" s="42" t="s">
        <v>274</v>
      </c>
      <c r="F44" s="76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G44" s="76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H44" s="76" t="str">
        <f>CONCATENATE("/VectoCustomerInformation/Data/Results/Result/Total/CO2[@unit='",E43,"']")</f>
        <v>/VectoCustomerInformation/Data/Results/Result/Total/CO2[@unit='g/km']</v>
      </c>
      <c r="I44" s="76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J44" s="76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K44" s="76" t="str">
        <f>CONCATENATE("/VectoCustomerInformation/Data/Results/Result/Total/CO2[@unit='",E43,"']")</f>
        <v>/VectoCustomerInformation/Data/Results/Result/Total/CO2[@unit='g/km']</v>
      </c>
    </row>
    <row r="45" spans="4:12" x14ac:dyDescent="0.25">
      <c r="D45" s="97"/>
      <c r="E45" s="42" t="s">
        <v>282</v>
      </c>
      <c r="F45" s="76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G45" s="76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H45" s="76" t="str">
        <f>CONCATENATE("/VectoCustomerInformation/Data/Results/Result/Total/CO2[@unit='",E44,"']")</f>
        <v>/VectoCustomerInformation/Data/Results/Result/Total/CO2[@unit='g/t-km']</v>
      </c>
      <c r="I45" s="76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J45" s="76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K45" s="76" t="str">
        <f>CONCATENATE("/VectoCustomerInformation/Data/Results/Result/Total/CO2[@unit='",E44,"']")</f>
        <v>/VectoCustomerInformation/Data/Results/Result/Total/CO2[@unit='g/t-km']</v>
      </c>
    </row>
    <row r="46" spans="4:12" x14ac:dyDescent="0.25">
      <c r="D46" s="97"/>
      <c r="E46" s="42" t="s">
        <v>275</v>
      </c>
      <c r="F46" s="76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G46" s="76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H46" s="76" t="str">
        <f>CONCATENATE("/VectoCustomerInformation/Data/Results/Result/Total/CO2[@unit='",E45,"']")</f>
        <v>/VectoCustomerInformation/Data/Results/Result/Total/CO2[@unit='g/p-km']</v>
      </c>
      <c r="I46" s="76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J46" s="76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K46" s="76" t="str">
        <f>CONCATENATE("/VectoCustomerInformation/Data/Results/Result/Total/CO2[@unit='",E45,"']")</f>
        <v>/VectoCustomerInformation/Data/Results/Result/Total/CO2[@unit='g/p-km']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76" t="s">
        <v>697</v>
      </c>
      <c r="I47" s="1" t="s">
        <v>9</v>
      </c>
      <c r="J47" s="1" t="s">
        <v>9</v>
      </c>
      <c r="K47" s="76" t="s">
        <v>697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76" t="s">
        <v>698</v>
      </c>
      <c r="I48" s="1" t="s">
        <v>9</v>
      </c>
      <c r="J48" s="1" t="s">
        <v>9</v>
      </c>
      <c r="K48" s="76" t="s">
        <v>698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6" t="s">
        <v>699</v>
      </c>
      <c r="I49" s="1" t="s">
        <v>9</v>
      </c>
      <c r="J49" s="1" t="s">
        <v>9</v>
      </c>
      <c r="K49" s="76" t="s">
        <v>699</v>
      </c>
    </row>
    <row r="50" spans="2:11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76" t="s">
        <v>700</v>
      </c>
      <c r="I50" s="1" t="s">
        <v>9</v>
      </c>
      <c r="J50" s="1" t="s">
        <v>9</v>
      </c>
      <c r="K50" s="76" t="s">
        <v>700</v>
      </c>
    </row>
    <row r="51" spans="2:11" x14ac:dyDescent="0.25">
      <c r="D51" s="97" t="s">
        <v>300</v>
      </c>
      <c r="E51" s="43" t="s">
        <v>273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97"/>
      <c r="E52" s="43" t="s">
        <v>282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97"/>
      <c r="E53" s="43" t="s">
        <v>302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97"/>
      <c r="E54" s="43" t="s">
        <v>285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97"/>
      <c r="E55" s="43" t="s">
        <v>276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97"/>
      <c r="E56" s="43" t="s">
        <v>283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97" t="s">
        <v>301</v>
      </c>
      <c r="E57" s="43" t="s">
        <v>273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97"/>
      <c r="E58" s="43" t="s">
        <v>282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263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8" x14ac:dyDescent="0.25">
      <c r="D65" s="75" t="s">
        <v>291</v>
      </c>
      <c r="E65" s="42" t="s">
        <v>292</v>
      </c>
      <c r="F65" s="76" t="s">
        <v>701</v>
      </c>
    </row>
    <row r="66" spans="4:8" x14ac:dyDescent="0.25">
      <c r="D66" s="75" t="s">
        <v>293</v>
      </c>
      <c r="E66" s="42" t="s">
        <v>271</v>
      </c>
      <c r="F66" s="76" t="s">
        <v>702</v>
      </c>
    </row>
    <row r="67" spans="4:8" x14ac:dyDescent="0.25">
      <c r="D67" s="97" t="s">
        <v>295</v>
      </c>
      <c r="E67" s="42" t="s">
        <v>294</v>
      </c>
      <c r="F67" s="76" t="str">
        <f>CONCATENATE("/VectoCustomerInformation/Data/Results/Summary/CO2[@unit='",E67,"']")</f>
        <v>/VectoCustomerInformation/Data/Results/Summary/CO2[@unit='gCO2/t-km']</v>
      </c>
    </row>
    <row r="68" spans="4:8" x14ac:dyDescent="0.25">
      <c r="D68" s="97"/>
      <c r="E68" s="42" t="s">
        <v>296</v>
      </c>
      <c r="F68" s="76" t="str">
        <f>CONCATENATE("/VectoCustomerInformation/Data/Results/Summary/CO2[@unit='",E68,"']")</f>
        <v>/VectoCustomerInformation/Data/Results/Summary/CO2[@unit='gCO2/p-km']</v>
      </c>
    </row>
    <row r="69" spans="4:8" x14ac:dyDescent="0.25">
      <c r="D69" s="97" t="s">
        <v>297</v>
      </c>
      <c r="E69" s="42" t="s">
        <v>273</v>
      </c>
      <c r="F69" s="76" t="str">
        <f>CONCATENATE("/VectoCustomerInformation/Data/Results/Summary/CO2[@unit='",E69,"']")</f>
        <v>/VectoCustomerInformation/Data/Results/Summary/CO2[@unit='g/km']</v>
      </c>
    </row>
    <row r="70" spans="4:8" x14ac:dyDescent="0.25">
      <c r="D70" s="97"/>
      <c r="E70" s="42" t="s">
        <v>275</v>
      </c>
      <c r="F70" s="76" t="str">
        <f>CONCATENATE("/VectoCustomerInformation/Data/Results/Summary/CO2[@unit='",E70,"']")</f>
        <v>/VectoCustomerInformation/Data/Results/Summary/CO2[@unit='g/m³-km']</v>
      </c>
    </row>
    <row r="71" spans="4:8" x14ac:dyDescent="0.25">
      <c r="D71" s="97" t="s">
        <v>269</v>
      </c>
      <c r="E71" s="42" t="s">
        <v>273</v>
      </c>
      <c r="F71" s="76" t="str">
        <f t="shared" ref="F71:F81" si="10">CONCATENATE("/VectoCustomerInformation/Data/Results/Summary/Fuel/FuelConsumption[@unit='",E71,"']")</f>
        <v>/VectoCustomerInformation/Data/Results/Summary/Fuel/FuelConsumption[@unit='g/km']</v>
      </c>
      <c r="H71" s="82"/>
    </row>
    <row r="72" spans="4:8" x14ac:dyDescent="0.25">
      <c r="D72" s="97"/>
      <c r="E72" s="42" t="s">
        <v>274</v>
      </c>
      <c r="F72" s="76" t="str">
        <f t="shared" si="10"/>
        <v>/VectoCustomerInformation/Data/Results/Summary/Fuel/FuelConsumption[@unit='g/t-km']</v>
      </c>
    </row>
    <row r="73" spans="4:8" x14ac:dyDescent="0.25">
      <c r="D73" s="97"/>
      <c r="E73" s="42" t="s">
        <v>282</v>
      </c>
      <c r="F73" s="76" t="str">
        <f t="shared" si="10"/>
        <v>/VectoCustomerInformation/Data/Results/Summary/Fuel/FuelConsumption[@unit='g/p-km']</v>
      </c>
    </row>
    <row r="74" spans="4:8" x14ac:dyDescent="0.25">
      <c r="D74" s="97"/>
      <c r="E74" s="42" t="s">
        <v>275</v>
      </c>
      <c r="F74" s="76" t="str">
        <f t="shared" si="10"/>
        <v>/VectoCustomerInformation/Data/Results/Summary/Fuel/FuelConsumption[@unit='g/m³-km']</v>
      </c>
    </row>
    <row r="75" spans="4:8" x14ac:dyDescent="0.25">
      <c r="D75" s="97"/>
      <c r="E75" s="42" t="s">
        <v>302</v>
      </c>
      <c r="F75" s="76" t="str">
        <f t="shared" si="10"/>
        <v>/VectoCustomerInformation/Data/Results/Summary/Fuel/FuelConsumption[@unit='l/100km']</v>
      </c>
    </row>
    <row r="76" spans="4:8" x14ac:dyDescent="0.25">
      <c r="D76" s="97"/>
      <c r="E76" s="42" t="s">
        <v>284</v>
      </c>
      <c r="F76" s="76" t="str">
        <f t="shared" si="10"/>
        <v>/VectoCustomerInformation/Data/Results/Summary/Fuel/FuelConsumption[@unit='l/t-km']</v>
      </c>
    </row>
    <row r="77" spans="4:8" x14ac:dyDescent="0.25">
      <c r="D77" s="97"/>
      <c r="E77" s="42" t="s">
        <v>285</v>
      </c>
      <c r="F77" s="76" t="str">
        <f t="shared" si="10"/>
        <v>/VectoCustomerInformation/Data/Results/Summary/Fuel/FuelConsumption[@unit='l/p-km']</v>
      </c>
    </row>
    <row r="78" spans="4:8" x14ac:dyDescent="0.25">
      <c r="D78" s="97"/>
      <c r="E78" s="42" t="s">
        <v>286</v>
      </c>
      <c r="F78" s="76" t="str">
        <f t="shared" si="10"/>
        <v>/VectoCustomerInformation/Data/Results/Summary/Fuel/FuelConsumption[@unit='l/m³-km']</v>
      </c>
    </row>
    <row r="79" spans="4:8" x14ac:dyDescent="0.25">
      <c r="D79" s="97"/>
      <c r="E79" s="42" t="s">
        <v>276</v>
      </c>
      <c r="F79" s="76" t="str">
        <f t="shared" si="10"/>
        <v>/VectoCustomerInformation/Data/Results/Summary/Fuel/FuelConsumption[@unit='MJ/km']</v>
      </c>
    </row>
    <row r="80" spans="4:8" x14ac:dyDescent="0.25">
      <c r="D80" s="97"/>
      <c r="E80" s="42" t="s">
        <v>277</v>
      </c>
      <c r="F80" s="76" t="str">
        <f t="shared" si="10"/>
        <v>/VectoCustomerInformation/Data/Results/Summary/Fuel/FuelConsumption[@unit='MJ/t-km']</v>
      </c>
    </row>
    <row r="81" spans="4:6" x14ac:dyDescent="0.25">
      <c r="D81" s="97"/>
      <c r="E81" s="42" t="s">
        <v>283</v>
      </c>
      <c r="F81" s="76" t="str">
        <f t="shared" si="10"/>
        <v>/VectoCustomerInformation/Data/Results/Summary/Fuel/FuelConsumption[@unit='MJ/p-km']</v>
      </c>
    </row>
    <row r="82" spans="4:6" x14ac:dyDescent="0.25">
      <c r="D82" s="97"/>
      <c r="E82" s="42" t="s">
        <v>278</v>
      </c>
      <c r="F82" s="76" t="str">
        <f t="shared" ref="F82:F90" si="11">CONCATENATE("/VectoCustomerInformation/Data/Results/Summary/ElectricEnergy/EnergyConsumption[@unit='",E82,"']")</f>
        <v>/VectoCustomerInformation/Data/Results/Summary/ElectricEnergy/EnergyConsumption[@unit='MJ/m³-km']</v>
      </c>
    </row>
    <row r="83" spans="4:6" x14ac:dyDescent="0.25">
      <c r="D83" s="97" t="s">
        <v>298</v>
      </c>
      <c r="E83" s="42" t="s">
        <v>280</v>
      </c>
      <c r="F83" s="76" t="str">
        <f t="shared" si="11"/>
        <v>/VectoCustomerInformation/Data/Results/Summary/ElectricEnergy/EnergyConsumption[@unit='kWh/t-km']</v>
      </c>
    </row>
    <row r="84" spans="4:6" x14ac:dyDescent="0.25">
      <c r="D84" s="97"/>
      <c r="E84" s="42" t="s">
        <v>287</v>
      </c>
      <c r="F84" s="76" t="str">
        <f t="shared" si="11"/>
        <v>/VectoCustomerInformation/Data/Results/Summary/ElectricEnergy/EnergyConsumption[@unit='kWh/p-km']</v>
      </c>
    </row>
    <row r="85" spans="4:6" x14ac:dyDescent="0.25">
      <c r="D85" s="97" t="s">
        <v>299</v>
      </c>
      <c r="E85" s="42" t="s">
        <v>279</v>
      </c>
      <c r="F85" s="76" t="str">
        <f t="shared" si="11"/>
        <v>/VectoCustomerInformation/Data/Results/Summary/ElectricEnergy/EnergyConsumption[@unit='kWh/km']</v>
      </c>
    </row>
    <row r="86" spans="4:6" x14ac:dyDescent="0.25">
      <c r="D86" s="97"/>
      <c r="E86" s="42" t="s">
        <v>281</v>
      </c>
      <c r="F86" s="76" t="str">
        <f t="shared" si="11"/>
        <v>/VectoCustomerInformation/Data/Results/Summary/ElectricEnergy/EnergyConsumption[@unit='kWh/m³-km']</v>
      </c>
    </row>
    <row r="87" spans="4:6" x14ac:dyDescent="0.25">
      <c r="D87" s="97"/>
      <c r="E87" s="42" t="s">
        <v>277</v>
      </c>
      <c r="F87" s="76" t="str">
        <f t="shared" si="11"/>
        <v>/VectoCustomerInformation/Data/Results/Summary/ElectricEnergy/EnergyConsumption[@unit='MJ/t-km']</v>
      </c>
    </row>
    <row r="88" spans="4:6" x14ac:dyDescent="0.25">
      <c r="D88" s="97"/>
      <c r="E88" s="42" t="s">
        <v>283</v>
      </c>
      <c r="F88" s="76" t="str">
        <f t="shared" si="11"/>
        <v>/VectoCustomerInformation/Data/Results/Summary/ElectricEnergy/EnergyConsumption[@unit='MJ/p-km']</v>
      </c>
    </row>
    <row r="89" spans="4:6" x14ac:dyDescent="0.25">
      <c r="D89" s="97"/>
      <c r="E89" s="42" t="s">
        <v>276</v>
      </c>
      <c r="F89" s="76" t="str">
        <f t="shared" si="11"/>
        <v>/VectoCustomerInformation/Data/Results/Summary/ElectricEnergy/EnergyConsumption[@unit='MJ/km']</v>
      </c>
    </row>
    <row r="90" spans="4:6" x14ac:dyDescent="0.25">
      <c r="D90" s="97"/>
      <c r="E90" s="42" t="s">
        <v>278</v>
      </c>
      <c r="F90" s="76" t="str">
        <f t="shared" si="11"/>
        <v>/VectoCustomerInformation/Data/Results/Summary/ElectricEnergy/EnergyConsumption[@unit='MJ/m³-km']</v>
      </c>
    </row>
    <row r="91" spans="4:6" x14ac:dyDescent="0.25">
      <c r="D91" s="75" t="s">
        <v>288</v>
      </c>
      <c r="E91" s="43" t="s">
        <v>6</v>
      </c>
      <c r="F91" s="76" t="s">
        <v>703</v>
      </c>
    </row>
    <row r="92" spans="4:6" x14ac:dyDescent="0.25">
      <c r="D92" s="75" t="s">
        <v>289</v>
      </c>
      <c r="E92" s="43" t="s">
        <v>6</v>
      </c>
      <c r="F92" s="76" t="s">
        <v>704</v>
      </c>
    </row>
    <row r="93" spans="4:6" x14ac:dyDescent="0.25">
      <c r="D93" s="48" t="s">
        <v>5</v>
      </c>
      <c r="E93" s="43" t="s">
        <v>6</v>
      </c>
      <c r="F93" s="76" t="s">
        <v>705</v>
      </c>
    </row>
    <row r="94" spans="4:6" x14ac:dyDescent="0.25">
      <c r="D94" s="97" t="s">
        <v>300</v>
      </c>
      <c r="E94" s="43" t="s">
        <v>273</v>
      </c>
      <c r="F94" s="1" t="s">
        <v>9</v>
      </c>
    </row>
    <row r="95" spans="4:6" x14ac:dyDescent="0.25">
      <c r="D95" s="97"/>
      <c r="E95" s="43" t="s">
        <v>282</v>
      </c>
      <c r="F95" s="1" t="s">
        <v>9</v>
      </c>
    </row>
    <row r="96" spans="4:6" x14ac:dyDescent="0.25">
      <c r="D96" s="97"/>
      <c r="E96" s="43" t="s">
        <v>302</v>
      </c>
      <c r="F96" s="1" t="s">
        <v>9</v>
      </c>
    </row>
    <row r="97" spans="4:6" x14ac:dyDescent="0.25">
      <c r="D97" s="97"/>
      <c r="E97" s="43" t="s">
        <v>285</v>
      </c>
      <c r="F97" s="1" t="s">
        <v>9</v>
      </c>
    </row>
    <row r="98" spans="4:6" x14ac:dyDescent="0.25">
      <c r="D98" s="97"/>
      <c r="E98" s="43" t="s">
        <v>276</v>
      </c>
      <c r="F98" s="1" t="s">
        <v>9</v>
      </c>
    </row>
    <row r="99" spans="4:6" x14ac:dyDescent="0.25">
      <c r="D99" s="97"/>
      <c r="E99" s="43" t="s">
        <v>283</v>
      </c>
      <c r="F99" s="1" t="s">
        <v>9</v>
      </c>
    </row>
    <row r="100" spans="4:6" x14ac:dyDescent="0.25">
      <c r="D100" s="97" t="s">
        <v>301</v>
      </c>
      <c r="E100" s="43" t="s">
        <v>273</v>
      </c>
      <c r="F100" s="1" t="s">
        <v>9</v>
      </c>
    </row>
    <row r="101" spans="4:6" x14ac:dyDescent="0.25">
      <c r="D101" s="97"/>
      <c r="E101" s="43" t="s">
        <v>282</v>
      </c>
      <c r="F101" s="1" t="s">
        <v>9</v>
      </c>
    </row>
  </sheetData>
  <customSheetViews>
    <customSheetView guid="{638E9BBB-9DE1-4C03-99E5-6DF442C45AE3}" showPageBreaks="1" topLeftCell="A22">
      <selection activeCell="N53" sqref="N53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00:D101"/>
    <mergeCell ref="D85:D90"/>
    <mergeCell ref="D94:D99"/>
    <mergeCell ref="D71:D82"/>
    <mergeCell ref="D83:D84"/>
    <mergeCell ref="D67:D68"/>
    <mergeCell ref="D69:D70"/>
    <mergeCell ref="D51:D56"/>
    <mergeCell ref="D57:D58"/>
    <mergeCell ref="D35:D42"/>
    <mergeCell ref="D43:D46"/>
    <mergeCell ref="D21:E21"/>
    <mergeCell ref="D23:D34"/>
    <mergeCell ref="F19:H19"/>
    <mergeCell ref="I19:K19"/>
    <mergeCell ref="D15:E15"/>
    <mergeCell ref="F15:K15"/>
    <mergeCell ref="D16:D17"/>
    <mergeCell ref="F16:H16"/>
    <mergeCell ref="I16:K16"/>
    <mergeCell ref="F18:H18"/>
    <mergeCell ref="I20:K20"/>
    <mergeCell ref="F20:H20"/>
    <mergeCell ref="I18:K18"/>
    <mergeCell ref="F17:H17"/>
    <mergeCell ref="I17:K17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AG101"/>
  <sheetViews>
    <sheetView zoomScale="90" zoomScaleNormal="90"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313</v>
      </c>
    </row>
    <row r="5" spans="2:11" x14ac:dyDescent="0.25">
      <c r="C5" s="1" t="s">
        <v>9</v>
      </c>
      <c r="D5" t="s">
        <v>311</v>
      </c>
    </row>
    <row r="7" spans="2:11" ht="15.75" x14ac:dyDescent="0.25">
      <c r="B7" s="54"/>
    </row>
    <row r="11" spans="2:11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264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98" t="s">
        <v>0</v>
      </c>
      <c r="E15" s="98"/>
      <c r="F15" s="99" t="s">
        <v>689</v>
      </c>
      <c r="G15" s="99"/>
      <c r="H15" s="99"/>
      <c r="I15" s="99"/>
      <c r="J15" s="99"/>
      <c r="K15" s="99"/>
    </row>
    <row r="16" spans="2:11" x14ac:dyDescent="0.25">
      <c r="D16" s="100" t="s">
        <v>1</v>
      </c>
      <c r="E16" s="42" t="s">
        <v>271</v>
      </c>
      <c r="F16" s="102" t="s">
        <v>8</v>
      </c>
      <c r="G16" s="103"/>
      <c r="H16" s="104"/>
      <c r="I16" s="102" t="s">
        <v>290</v>
      </c>
      <c r="J16" s="103"/>
      <c r="K16" s="104"/>
    </row>
    <row r="17" spans="4:33" x14ac:dyDescent="0.25">
      <c r="D17" s="101"/>
      <c r="E17" s="42" t="s">
        <v>270</v>
      </c>
      <c r="F17" s="106" t="s">
        <v>689</v>
      </c>
      <c r="G17" s="106"/>
      <c r="H17" s="106"/>
      <c r="I17" s="106" t="s">
        <v>689</v>
      </c>
      <c r="J17" s="106"/>
      <c r="K17" s="106"/>
      <c r="L17" s="21"/>
    </row>
    <row r="18" spans="4:33" x14ac:dyDescent="0.25">
      <c r="D18" s="75" t="s">
        <v>265</v>
      </c>
      <c r="E18" s="42" t="s">
        <v>271</v>
      </c>
      <c r="F18" s="106" t="s">
        <v>691</v>
      </c>
      <c r="G18" s="106"/>
      <c r="H18" s="106"/>
      <c r="I18" s="106" t="s">
        <v>691</v>
      </c>
      <c r="J18" s="106"/>
      <c r="K18" s="106"/>
      <c r="L18" s="21"/>
    </row>
    <row r="19" spans="4:33" x14ac:dyDescent="0.25">
      <c r="D19" s="75" t="s">
        <v>266</v>
      </c>
      <c r="E19" s="42" t="s">
        <v>270</v>
      </c>
      <c r="F19" s="106" t="s">
        <v>692</v>
      </c>
      <c r="G19" s="106"/>
      <c r="H19" s="106"/>
      <c r="I19" s="106" t="s">
        <v>692</v>
      </c>
      <c r="J19" s="106"/>
      <c r="K19" s="106"/>
      <c r="L19" s="21"/>
    </row>
    <row r="20" spans="4:33" x14ac:dyDescent="0.25">
      <c r="D20" s="75" t="s">
        <v>267</v>
      </c>
      <c r="E20" s="42" t="s">
        <v>270</v>
      </c>
      <c r="F20" s="106" t="s">
        <v>693</v>
      </c>
      <c r="G20" s="106"/>
      <c r="H20" s="106"/>
      <c r="I20" s="106" t="s">
        <v>693</v>
      </c>
      <c r="J20" s="106"/>
      <c r="K20" s="106"/>
      <c r="L20" s="21"/>
    </row>
    <row r="21" spans="4:33" s="45" customFormat="1" ht="45" x14ac:dyDescent="0.25">
      <c r="D21" s="97" t="s">
        <v>2</v>
      </c>
      <c r="E21" s="97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4:33" x14ac:dyDescent="0.25">
      <c r="D22" s="75" t="s">
        <v>268</v>
      </c>
      <c r="E22" s="42" t="s">
        <v>272</v>
      </c>
      <c r="F22" s="1" t="s">
        <v>9</v>
      </c>
      <c r="G22" s="1" t="s">
        <v>9</v>
      </c>
      <c r="H22" s="76" t="s">
        <v>694</v>
      </c>
      <c r="I22" s="1" t="s">
        <v>9</v>
      </c>
      <c r="J22" s="1" t="s">
        <v>9</v>
      </c>
      <c r="K22" s="76" t="s">
        <v>694</v>
      </c>
      <c r="L22" s="21"/>
    </row>
    <row r="23" spans="4:33" x14ac:dyDescent="0.25">
      <c r="D23" s="97" t="s">
        <v>269</v>
      </c>
      <c r="E23" s="42" t="s">
        <v>273</v>
      </c>
      <c r="F23" s="1" t="s">
        <v>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21"/>
    </row>
    <row r="24" spans="4:33" x14ac:dyDescent="0.25">
      <c r="D24" s="97"/>
      <c r="E24" s="42" t="s">
        <v>274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21"/>
    </row>
    <row r="25" spans="4:33" x14ac:dyDescent="0.25">
      <c r="D25" s="97"/>
      <c r="E25" s="42" t="s">
        <v>282</v>
      </c>
      <c r="F25" s="1" t="s">
        <v>9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21"/>
    </row>
    <row r="26" spans="4:33" x14ac:dyDescent="0.25">
      <c r="D26" s="97"/>
      <c r="E26" s="42" t="s">
        <v>275</v>
      </c>
      <c r="F26" s="1" t="s">
        <v>9</v>
      </c>
      <c r="G26" s="1" t="s">
        <v>9</v>
      </c>
      <c r="H26" s="1" t="s">
        <v>9</v>
      </c>
      <c r="I26" s="1" t="s">
        <v>9</v>
      </c>
      <c r="J26" s="1" t="s">
        <v>9</v>
      </c>
      <c r="K26" s="1" t="s">
        <v>9</v>
      </c>
      <c r="L26" s="36"/>
    </row>
    <row r="27" spans="4:33" x14ac:dyDescent="0.25">
      <c r="D27" s="97"/>
      <c r="E27" s="42" t="s">
        <v>302</v>
      </c>
      <c r="F27" s="1" t="s">
        <v>9</v>
      </c>
      <c r="G27" s="1" t="s">
        <v>9</v>
      </c>
      <c r="H27" s="1" t="s">
        <v>9</v>
      </c>
      <c r="I27" s="1" t="s">
        <v>9</v>
      </c>
      <c r="J27" s="1" t="s">
        <v>9</v>
      </c>
      <c r="K27" s="1" t="s">
        <v>9</v>
      </c>
      <c r="L27" s="33"/>
    </row>
    <row r="28" spans="4:33" x14ac:dyDescent="0.25">
      <c r="D28" s="97"/>
      <c r="E28" s="42" t="s">
        <v>284</v>
      </c>
      <c r="F28" s="1" t="s">
        <v>9</v>
      </c>
      <c r="G28" s="1" t="s">
        <v>9</v>
      </c>
      <c r="H28" s="1" t="s">
        <v>9</v>
      </c>
      <c r="I28" s="1" t="s">
        <v>9</v>
      </c>
      <c r="J28" s="1" t="s">
        <v>9</v>
      </c>
      <c r="K28" s="1" t="s">
        <v>9</v>
      </c>
      <c r="L28" s="33"/>
    </row>
    <row r="29" spans="4:33" x14ac:dyDescent="0.25">
      <c r="D29" s="97"/>
      <c r="E29" s="42" t="s">
        <v>285</v>
      </c>
      <c r="F29" s="1" t="s">
        <v>9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33"/>
    </row>
    <row r="30" spans="4:33" x14ac:dyDescent="0.25">
      <c r="D30" s="97"/>
      <c r="E30" s="42" t="s">
        <v>286</v>
      </c>
      <c r="F30" s="1" t="s">
        <v>9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33"/>
    </row>
    <row r="31" spans="4:33" x14ac:dyDescent="0.25">
      <c r="D31" s="97"/>
      <c r="E31" s="42" t="s">
        <v>276</v>
      </c>
      <c r="F31" s="1" t="s">
        <v>9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33"/>
    </row>
    <row r="32" spans="4:33" x14ac:dyDescent="0.25">
      <c r="D32" s="97"/>
      <c r="E32" s="42" t="s">
        <v>277</v>
      </c>
      <c r="F32" s="1" t="s">
        <v>9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33"/>
    </row>
    <row r="33" spans="4:12" x14ac:dyDescent="0.25">
      <c r="D33" s="97"/>
      <c r="E33" s="42" t="s">
        <v>283</v>
      </c>
      <c r="F33" s="1" t="s">
        <v>9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9</v>
      </c>
      <c r="L33" s="33"/>
    </row>
    <row r="34" spans="4:12" x14ac:dyDescent="0.25">
      <c r="D34" s="97"/>
      <c r="E34" s="42" t="s">
        <v>278</v>
      </c>
      <c r="F34" s="1" t="s">
        <v>9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9</v>
      </c>
      <c r="L34" s="33"/>
    </row>
    <row r="35" spans="4:12" x14ac:dyDescent="0.25">
      <c r="D35" s="97" t="s">
        <v>4</v>
      </c>
      <c r="E35" s="42" t="s">
        <v>279</v>
      </c>
      <c r="F35" s="77" t="s">
        <v>9</v>
      </c>
      <c r="G35" s="1" t="s">
        <v>9</v>
      </c>
      <c r="H35" s="76" t="str">
        <f t="shared" ref="H35:H42" si="0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1" t="s">
        <v>9</v>
      </c>
      <c r="K35" s="76" t="str">
        <f t="shared" ref="K35:K42" si="1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97"/>
      <c r="E36" s="42" t="s">
        <v>280</v>
      </c>
      <c r="F36" s="1" t="s">
        <v>9</v>
      </c>
      <c r="G36" s="1" t="s">
        <v>9</v>
      </c>
      <c r="H36" s="76" t="str">
        <f t="shared" si="0"/>
        <v>/VectoCustomerInformation/Data/Results/Result/Total/ElectricEnergy/EnergyConsumption[@unit='kWh/t-km']</v>
      </c>
      <c r="I36" s="1" t="s">
        <v>9</v>
      </c>
      <c r="J36" s="1" t="s">
        <v>9</v>
      </c>
      <c r="K36" s="76" t="str">
        <f t="shared" si="1"/>
        <v>/VectoCustomerInformation/Data/Results/Result/Total/ElectricEnergy/EnergyConsumption[@unit='kWh/t-km']</v>
      </c>
      <c r="L36" s="38"/>
    </row>
    <row r="37" spans="4:12" x14ac:dyDescent="0.25">
      <c r="D37" s="97"/>
      <c r="E37" s="42" t="s">
        <v>287</v>
      </c>
      <c r="F37" s="1" t="s">
        <v>9</v>
      </c>
      <c r="G37" s="1" t="s">
        <v>9</v>
      </c>
      <c r="H37" s="76" t="str">
        <f t="shared" si="0"/>
        <v>/VectoCustomerInformation/Data/Results/Result/Total/ElectricEnergy/EnergyConsumption[@unit='kWh/p-km']</v>
      </c>
      <c r="I37" s="1" t="s">
        <v>9</v>
      </c>
      <c r="J37" s="1" t="s">
        <v>9</v>
      </c>
      <c r="K37" s="76" t="str">
        <f t="shared" si="1"/>
        <v>/VectoCustomerInformation/Data/Results/Result/Total/ElectricEnergy/EnergyConsumption[@unit='kWh/p-km']</v>
      </c>
      <c r="L37" s="38"/>
    </row>
    <row r="38" spans="4:12" x14ac:dyDescent="0.25">
      <c r="D38" s="97"/>
      <c r="E38" s="42" t="s">
        <v>281</v>
      </c>
      <c r="F38" s="1" t="s">
        <v>9</v>
      </c>
      <c r="G38" s="1" t="s">
        <v>9</v>
      </c>
      <c r="H38" s="76" t="str">
        <f t="shared" si="0"/>
        <v>/VectoCustomerInformation/Data/Results/Result/Total/ElectricEnergy/EnergyConsumption[@unit='kWh/m³-km']</v>
      </c>
      <c r="I38" s="1" t="s">
        <v>9</v>
      </c>
      <c r="J38" s="1" t="s">
        <v>9</v>
      </c>
      <c r="K38" s="76" t="str">
        <f t="shared" si="1"/>
        <v>/VectoCustomerInformation/Data/Results/Result/Total/ElectricEnergy/EnergyConsumption[@unit='kWh/m³-km']</v>
      </c>
      <c r="L38" s="38"/>
    </row>
    <row r="39" spans="4:12" x14ac:dyDescent="0.25">
      <c r="D39" s="97"/>
      <c r="E39" s="42" t="s">
        <v>276</v>
      </c>
      <c r="F39" s="1" t="s">
        <v>9</v>
      </c>
      <c r="G39" s="1" t="s">
        <v>9</v>
      </c>
      <c r="H39" s="76" t="str">
        <f t="shared" si="0"/>
        <v>/VectoCustomerInformation/Data/Results/Result/Total/ElectricEnergy/EnergyConsumption[@unit='MJ/km']</v>
      </c>
      <c r="I39" s="1" t="s">
        <v>9</v>
      </c>
      <c r="J39" s="1" t="s">
        <v>9</v>
      </c>
      <c r="K39" s="76" t="str">
        <f t="shared" si="1"/>
        <v>/VectoCustomerInformation/Data/Results/Result/Total/ElectricEnergy/EnergyConsumption[@unit='MJ/km']</v>
      </c>
      <c r="L39" s="38"/>
    </row>
    <row r="40" spans="4:12" x14ac:dyDescent="0.25">
      <c r="D40" s="97"/>
      <c r="E40" s="42" t="s">
        <v>277</v>
      </c>
      <c r="F40" s="1" t="s">
        <v>9</v>
      </c>
      <c r="G40" s="1" t="s">
        <v>9</v>
      </c>
      <c r="H40" s="76" t="str">
        <f t="shared" si="0"/>
        <v>/VectoCustomerInformation/Data/Results/Result/Total/ElectricEnergy/EnergyConsumption[@unit='MJ/t-km']</v>
      </c>
      <c r="I40" s="1" t="s">
        <v>9</v>
      </c>
      <c r="J40" s="1" t="s">
        <v>9</v>
      </c>
      <c r="K40" s="76" t="str">
        <f t="shared" si="1"/>
        <v>/VectoCustomerInformation/Data/Results/Result/Total/ElectricEnergy/EnergyConsumption[@unit='MJ/t-km']</v>
      </c>
      <c r="L40" s="38"/>
    </row>
    <row r="41" spans="4:12" x14ac:dyDescent="0.25">
      <c r="D41" s="97"/>
      <c r="E41" s="42" t="s">
        <v>283</v>
      </c>
      <c r="F41" s="1" t="s">
        <v>9</v>
      </c>
      <c r="G41" s="1" t="s">
        <v>9</v>
      </c>
      <c r="H41" s="76" t="str">
        <f t="shared" si="0"/>
        <v>/VectoCustomerInformation/Data/Results/Result/Total/ElectricEnergy/EnergyConsumption[@unit='MJ/p-km']</v>
      </c>
      <c r="I41" s="1" t="s">
        <v>9</v>
      </c>
      <c r="J41" s="1" t="s">
        <v>9</v>
      </c>
      <c r="K41" s="76" t="str">
        <f t="shared" si="1"/>
        <v>/VectoCustomerInformation/Data/Results/Result/Total/ElectricEnergy/EnergyConsumption[@unit='MJ/p-km']</v>
      </c>
    </row>
    <row r="42" spans="4:12" x14ac:dyDescent="0.25">
      <c r="D42" s="97"/>
      <c r="E42" s="42" t="s">
        <v>278</v>
      </c>
      <c r="F42" s="1" t="s">
        <v>9</v>
      </c>
      <c r="G42" s="1" t="s">
        <v>9</v>
      </c>
      <c r="H42" s="76" t="str">
        <f t="shared" si="0"/>
        <v>/VectoCustomerInformation/Data/Results/Result/Total/ElectricEnergy/EnergyConsumption[@unit='MJ/m³-km']</v>
      </c>
      <c r="I42" s="1" t="s">
        <v>9</v>
      </c>
      <c r="J42" s="1" t="s">
        <v>9</v>
      </c>
      <c r="K42" s="76" t="str">
        <f t="shared" si="1"/>
        <v>/VectoCustomerInformation/Data/Results/Result/Total/ElectricEnergy/EnergyConsumption[@unit='MJ/m³-km']</v>
      </c>
    </row>
    <row r="43" spans="4:12" x14ac:dyDescent="0.25">
      <c r="D43" s="97" t="s">
        <v>3</v>
      </c>
      <c r="E43" s="42" t="s">
        <v>273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</row>
    <row r="44" spans="4:12" x14ac:dyDescent="0.25">
      <c r="D44" s="97"/>
      <c r="E44" s="42" t="s">
        <v>274</v>
      </c>
      <c r="F44" s="1" t="s">
        <v>9</v>
      </c>
      <c r="G44" s="1" t="s">
        <v>9</v>
      </c>
      <c r="H44" s="1" t="s">
        <v>9</v>
      </c>
      <c r="I44" s="1" t="s">
        <v>9</v>
      </c>
      <c r="J44" s="1" t="s">
        <v>9</v>
      </c>
      <c r="K44" s="1" t="s">
        <v>9</v>
      </c>
    </row>
    <row r="45" spans="4:12" x14ac:dyDescent="0.25">
      <c r="D45" s="97"/>
      <c r="E45" s="42" t="s">
        <v>282</v>
      </c>
      <c r="F45" s="1" t="s">
        <v>9</v>
      </c>
      <c r="G45" s="1" t="s">
        <v>9</v>
      </c>
      <c r="H45" s="1" t="s">
        <v>9</v>
      </c>
      <c r="I45" s="1" t="s">
        <v>9</v>
      </c>
      <c r="J45" s="1" t="s">
        <v>9</v>
      </c>
      <c r="K45" s="1" t="s">
        <v>9</v>
      </c>
    </row>
    <row r="46" spans="4:12" x14ac:dyDescent="0.25">
      <c r="D46" s="97"/>
      <c r="E46" s="42" t="s">
        <v>275</v>
      </c>
      <c r="F46" s="1" t="s">
        <v>9</v>
      </c>
      <c r="G46" s="1" t="s">
        <v>9</v>
      </c>
      <c r="H46" s="1" t="s">
        <v>9</v>
      </c>
      <c r="I46" s="1" t="s">
        <v>9</v>
      </c>
      <c r="J46" s="1" t="s">
        <v>9</v>
      </c>
      <c r="K46" s="1" t="s">
        <v>9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76" t="s">
        <v>697</v>
      </c>
      <c r="I47" s="1" t="s">
        <v>9</v>
      </c>
      <c r="J47" s="1" t="s">
        <v>9</v>
      </c>
      <c r="K47" s="76" t="s">
        <v>697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76" t="s">
        <v>698</v>
      </c>
      <c r="I48" s="1" t="s">
        <v>9</v>
      </c>
      <c r="J48" s="1" t="s">
        <v>9</v>
      </c>
      <c r="K48" s="76" t="s">
        <v>698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6" t="s">
        <v>699</v>
      </c>
      <c r="I49" s="1" t="s">
        <v>9</v>
      </c>
      <c r="J49" s="1" t="s">
        <v>9</v>
      </c>
      <c r="K49" s="76" t="s">
        <v>699</v>
      </c>
    </row>
    <row r="50" spans="2:11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97" t="s">
        <v>300</v>
      </c>
      <c r="E51" s="43" t="s">
        <v>273</v>
      </c>
      <c r="F51" s="1" t="s">
        <v>9</v>
      </c>
      <c r="G51" s="1" t="s">
        <v>9</v>
      </c>
      <c r="H51" s="76" t="str">
        <f t="shared" ref="H51:H56" si="2">CONCATENATE("/VectoCustomerInformation/Data/Results/Result/Total/FC_ZEV_AuxHeater/FuelConsumption[@unit='",E51,"']")</f>
        <v>/VectoCustomerInformation/Data/Results/Result/Total/FC_ZEV_AuxHeater/FuelConsumption[@unit='g/km']</v>
      </c>
      <c r="I51" s="1" t="s">
        <v>9</v>
      </c>
      <c r="J51" s="1" t="s">
        <v>9</v>
      </c>
      <c r="K51" s="76" t="str">
        <f t="shared" ref="K51:K56" si="3">CONCATENATE("/VectoCustomerInformation/Data/Results/Result/Total/FC_ZEV_AuxHeater/FuelConsumption[@unit='",E51,"']")</f>
        <v>/VectoCustomerInformation/Data/Results/Result/Total/FC_ZEV_AuxHeater/FuelConsumption[@unit='g/km']</v>
      </c>
    </row>
    <row r="52" spans="2:11" x14ac:dyDescent="0.25">
      <c r="D52" s="97"/>
      <c r="E52" s="43" t="s">
        <v>282</v>
      </c>
      <c r="F52" s="1" t="s">
        <v>9</v>
      </c>
      <c r="G52" s="1" t="s">
        <v>9</v>
      </c>
      <c r="H52" s="76" t="str">
        <f t="shared" si="2"/>
        <v>/VectoCustomerInformation/Data/Results/Result/Total/FC_ZEV_AuxHeater/FuelConsumption[@unit='g/p-km']</v>
      </c>
      <c r="I52" s="1" t="s">
        <v>9</v>
      </c>
      <c r="J52" s="1" t="s">
        <v>9</v>
      </c>
      <c r="K52" s="76" t="str">
        <f t="shared" si="3"/>
        <v>/VectoCustomerInformation/Data/Results/Result/Total/FC_ZEV_AuxHeater/FuelConsumption[@unit='g/p-km']</v>
      </c>
    </row>
    <row r="53" spans="2:11" x14ac:dyDescent="0.25">
      <c r="D53" s="97"/>
      <c r="E53" s="43" t="s">
        <v>302</v>
      </c>
      <c r="F53" s="1" t="s">
        <v>9</v>
      </c>
      <c r="G53" s="1" t="s">
        <v>9</v>
      </c>
      <c r="H53" s="76" t="str">
        <f t="shared" si="2"/>
        <v>/VectoCustomerInformation/Data/Results/Result/Total/FC_ZEV_AuxHeater/FuelConsumption[@unit='l/100km']</v>
      </c>
      <c r="I53" s="1" t="s">
        <v>9</v>
      </c>
      <c r="J53" s="1" t="s">
        <v>9</v>
      </c>
      <c r="K53" s="76" t="str">
        <f t="shared" si="3"/>
        <v>/VectoCustomerInformation/Data/Results/Result/Total/FC_ZEV_AuxHeater/FuelConsumption[@unit='l/100km']</v>
      </c>
    </row>
    <row r="54" spans="2:11" x14ac:dyDescent="0.25">
      <c r="D54" s="97"/>
      <c r="E54" s="43" t="s">
        <v>285</v>
      </c>
      <c r="F54" s="1" t="s">
        <v>9</v>
      </c>
      <c r="G54" s="1" t="s">
        <v>9</v>
      </c>
      <c r="H54" s="76" t="str">
        <f t="shared" si="2"/>
        <v>/VectoCustomerInformation/Data/Results/Result/Total/FC_ZEV_AuxHeater/FuelConsumption[@unit='l/p-km']</v>
      </c>
      <c r="I54" s="1" t="s">
        <v>9</v>
      </c>
      <c r="J54" s="1" t="s">
        <v>9</v>
      </c>
      <c r="K54" s="76" t="str">
        <f t="shared" si="3"/>
        <v>/VectoCustomerInformation/Data/Results/Result/Total/FC_ZEV_AuxHeater/FuelConsumption[@unit='l/p-km']</v>
      </c>
    </row>
    <row r="55" spans="2:11" x14ac:dyDescent="0.25">
      <c r="D55" s="97"/>
      <c r="E55" s="43" t="s">
        <v>276</v>
      </c>
      <c r="F55" s="1" t="s">
        <v>9</v>
      </c>
      <c r="G55" s="1" t="s">
        <v>9</v>
      </c>
      <c r="H55" s="76" t="str">
        <f t="shared" si="2"/>
        <v>/VectoCustomerInformation/Data/Results/Result/Total/FC_ZEV_AuxHeater/FuelConsumption[@unit='MJ/km']</v>
      </c>
      <c r="I55" s="1" t="s">
        <v>9</v>
      </c>
      <c r="J55" s="1" t="s">
        <v>9</v>
      </c>
      <c r="K55" s="76" t="str">
        <f t="shared" si="3"/>
        <v>/VectoCustomerInformation/Data/Results/Result/Total/FC_ZEV_AuxHeater/FuelConsumption[@unit='MJ/km']</v>
      </c>
    </row>
    <row r="56" spans="2:11" x14ac:dyDescent="0.25">
      <c r="D56" s="97"/>
      <c r="E56" s="43" t="s">
        <v>283</v>
      </c>
      <c r="F56" s="1" t="s">
        <v>9</v>
      </c>
      <c r="G56" s="1" t="s">
        <v>9</v>
      </c>
      <c r="H56" s="76" t="str">
        <f t="shared" si="2"/>
        <v>/VectoCustomerInformation/Data/Results/Result/Total/FC_ZEV_AuxHeater/FuelConsumption[@unit='MJ/p-km']</v>
      </c>
      <c r="I56" s="1" t="s">
        <v>9</v>
      </c>
      <c r="J56" s="1" t="s">
        <v>9</v>
      </c>
      <c r="K56" s="76" t="str">
        <f t="shared" si="3"/>
        <v>/VectoCustomerInformation/Data/Results/Result/Total/FC_ZEV_AuxHeater/FuelConsumption[@unit='MJ/p-km']</v>
      </c>
    </row>
    <row r="57" spans="2:11" x14ac:dyDescent="0.25">
      <c r="D57" s="97" t="s">
        <v>301</v>
      </c>
      <c r="E57" s="43" t="s">
        <v>273</v>
      </c>
      <c r="F57" s="1" t="s">
        <v>9</v>
      </c>
      <c r="G57" s="1" t="s">
        <v>9</v>
      </c>
      <c r="H57" s="76" t="str">
        <f>CONCATENATE("/VectoCustomerInformation/Data/Results/Result/Total/CO2_ZEV_AuxHeater/CO2[@unit='",E57,"']")</f>
        <v>/VectoCustomerInformation/Data/Results/Result/Total/CO2_ZEV_AuxHeater/CO2[@unit='g/km']</v>
      </c>
      <c r="I57" s="1" t="s">
        <v>9</v>
      </c>
      <c r="J57" s="1" t="s">
        <v>9</v>
      </c>
      <c r="K57" s="76" t="str">
        <f>CONCATENATE("/VectoCustomerInformation/Data/Results/Result/Total/CO2_ZEV_AuxHeater/CO2[@unit='",E57,"']")</f>
        <v>/VectoCustomerInformation/Data/Results/Result/Total/CO2_ZEV_AuxHeater/CO2[@unit='g/km']</v>
      </c>
    </row>
    <row r="58" spans="2:11" x14ac:dyDescent="0.25">
      <c r="D58" s="97"/>
      <c r="E58" s="43" t="s">
        <v>282</v>
      </c>
      <c r="F58" s="1" t="s">
        <v>9</v>
      </c>
      <c r="G58" s="1" t="s">
        <v>9</v>
      </c>
      <c r="H58" s="76" t="str">
        <f>CONCATENATE("/VectoCustomerInformation/Data/Results/Result/Total/CO2_ZEV_AuxHeater/CO2[@unit='",E58,"']")</f>
        <v>/VectoCustomerInformation/Data/Results/Result/Total/CO2_ZEV_AuxHeater/CO2[@unit='g/p-km']</v>
      </c>
      <c r="I58" s="1" t="s">
        <v>9</v>
      </c>
      <c r="J58" s="1" t="s">
        <v>9</v>
      </c>
      <c r="K58" s="76" t="str">
        <f>CONCATENATE("/VectoCustomerInformation/Data/Results/Result/Total/CO2_ZEV_AuxHeater/CO2[@unit='",E58,"']")</f>
        <v>/VectoCustomerInformation/Data/Results/Result/Total/CO2_ZEV_AuxHeater/CO2[@unit='g/p-km']</v>
      </c>
    </row>
    <row r="61" spans="2:11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261</v>
      </c>
      <c r="D63" s="57" t="s">
        <v>264</v>
      </c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5" t="s">
        <v>291</v>
      </c>
      <c r="E65" s="42" t="s">
        <v>292</v>
      </c>
      <c r="F65" s="76" t="s">
        <v>701</v>
      </c>
    </row>
    <row r="66" spans="4:6" x14ac:dyDescent="0.25">
      <c r="D66" s="75" t="s">
        <v>293</v>
      </c>
      <c r="E66" s="42" t="s">
        <v>271</v>
      </c>
      <c r="F66" s="76" t="s">
        <v>702</v>
      </c>
    </row>
    <row r="67" spans="4:6" x14ac:dyDescent="0.25">
      <c r="D67" s="97" t="s">
        <v>295</v>
      </c>
      <c r="E67" s="42" t="s">
        <v>294</v>
      </c>
      <c r="F67" s="1" t="s">
        <v>9</v>
      </c>
    </row>
    <row r="68" spans="4:6" x14ac:dyDescent="0.25">
      <c r="D68" s="97"/>
      <c r="E68" s="42" t="s">
        <v>296</v>
      </c>
      <c r="F68" s="1" t="s">
        <v>9</v>
      </c>
    </row>
    <row r="69" spans="4:6" x14ac:dyDescent="0.25">
      <c r="D69" s="97" t="s">
        <v>297</v>
      </c>
      <c r="E69" s="42" t="s">
        <v>273</v>
      </c>
      <c r="F69" s="1" t="s">
        <v>9</v>
      </c>
    </row>
    <row r="70" spans="4:6" x14ac:dyDescent="0.25">
      <c r="D70" s="97"/>
      <c r="E70" s="42" t="s">
        <v>275</v>
      </c>
      <c r="F70" s="1" t="s">
        <v>9</v>
      </c>
    </row>
    <row r="71" spans="4:6" x14ac:dyDescent="0.25">
      <c r="D71" s="97" t="s">
        <v>269</v>
      </c>
      <c r="E71" s="42" t="s">
        <v>273</v>
      </c>
      <c r="F71" s="1" t="s">
        <v>9</v>
      </c>
    </row>
    <row r="72" spans="4:6" x14ac:dyDescent="0.25">
      <c r="D72" s="97"/>
      <c r="E72" s="42" t="s">
        <v>274</v>
      </c>
      <c r="F72" s="1" t="s">
        <v>9</v>
      </c>
    </row>
    <row r="73" spans="4:6" x14ac:dyDescent="0.25">
      <c r="D73" s="97"/>
      <c r="E73" s="42" t="s">
        <v>282</v>
      </c>
      <c r="F73" s="1" t="s">
        <v>9</v>
      </c>
    </row>
    <row r="74" spans="4:6" x14ac:dyDescent="0.25">
      <c r="D74" s="97"/>
      <c r="E74" s="42" t="s">
        <v>275</v>
      </c>
      <c r="F74" s="1" t="s">
        <v>9</v>
      </c>
    </row>
    <row r="75" spans="4:6" x14ac:dyDescent="0.25">
      <c r="D75" s="97"/>
      <c r="E75" s="42" t="s">
        <v>302</v>
      </c>
      <c r="F75" s="1" t="s">
        <v>9</v>
      </c>
    </row>
    <row r="76" spans="4:6" x14ac:dyDescent="0.25">
      <c r="D76" s="97"/>
      <c r="E76" s="42" t="s">
        <v>284</v>
      </c>
      <c r="F76" s="1" t="s">
        <v>9</v>
      </c>
    </row>
    <row r="77" spans="4:6" x14ac:dyDescent="0.25">
      <c r="D77" s="97"/>
      <c r="E77" s="42" t="s">
        <v>285</v>
      </c>
      <c r="F77" s="1" t="s">
        <v>9</v>
      </c>
    </row>
    <row r="78" spans="4:6" x14ac:dyDescent="0.25">
      <c r="D78" s="97"/>
      <c r="E78" s="42" t="s">
        <v>286</v>
      </c>
      <c r="F78" s="1" t="s">
        <v>9</v>
      </c>
    </row>
    <row r="79" spans="4:6" x14ac:dyDescent="0.25">
      <c r="D79" s="97"/>
      <c r="E79" s="42" t="s">
        <v>276</v>
      </c>
      <c r="F79" s="1" t="s">
        <v>9</v>
      </c>
    </row>
    <row r="80" spans="4:6" x14ac:dyDescent="0.25">
      <c r="D80" s="97"/>
      <c r="E80" s="42" t="s">
        <v>277</v>
      </c>
      <c r="F80" s="1" t="s">
        <v>9</v>
      </c>
    </row>
    <row r="81" spans="4:6" x14ac:dyDescent="0.25">
      <c r="D81" s="97"/>
      <c r="E81" s="42" t="s">
        <v>283</v>
      </c>
      <c r="F81" s="1" t="s">
        <v>9</v>
      </c>
    </row>
    <row r="82" spans="4:6" x14ac:dyDescent="0.25">
      <c r="D82" s="97"/>
      <c r="E82" s="42" t="s">
        <v>278</v>
      </c>
      <c r="F82" s="1" t="s">
        <v>9</v>
      </c>
    </row>
    <row r="83" spans="4:6" x14ac:dyDescent="0.25">
      <c r="D83" s="97" t="s">
        <v>298</v>
      </c>
      <c r="E83" s="42" t="s">
        <v>280</v>
      </c>
      <c r="F83" s="76" t="str">
        <f t="shared" ref="F83:F90" si="4">CONCATENATE("/VectoCustomerInformation/Data/Results/Summary/ElectricEnergy/EnergyConsumption[@unit='",E83,"']")</f>
        <v>/VectoCustomerInformation/Data/Results/Summary/ElectricEnergy/EnergyConsumption[@unit='kWh/t-km']</v>
      </c>
    </row>
    <row r="84" spans="4:6" x14ac:dyDescent="0.25">
      <c r="D84" s="97"/>
      <c r="E84" s="42" t="s">
        <v>287</v>
      </c>
      <c r="F84" s="76" t="str">
        <f t="shared" si="4"/>
        <v>/VectoCustomerInformation/Data/Results/Summary/ElectricEnergy/EnergyConsumption[@unit='kWh/p-km']</v>
      </c>
    </row>
    <row r="85" spans="4:6" x14ac:dyDescent="0.25">
      <c r="D85" s="97" t="s">
        <v>299</v>
      </c>
      <c r="E85" s="42" t="s">
        <v>279</v>
      </c>
      <c r="F85" s="76" t="str">
        <f t="shared" si="4"/>
        <v>/VectoCustomerInformation/Data/Results/Summary/ElectricEnergy/EnergyConsumption[@unit='kWh/km']</v>
      </c>
    </row>
    <row r="86" spans="4:6" x14ac:dyDescent="0.25">
      <c r="D86" s="97"/>
      <c r="E86" s="42" t="s">
        <v>281</v>
      </c>
      <c r="F86" s="76" t="str">
        <f t="shared" si="4"/>
        <v>/VectoCustomerInformation/Data/Results/Summary/ElectricEnergy/EnergyConsumption[@unit='kWh/m³-km']</v>
      </c>
    </row>
    <row r="87" spans="4:6" x14ac:dyDescent="0.25">
      <c r="D87" s="97"/>
      <c r="E87" s="42" t="s">
        <v>277</v>
      </c>
      <c r="F87" s="76" t="str">
        <f t="shared" si="4"/>
        <v>/VectoCustomerInformation/Data/Results/Summary/ElectricEnergy/EnergyConsumption[@unit='MJ/t-km']</v>
      </c>
    </row>
    <row r="88" spans="4:6" x14ac:dyDescent="0.25">
      <c r="D88" s="97"/>
      <c r="E88" s="42" t="s">
        <v>283</v>
      </c>
      <c r="F88" s="76" t="str">
        <f t="shared" si="4"/>
        <v>/VectoCustomerInformation/Data/Results/Summary/ElectricEnergy/EnergyConsumption[@unit='MJ/p-km']</v>
      </c>
    </row>
    <row r="89" spans="4:6" x14ac:dyDescent="0.25">
      <c r="D89" s="97"/>
      <c r="E89" s="42" t="s">
        <v>276</v>
      </c>
      <c r="F89" s="76" t="str">
        <f t="shared" si="4"/>
        <v>/VectoCustomerInformation/Data/Results/Summary/ElectricEnergy/EnergyConsumption[@unit='MJ/km']</v>
      </c>
    </row>
    <row r="90" spans="4:6" x14ac:dyDescent="0.25">
      <c r="D90" s="97"/>
      <c r="E90" s="42" t="s">
        <v>278</v>
      </c>
      <c r="F90" s="76" t="str">
        <f t="shared" si="4"/>
        <v>/VectoCustomerInformation/Data/Results/Summary/ElectricEnergy/EnergyConsumption[@unit='MJ/m³-km']</v>
      </c>
    </row>
    <row r="91" spans="4:6" x14ac:dyDescent="0.25">
      <c r="D91" s="75" t="s">
        <v>288</v>
      </c>
      <c r="E91" s="43" t="s">
        <v>6</v>
      </c>
      <c r="F91" s="76" t="s">
        <v>703</v>
      </c>
    </row>
    <row r="92" spans="4:6" x14ac:dyDescent="0.25">
      <c r="D92" s="75" t="s">
        <v>289</v>
      </c>
      <c r="E92" s="43" t="s">
        <v>6</v>
      </c>
      <c r="F92" s="76" t="s">
        <v>704</v>
      </c>
    </row>
    <row r="93" spans="4:6" x14ac:dyDescent="0.25">
      <c r="D93" s="48" t="s">
        <v>5</v>
      </c>
      <c r="E93" s="43" t="s">
        <v>6</v>
      </c>
      <c r="F93" s="76" t="s">
        <v>705</v>
      </c>
    </row>
    <row r="94" spans="4:6" x14ac:dyDescent="0.25">
      <c r="D94" s="97" t="s">
        <v>300</v>
      </c>
      <c r="E94" s="43" t="s">
        <v>273</v>
      </c>
      <c r="F94" s="76" t="str">
        <f t="shared" ref="F94:F99" si="5">CONCATENATE("/VectoCustomerInformation/Data/Results/Summary/FC_ZEV_AuxHeater/FuelConsumption[@unit='",E94,"']")</f>
        <v>/VectoCustomerInformation/Data/Results/Summary/FC_ZEV_AuxHeater/FuelConsumption[@unit='g/km']</v>
      </c>
    </row>
    <row r="95" spans="4:6" x14ac:dyDescent="0.25">
      <c r="D95" s="97"/>
      <c r="E95" s="43" t="s">
        <v>282</v>
      </c>
      <c r="F95" s="76" t="str">
        <f t="shared" si="5"/>
        <v>/VectoCustomerInformation/Data/Results/Summary/FC_ZEV_AuxHeater/FuelConsumption[@unit='g/p-km']</v>
      </c>
    </row>
    <row r="96" spans="4:6" x14ac:dyDescent="0.25">
      <c r="D96" s="97"/>
      <c r="E96" s="43" t="s">
        <v>302</v>
      </c>
      <c r="F96" s="76" t="str">
        <f t="shared" si="5"/>
        <v>/VectoCustomerInformation/Data/Results/Summary/FC_ZEV_AuxHeater/FuelConsumption[@unit='l/100km']</v>
      </c>
    </row>
    <row r="97" spans="4:6" x14ac:dyDescent="0.25">
      <c r="D97" s="97"/>
      <c r="E97" s="43" t="s">
        <v>285</v>
      </c>
      <c r="F97" s="76" t="str">
        <f t="shared" si="5"/>
        <v>/VectoCustomerInformation/Data/Results/Summary/FC_ZEV_AuxHeater/FuelConsumption[@unit='l/p-km']</v>
      </c>
    </row>
    <row r="98" spans="4:6" x14ac:dyDescent="0.25">
      <c r="D98" s="97"/>
      <c r="E98" s="43" t="s">
        <v>276</v>
      </c>
      <c r="F98" s="76" t="str">
        <f t="shared" si="5"/>
        <v>/VectoCustomerInformation/Data/Results/Summary/FC_ZEV_AuxHeater/FuelConsumption[@unit='MJ/km']</v>
      </c>
    </row>
    <row r="99" spans="4:6" x14ac:dyDescent="0.25">
      <c r="D99" s="97"/>
      <c r="E99" s="43" t="s">
        <v>283</v>
      </c>
      <c r="F99" s="76" t="str">
        <f t="shared" si="5"/>
        <v>/VectoCustomerInformation/Data/Results/Summary/FC_ZEV_AuxHeater/FuelConsumption[@unit='MJ/p-km']</v>
      </c>
    </row>
    <row r="100" spans="4:6" x14ac:dyDescent="0.25">
      <c r="D100" s="97" t="s">
        <v>301</v>
      </c>
      <c r="E100" s="43" t="s">
        <v>273</v>
      </c>
      <c r="F100" s="76" t="str">
        <f>CONCATENATE("/VectoCustomerInformation/Data/Results/Summary/CO2_ZEV_AuxHeater/CO2[@unit='",E100,"']")</f>
        <v>/VectoCustomerInformation/Data/Results/Summary/CO2_ZEV_AuxHeater/CO2[@unit='g/km']</v>
      </c>
    </row>
    <row r="101" spans="4:6" x14ac:dyDescent="0.25">
      <c r="D101" s="97"/>
      <c r="E101" s="43" t="s">
        <v>282</v>
      </c>
      <c r="F101" s="76" t="str">
        <f>CONCATENATE("/VectoCustomerInformation/Data/Results/Summary/CO2_ZEV_AuxHeater/CO2[@unit='",E101,"']")</f>
        <v>/VectoCustomerInformation/Data/Results/Summary/CO2_ZEV_AuxHeater/CO2[@unit='g/p-km']</v>
      </c>
    </row>
  </sheetData>
  <customSheetViews>
    <customSheetView guid="{638E9BBB-9DE1-4C03-99E5-6DF442C45AE3}" scale="90" showPageBreaks="1" topLeftCell="A31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00:D101"/>
    <mergeCell ref="D85:D90"/>
    <mergeCell ref="D94:D99"/>
    <mergeCell ref="D71:D82"/>
    <mergeCell ref="D83:D84"/>
    <mergeCell ref="D67:D68"/>
    <mergeCell ref="D69:D70"/>
    <mergeCell ref="D51:D56"/>
    <mergeCell ref="D57:D58"/>
    <mergeCell ref="D35:D42"/>
    <mergeCell ref="D43:D46"/>
    <mergeCell ref="D21:E21"/>
    <mergeCell ref="D23:D34"/>
    <mergeCell ref="F19:H19"/>
    <mergeCell ref="I19:K19"/>
    <mergeCell ref="F20:H20"/>
    <mergeCell ref="I20:K20"/>
    <mergeCell ref="D15:E15"/>
    <mergeCell ref="F15:K15"/>
    <mergeCell ref="F17:H17"/>
    <mergeCell ref="I17:K17"/>
    <mergeCell ref="F18:H18"/>
    <mergeCell ref="I18:K18"/>
    <mergeCell ref="D16:D17"/>
    <mergeCell ref="F16:H16"/>
    <mergeCell ref="I16:K16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AC103"/>
  <sheetViews>
    <sheetView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11" width="10.7109375" customWidth="1"/>
    <col min="12" max="12" width="2.7109375" customWidth="1"/>
    <col min="13" max="13" width="40.7109375" customWidth="1"/>
    <col min="14" max="20" width="10.7109375" customWidth="1"/>
    <col min="21" max="21" width="2.7109375" customWidth="1"/>
    <col min="22" max="22" width="40.7109375" customWidth="1"/>
    <col min="23" max="29" width="10.7109375" customWidth="1"/>
    <col min="30" max="30" width="2.7109375" customWidth="1"/>
  </cols>
  <sheetData>
    <row r="2" spans="2:29" s="55" customFormat="1" ht="15.75" x14ac:dyDescent="0.25">
      <c r="B2" s="54" t="s">
        <v>304</v>
      </c>
      <c r="C2" s="54"/>
    </row>
    <row r="3" spans="2:29" ht="15.75" x14ac:dyDescent="0.25">
      <c r="B3" s="49"/>
      <c r="C3" s="49"/>
    </row>
    <row r="4" spans="2:29" x14ac:dyDescent="0.25">
      <c r="C4" s="53" t="s">
        <v>11</v>
      </c>
      <c r="D4" t="s">
        <v>303</v>
      </c>
    </row>
    <row r="5" spans="2:29" x14ac:dyDescent="0.25">
      <c r="C5" s="3" t="s">
        <v>11</v>
      </c>
      <c r="D5" t="s">
        <v>307</v>
      </c>
    </row>
    <row r="6" spans="2:29" x14ac:dyDescent="0.25">
      <c r="C6" s="2" t="s">
        <v>260</v>
      </c>
      <c r="D6" t="s">
        <v>308</v>
      </c>
    </row>
    <row r="7" spans="2:29" x14ac:dyDescent="0.25">
      <c r="C7" s="44" t="s">
        <v>11</v>
      </c>
      <c r="D7" t="s">
        <v>309</v>
      </c>
    </row>
    <row r="8" spans="2:29" x14ac:dyDescent="0.25">
      <c r="C8" s="46" t="s">
        <v>11</v>
      </c>
      <c r="D8" t="s">
        <v>310</v>
      </c>
    </row>
    <row r="9" spans="2:29" x14ac:dyDescent="0.25">
      <c r="C9" s="1" t="s">
        <v>9</v>
      </c>
      <c r="D9" t="s">
        <v>311</v>
      </c>
    </row>
    <row r="11" spans="2:29" s="55" customFormat="1" ht="15.75" x14ac:dyDescent="0.25">
      <c r="B11" s="54" t="s">
        <v>314</v>
      </c>
      <c r="C11" s="54"/>
    </row>
    <row r="13" spans="2:29" ht="16.5" x14ac:dyDescent="0.3">
      <c r="C13" s="57" t="s">
        <v>261</v>
      </c>
      <c r="D13" s="58"/>
      <c r="E13" s="58"/>
      <c r="F13" s="58"/>
      <c r="G13" s="58"/>
      <c r="H13" s="58"/>
      <c r="I13" s="58"/>
      <c r="J13" s="58"/>
      <c r="K13" s="58"/>
      <c r="M13" s="57" t="s">
        <v>263</v>
      </c>
      <c r="N13" s="58"/>
      <c r="O13" s="58"/>
      <c r="P13" s="58"/>
      <c r="Q13" s="58"/>
      <c r="R13" s="58"/>
      <c r="S13" s="58"/>
      <c r="T13" s="58"/>
      <c r="V13" s="57" t="s">
        <v>264</v>
      </c>
      <c r="W13" s="58"/>
      <c r="X13" s="58"/>
      <c r="Y13" s="58"/>
      <c r="Z13" s="58"/>
      <c r="AA13" s="58"/>
      <c r="AB13" s="58"/>
      <c r="AC13" s="58"/>
    </row>
    <row r="14" spans="2:29" ht="16.5" x14ac:dyDescent="0.3">
      <c r="C14" s="57" t="s">
        <v>262</v>
      </c>
      <c r="D14" s="58"/>
      <c r="E14" s="58"/>
      <c r="F14" s="58"/>
      <c r="G14" s="58"/>
      <c r="H14" s="58"/>
      <c r="I14" s="58"/>
      <c r="J14" s="58"/>
      <c r="K14" s="58"/>
    </row>
    <row r="15" spans="2:29" ht="15.75" x14ac:dyDescent="0.25">
      <c r="C15" s="49"/>
    </row>
    <row r="16" spans="2:29" x14ac:dyDescent="0.25">
      <c r="D16" s="98" t="s">
        <v>0</v>
      </c>
      <c r="E16" s="98"/>
      <c r="F16" s="99" t="s">
        <v>11</v>
      </c>
      <c r="G16" s="99"/>
      <c r="H16" s="99"/>
      <c r="I16" s="99"/>
      <c r="J16" s="99"/>
      <c r="K16" s="99"/>
      <c r="M16" s="98" t="s">
        <v>0</v>
      </c>
      <c r="N16" s="98"/>
      <c r="O16" s="99" t="s">
        <v>11</v>
      </c>
      <c r="P16" s="99"/>
      <c r="Q16" s="99"/>
      <c r="R16" s="99"/>
      <c r="S16" s="99"/>
      <c r="T16" s="99"/>
      <c r="V16" s="98" t="s">
        <v>0</v>
      </c>
      <c r="W16" s="98"/>
      <c r="X16" s="99" t="s">
        <v>11</v>
      </c>
      <c r="Y16" s="99"/>
      <c r="Z16" s="99"/>
      <c r="AA16" s="99"/>
      <c r="AB16" s="99"/>
      <c r="AC16" s="99"/>
    </row>
    <row r="17" spans="4:29" x14ac:dyDescent="0.25">
      <c r="D17" s="100" t="s">
        <v>1</v>
      </c>
      <c r="E17" s="42" t="s">
        <v>271</v>
      </c>
      <c r="F17" s="110" t="s">
        <v>8</v>
      </c>
      <c r="G17" s="111"/>
      <c r="H17" s="112"/>
      <c r="I17" s="110" t="s">
        <v>290</v>
      </c>
      <c r="J17" s="111"/>
      <c r="K17" s="112"/>
      <c r="M17" s="100" t="s">
        <v>1</v>
      </c>
      <c r="N17" s="42" t="s">
        <v>271</v>
      </c>
      <c r="O17" s="110" t="s">
        <v>8</v>
      </c>
      <c r="P17" s="111"/>
      <c r="Q17" s="112"/>
      <c r="R17" s="110" t="s">
        <v>290</v>
      </c>
      <c r="S17" s="111"/>
      <c r="T17" s="112"/>
      <c r="V17" s="100" t="s">
        <v>1</v>
      </c>
      <c r="W17" s="42" t="s">
        <v>271</v>
      </c>
      <c r="X17" s="110" t="s">
        <v>8</v>
      </c>
      <c r="Y17" s="111"/>
      <c r="Z17" s="112"/>
      <c r="AA17" s="110" t="s">
        <v>290</v>
      </c>
      <c r="AB17" s="111"/>
      <c r="AC17" s="112"/>
    </row>
    <row r="18" spans="4:29" x14ac:dyDescent="0.25">
      <c r="D18" s="101"/>
      <c r="E18" s="42" t="s">
        <v>270</v>
      </c>
      <c r="F18" s="105" t="s">
        <v>11</v>
      </c>
      <c r="G18" s="105"/>
      <c r="H18" s="105"/>
      <c r="I18" s="105" t="s">
        <v>11</v>
      </c>
      <c r="J18" s="105"/>
      <c r="K18" s="105"/>
      <c r="L18" s="21"/>
      <c r="M18" s="101"/>
      <c r="N18" s="42" t="s">
        <v>270</v>
      </c>
      <c r="O18" s="105" t="s">
        <v>11</v>
      </c>
      <c r="P18" s="105"/>
      <c r="Q18" s="105"/>
      <c r="R18" s="105" t="s">
        <v>11</v>
      </c>
      <c r="S18" s="105"/>
      <c r="T18" s="105"/>
      <c r="V18" s="101"/>
      <c r="W18" s="42" t="s">
        <v>270</v>
      </c>
      <c r="X18" s="105" t="s">
        <v>11</v>
      </c>
      <c r="Y18" s="105"/>
      <c r="Z18" s="105"/>
      <c r="AA18" s="105" t="s">
        <v>11</v>
      </c>
      <c r="AB18" s="105"/>
      <c r="AC18" s="105"/>
    </row>
    <row r="19" spans="4:29" x14ac:dyDescent="0.25">
      <c r="D19" s="47" t="s">
        <v>265</v>
      </c>
      <c r="E19" s="42" t="s">
        <v>271</v>
      </c>
      <c r="F19" s="105" t="s">
        <v>11</v>
      </c>
      <c r="G19" s="105"/>
      <c r="H19" s="105"/>
      <c r="I19" s="105" t="s">
        <v>11</v>
      </c>
      <c r="J19" s="105"/>
      <c r="K19" s="105"/>
      <c r="L19" s="21"/>
      <c r="M19" s="47" t="s">
        <v>265</v>
      </c>
      <c r="N19" s="42" t="s">
        <v>271</v>
      </c>
      <c r="O19" s="105" t="s">
        <v>11</v>
      </c>
      <c r="P19" s="105"/>
      <c r="Q19" s="105"/>
      <c r="R19" s="105" t="s">
        <v>11</v>
      </c>
      <c r="S19" s="105"/>
      <c r="T19" s="105"/>
      <c r="V19" s="47" t="s">
        <v>265</v>
      </c>
      <c r="W19" s="42" t="s">
        <v>271</v>
      </c>
      <c r="X19" s="105" t="s">
        <v>11</v>
      </c>
      <c r="Y19" s="105"/>
      <c r="Z19" s="105"/>
      <c r="AA19" s="105" t="s">
        <v>11</v>
      </c>
      <c r="AB19" s="105"/>
      <c r="AC19" s="105"/>
    </row>
    <row r="20" spans="4:29" x14ac:dyDescent="0.25">
      <c r="D20" s="47" t="s">
        <v>266</v>
      </c>
      <c r="E20" s="42" t="s">
        <v>270</v>
      </c>
      <c r="F20" s="105" t="s">
        <v>11</v>
      </c>
      <c r="G20" s="105"/>
      <c r="H20" s="105"/>
      <c r="I20" s="105" t="s">
        <v>11</v>
      </c>
      <c r="J20" s="105"/>
      <c r="K20" s="105"/>
      <c r="L20" s="21"/>
      <c r="M20" s="47" t="s">
        <v>266</v>
      </c>
      <c r="N20" s="42" t="s">
        <v>270</v>
      </c>
      <c r="O20" s="105" t="s">
        <v>11</v>
      </c>
      <c r="P20" s="105"/>
      <c r="Q20" s="105"/>
      <c r="R20" s="105" t="s">
        <v>11</v>
      </c>
      <c r="S20" s="105"/>
      <c r="T20" s="105"/>
      <c r="V20" s="47" t="s">
        <v>266</v>
      </c>
      <c r="W20" s="42" t="s">
        <v>270</v>
      </c>
      <c r="X20" s="105" t="s">
        <v>11</v>
      </c>
      <c r="Y20" s="105"/>
      <c r="Z20" s="105"/>
      <c r="AA20" s="105" t="s">
        <v>11</v>
      </c>
      <c r="AB20" s="105"/>
      <c r="AC20" s="105"/>
    </row>
    <row r="21" spans="4:29" x14ac:dyDescent="0.25">
      <c r="D21" s="47" t="s">
        <v>267</v>
      </c>
      <c r="E21" s="42" t="s">
        <v>270</v>
      </c>
      <c r="F21" s="105" t="s">
        <v>11</v>
      </c>
      <c r="G21" s="105"/>
      <c r="H21" s="105"/>
      <c r="I21" s="105" t="s">
        <v>11</v>
      </c>
      <c r="J21" s="105"/>
      <c r="K21" s="105"/>
      <c r="L21" s="21"/>
      <c r="M21" s="47" t="s">
        <v>267</v>
      </c>
      <c r="N21" s="42" t="s">
        <v>270</v>
      </c>
      <c r="O21" s="105" t="s">
        <v>11</v>
      </c>
      <c r="P21" s="105"/>
      <c r="Q21" s="105"/>
      <c r="R21" s="105" t="s">
        <v>11</v>
      </c>
      <c r="S21" s="105"/>
      <c r="T21" s="105"/>
      <c r="V21" s="47" t="s">
        <v>267</v>
      </c>
      <c r="W21" s="42" t="s">
        <v>270</v>
      </c>
      <c r="X21" s="105" t="s">
        <v>11</v>
      </c>
      <c r="Y21" s="105"/>
      <c r="Z21" s="105"/>
      <c r="AA21" s="105" t="s">
        <v>11</v>
      </c>
      <c r="AB21" s="105"/>
      <c r="AC21" s="105"/>
    </row>
    <row r="22" spans="4:29" s="45" customFormat="1" ht="45" x14ac:dyDescent="0.25">
      <c r="D22" s="97" t="s">
        <v>2</v>
      </c>
      <c r="E22" s="97"/>
      <c r="F22" s="50" t="s">
        <v>305</v>
      </c>
      <c r="G22" s="51" t="s">
        <v>306</v>
      </c>
      <c r="H22" s="52" t="s">
        <v>10</v>
      </c>
      <c r="I22" s="50" t="s">
        <v>305</v>
      </c>
      <c r="J22" s="51" t="s">
        <v>306</v>
      </c>
      <c r="K22" s="52" t="s">
        <v>10</v>
      </c>
      <c r="L22" s="21"/>
      <c r="M22" s="97" t="s">
        <v>2</v>
      </c>
      <c r="N22" s="97"/>
      <c r="O22" s="50" t="s">
        <v>305</v>
      </c>
      <c r="P22" s="51" t="s">
        <v>306</v>
      </c>
      <c r="Q22" s="52" t="s">
        <v>10</v>
      </c>
      <c r="R22" s="50" t="s">
        <v>305</v>
      </c>
      <c r="S22" s="51" t="s">
        <v>306</v>
      </c>
      <c r="T22" s="52" t="s">
        <v>10</v>
      </c>
      <c r="V22" s="97" t="s">
        <v>2</v>
      </c>
      <c r="W22" s="97"/>
      <c r="X22" s="50" t="s">
        <v>305</v>
      </c>
      <c r="Y22" s="51" t="s">
        <v>306</v>
      </c>
      <c r="Z22" s="52" t="s">
        <v>10</v>
      </c>
      <c r="AA22" s="50" t="s">
        <v>305</v>
      </c>
      <c r="AB22" s="51" t="s">
        <v>306</v>
      </c>
      <c r="AC22" s="52" t="s">
        <v>10</v>
      </c>
    </row>
    <row r="23" spans="4:29" x14ac:dyDescent="0.25">
      <c r="D23" s="47" t="s">
        <v>268</v>
      </c>
      <c r="E23" s="42" t="s">
        <v>272</v>
      </c>
      <c r="F23" s="1" t="s">
        <v>9</v>
      </c>
      <c r="G23" s="2" t="s">
        <v>9</v>
      </c>
      <c r="H23" s="44" t="s">
        <v>11</v>
      </c>
      <c r="I23" s="1" t="s">
        <v>9</v>
      </c>
      <c r="J23" s="2" t="s">
        <v>9</v>
      </c>
      <c r="K23" s="44" t="s">
        <v>11</v>
      </c>
      <c r="L23" s="21"/>
      <c r="M23" s="47" t="s">
        <v>268</v>
      </c>
      <c r="N23" s="42" t="s">
        <v>272</v>
      </c>
      <c r="O23" s="3" t="s">
        <v>11</v>
      </c>
      <c r="P23" s="3" t="s">
        <v>11</v>
      </c>
      <c r="Q23" s="46" t="s">
        <v>11</v>
      </c>
      <c r="R23" s="3" t="s">
        <v>11</v>
      </c>
      <c r="S23" s="3" t="s">
        <v>11</v>
      </c>
      <c r="T23" s="46" t="s">
        <v>11</v>
      </c>
      <c r="V23" s="47" t="s">
        <v>268</v>
      </c>
      <c r="W23" s="42" t="s">
        <v>272</v>
      </c>
      <c r="X23" s="2" t="s">
        <v>260</v>
      </c>
      <c r="Y23" s="1" t="s">
        <v>9</v>
      </c>
      <c r="Z23" s="44" t="s">
        <v>11</v>
      </c>
      <c r="AA23" s="2" t="s">
        <v>260</v>
      </c>
      <c r="AB23" s="1" t="s">
        <v>9</v>
      </c>
      <c r="AC23" s="44" t="s">
        <v>11</v>
      </c>
    </row>
    <row r="24" spans="4:29" x14ac:dyDescent="0.25">
      <c r="D24" s="97" t="s">
        <v>269</v>
      </c>
      <c r="E24" s="42" t="s">
        <v>273</v>
      </c>
      <c r="F24" s="1" t="s">
        <v>9</v>
      </c>
      <c r="G24" s="2" t="s">
        <v>260</v>
      </c>
      <c r="H24" s="44" t="s">
        <v>11</v>
      </c>
      <c r="I24" s="1" t="s">
        <v>9</v>
      </c>
      <c r="J24" s="2" t="s">
        <v>260</v>
      </c>
      <c r="K24" s="44" t="s">
        <v>11</v>
      </c>
      <c r="L24" s="21"/>
      <c r="M24" s="97" t="s">
        <v>269</v>
      </c>
      <c r="N24" s="42" t="s">
        <v>273</v>
      </c>
      <c r="O24" s="3" t="s">
        <v>11</v>
      </c>
      <c r="P24" s="3" t="s">
        <v>11</v>
      </c>
      <c r="Q24" s="46" t="s">
        <v>11</v>
      </c>
      <c r="R24" s="3" t="s">
        <v>11</v>
      </c>
      <c r="S24" s="3" t="s">
        <v>11</v>
      </c>
      <c r="T24" s="46" t="s">
        <v>11</v>
      </c>
      <c r="V24" s="97" t="s">
        <v>269</v>
      </c>
      <c r="W24" s="42" t="s">
        <v>273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 t="s">
        <v>9</v>
      </c>
    </row>
    <row r="25" spans="4:29" x14ac:dyDescent="0.25">
      <c r="D25" s="97"/>
      <c r="E25" s="42" t="s">
        <v>274</v>
      </c>
      <c r="F25" s="1" t="s">
        <v>9</v>
      </c>
      <c r="G25" s="2" t="s">
        <v>260</v>
      </c>
      <c r="H25" s="44" t="s">
        <v>11</v>
      </c>
      <c r="I25" s="1" t="s">
        <v>9</v>
      </c>
      <c r="J25" s="2" t="s">
        <v>260</v>
      </c>
      <c r="K25" s="44" t="s">
        <v>11</v>
      </c>
      <c r="L25" s="21"/>
      <c r="M25" s="97"/>
      <c r="N25" s="42" t="s">
        <v>274</v>
      </c>
      <c r="O25" s="3" t="s">
        <v>11</v>
      </c>
      <c r="P25" s="3" t="s">
        <v>11</v>
      </c>
      <c r="Q25" s="46" t="s">
        <v>11</v>
      </c>
      <c r="R25" s="3" t="s">
        <v>11</v>
      </c>
      <c r="S25" s="3" t="s">
        <v>11</v>
      </c>
      <c r="T25" s="46" t="s">
        <v>11</v>
      </c>
      <c r="V25" s="97"/>
      <c r="W25" s="42" t="s">
        <v>274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</row>
    <row r="26" spans="4:29" x14ac:dyDescent="0.25">
      <c r="D26" s="97"/>
      <c r="E26" s="42" t="s">
        <v>282</v>
      </c>
      <c r="F26" s="1" t="s">
        <v>9</v>
      </c>
      <c r="G26" s="2" t="s">
        <v>260</v>
      </c>
      <c r="H26" s="44" t="s">
        <v>11</v>
      </c>
      <c r="I26" s="1" t="s">
        <v>9</v>
      </c>
      <c r="J26" s="2" t="s">
        <v>260</v>
      </c>
      <c r="K26" s="44" t="s">
        <v>11</v>
      </c>
      <c r="L26" s="21"/>
      <c r="M26" s="97"/>
      <c r="N26" s="42" t="s">
        <v>282</v>
      </c>
      <c r="O26" s="3" t="s">
        <v>11</v>
      </c>
      <c r="P26" s="3" t="s">
        <v>11</v>
      </c>
      <c r="Q26" s="46" t="s">
        <v>11</v>
      </c>
      <c r="R26" s="3" t="s">
        <v>11</v>
      </c>
      <c r="S26" s="3" t="s">
        <v>11</v>
      </c>
      <c r="T26" s="46" t="s">
        <v>11</v>
      </c>
      <c r="V26" s="97"/>
      <c r="W26" s="42" t="s">
        <v>282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</row>
    <row r="27" spans="4:29" x14ac:dyDescent="0.25">
      <c r="D27" s="97"/>
      <c r="E27" s="42" t="s">
        <v>275</v>
      </c>
      <c r="F27" s="1" t="s">
        <v>9</v>
      </c>
      <c r="G27" s="2" t="s">
        <v>260</v>
      </c>
      <c r="H27" s="44" t="s">
        <v>11</v>
      </c>
      <c r="I27" s="1" t="s">
        <v>9</v>
      </c>
      <c r="J27" s="2" t="s">
        <v>260</v>
      </c>
      <c r="K27" s="44" t="s">
        <v>11</v>
      </c>
      <c r="L27" s="36"/>
      <c r="M27" s="97"/>
      <c r="N27" s="42" t="s">
        <v>275</v>
      </c>
      <c r="O27" s="3" t="s">
        <v>11</v>
      </c>
      <c r="P27" s="3" t="s">
        <v>11</v>
      </c>
      <c r="Q27" s="46" t="s">
        <v>11</v>
      </c>
      <c r="R27" s="3" t="s">
        <v>11</v>
      </c>
      <c r="S27" s="3" t="s">
        <v>11</v>
      </c>
      <c r="T27" s="46" t="s">
        <v>11</v>
      </c>
      <c r="V27" s="97"/>
      <c r="W27" s="42" t="s">
        <v>275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</row>
    <row r="28" spans="4:29" x14ac:dyDescent="0.25">
      <c r="D28" s="97"/>
      <c r="E28" s="42" t="s">
        <v>302</v>
      </c>
      <c r="F28" s="1" t="s">
        <v>9</v>
      </c>
      <c r="G28" s="2" t="s">
        <v>260</v>
      </c>
      <c r="H28" s="44" t="s">
        <v>11</v>
      </c>
      <c r="I28" s="1" t="s">
        <v>9</v>
      </c>
      <c r="J28" s="2" t="s">
        <v>260</v>
      </c>
      <c r="K28" s="44" t="s">
        <v>11</v>
      </c>
      <c r="L28" s="33"/>
      <c r="M28" s="97"/>
      <c r="N28" s="42" t="s">
        <v>302</v>
      </c>
      <c r="O28" s="3" t="s">
        <v>11</v>
      </c>
      <c r="P28" s="3" t="s">
        <v>11</v>
      </c>
      <c r="Q28" s="46" t="s">
        <v>11</v>
      </c>
      <c r="R28" s="3" t="s">
        <v>11</v>
      </c>
      <c r="S28" s="3" t="s">
        <v>11</v>
      </c>
      <c r="T28" s="46" t="s">
        <v>11</v>
      </c>
      <c r="V28" s="97"/>
      <c r="W28" s="42" t="s">
        <v>302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</row>
    <row r="29" spans="4:29" x14ac:dyDescent="0.25">
      <c r="D29" s="97"/>
      <c r="E29" s="42" t="s">
        <v>284</v>
      </c>
      <c r="F29" s="1" t="s">
        <v>9</v>
      </c>
      <c r="G29" s="2" t="s">
        <v>260</v>
      </c>
      <c r="H29" s="44" t="s">
        <v>11</v>
      </c>
      <c r="I29" s="1" t="s">
        <v>9</v>
      </c>
      <c r="J29" s="2" t="s">
        <v>260</v>
      </c>
      <c r="K29" s="44" t="s">
        <v>11</v>
      </c>
      <c r="L29" s="33"/>
      <c r="M29" s="97"/>
      <c r="N29" s="42" t="s">
        <v>284</v>
      </c>
      <c r="O29" s="3" t="s">
        <v>11</v>
      </c>
      <c r="P29" s="3" t="s">
        <v>11</v>
      </c>
      <c r="Q29" s="46" t="s">
        <v>11</v>
      </c>
      <c r="R29" s="3" t="s">
        <v>11</v>
      </c>
      <c r="S29" s="3" t="s">
        <v>11</v>
      </c>
      <c r="T29" s="46" t="s">
        <v>11</v>
      </c>
      <c r="V29" s="97"/>
      <c r="W29" s="42" t="s">
        <v>284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</row>
    <row r="30" spans="4:29" x14ac:dyDescent="0.25">
      <c r="D30" s="97"/>
      <c r="E30" s="42" t="s">
        <v>285</v>
      </c>
      <c r="F30" s="1" t="s">
        <v>9</v>
      </c>
      <c r="G30" s="2" t="s">
        <v>260</v>
      </c>
      <c r="H30" s="44" t="s">
        <v>11</v>
      </c>
      <c r="I30" s="1" t="s">
        <v>9</v>
      </c>
      <c r="J30" s="2" t="s">
        <v>260</v>
      </c>
      <c r="K30" s="44" t="s">
        <v>11</v>
      </c>
      <c r="L30" s="33"/>
      <c r="M30" s="97"/>
      <c r="N30" s="42" t="s">
        <v>285</v>
      </c>
      <c r="O30" s="3" t="s">
        <v>11</v>
      </c>
      <c r="P30" s="3" t="s">
        <v>11</v>
      </c>
      <c r="Q30" s="46" t="s">
        <v>11</v>
      </c>
      <c r="R30" s="3" t="s">
        <v>11</v>
      </c>
      <c r="S30" s="3" t="s">
        <v>11</v>
      </c>
      <c r="T30" s="46" t="s">
        <v>11</v>
      </c>
      <c r="V30" s="97"/>
      <c r="W30" s="42" t="s">
        <v>285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</row>
    <row r="31" spans="4:29" x14ac:dyDescent="0.25">
      <c r="D31" s="97"/>
      <c r="E31" s="42" t="s">
        <v>286</v>
      </c>
      <c r="F31" s="1" t="s">
        <v>9</v>
      </c>
      <c r="G31" s="2" t="s">
        <v>260</v>
      </c>
      <c r="H31" s="44" t="s">
        <v>11</v>
      </c>
      <c r="I31" s="1" t="s">
        <v>9</v>
      </c>
      <c r="J31" s="2" t="s">
        <v>260</v>
      </c>
      <c r="K31" s="44" t="s">
        <v>11</v>
      </c>
      <c r="L31" s="33"/>
      <c r="M31" s="97"/>
      <c r="N31" s="42" t="s">
        <v>286</v>
      </c>
      <c r="O31" s="3" t="s">
        <v>11</v>
      </c>
      <c r="P31" s="3" t="s">
        <v>11</v>
      </c>
      <c r="Q31" s="46" t="s">
        <v>11</v>
      </c>
      <c r="R31" s="3" t="s">
        <v>11</v>
      </c>
      <c r="S31" s="3" t="s">
        <v>11</v>
      </c>
      <c r="T31" s="46" t="s">
        <v>11</v>
      </c>
      <c r="V31" s="97"/>
      <c r="W31" s="42" t="s">
        <v>286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</row>
    <row r="32" spans="4:29" x14ac:dyDescent="0.25">
      <c r="D32" s="97"/>
      <c r="E32" s="42" t="s">
        <v>276</v>
      </c>
      <c r="F32" s="1" t="s">
        <v>9</v>
      </c>
      <c r="G32" s="2" t="s">
        <v>260</v>
      </c>
      <c r="H32" s="44" t="s">
        <v>11</v>
      </c>
      <c r="I32" s="1" t="s">
        <v>9</v>
      </c>
      <c r="J32" s="2" t="s">
        <v>260</v>
      </c>
      <c r="K32" s="44" t="s">
        <v>11</v>
      </c>
      <c r="L32" s="33"/>
      <c r="M32" s="97"/>
      <c r="N32" s="42" t="s">
        <v>276</v>
      </c>
      <c r="O32" s="3" t="s">
        <v>11</v>
      </c>
      <c r="P32" s="3" t="s">
        <v>11</v>
      </c>
      <c r="Q32" s="46" t="s">
        <v>11</v>
      </c>
      <c r="R32" s="3" t="s">
        <v>11</v>
      </c>
      <c r="S32" s="3" t="s">
        <v>11</v>
      </c>
      <c r="T32" s="46" t="s">
        <v>11</v>
      </c>
      <c r="V32" s="97"/>
      <c r="W32" s="42" t="s">
        <v>276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</row>
    <row r="33" spans="4:29" x14ac:dyDescent="0.25">
      <c r="D33" s="97"/>
      <c r="E33" s="42" t="s">
        <v>277</v>
      </c>
      <c r="F33" s="1" t="s">
        <v>9</v>
      </c>
      <c r="G33" s="2" t="s">
        <v>260</v>
      </c>
      <c r="H33" s="44" t="s">
        <v>11</v>
      </c>
      <c r="I33" s="1" t="s">
        <v>9</v>
      </c>
      <c r="J33" s="2" t="s">
        <v>260</v>
      </c>
      <c r="K33" s="44" t="s">
        <v>11</v>
      </c>
      <c r="L33" s="33"/>
      <c r="M33" s="97"/>
      <c r="N33" s="42" t="s">
        <v>277</v>
      </c>
      <c r="O33" s="3" t="s">
        <v>11</v>
      </c>
      <c r="P33" s="3" t="s">
        <v>11</v>
      </c>
      <c r="Q33" s="46" t="s">
        <v>11</v>
      </c>
      <c r="R33" s="3" t="s">
        <v>11</v>
      </c>
      <c r="S33" s="3" t="s">
        <v>11</v>
      </c>
      <c r="T33" s="46" t="s">
        <v>11</v>
      </c>
      <c r="V33" s="97"/>
      <c r="W33" s="42" t="s">
        <v>277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</row>
    <row r="34" spans="4:29" x14ac:dyDescent="0.25">
      <c r="D34" s="97"/>
      <c r="E34" s="42" t="s">
        <v>283</v>
      </c>
      <c r="F34" s="1" t="s">
        <v>9</v>
      </c>
      <c r="G34" s="2" t="s">
        <v>260</v>
      </c>
      <c r="H34" s="44" t="s">
        <v>11</v>
      </c>
      <c r="I34" s="1" t="s">
        <v>9</v>
      </c>
      <c r="J34" s="2" t="s">
        <v>260</v>
      </c>
      <c r="K34" s="44" t="s">
        <v>11</v>
      </c>
      <c r="L34" s="33"/>
      <c r="M34" s="97"/>
      <c r="N34" s="42" t="s">
        <v>283</v>
      </c>
      <c r="O34" s="3" t="s">
        <v>11</v>
      </c>
      <c r="P34" s="3" t="s">
        <v>11</v>
      </c>
      <c r="Q34" s="46" t="s">
        <v>11</v>
      </c>
      <c r="R34" s="3" t="s">
        <v>11</v>
      </c>
      <c r="S34" s="3" t="s">
        <v>11</v>
      </c>
      <c r="T34" s="46" t="s">
        <v>11</v>
      </c>
      <c r="V34" s="97"/>
      <c r="W34" s="42" t="s">
        <v>283</v>
      </c>
      <c r="X34" s="1" t="s">
        <v>9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</row>
    <row r="35" spans="4:29" x14ac:dyDescent="0.25">
      <c r="D35" s="97"/>
      <c r="E35" s="42" t="s">
        <v>278</v>
      </c>
      <c r="F35" s="1" t="s">
        <v>9</v>
      </c>
      <c r="G35" s="2" t="s">
        <v>260</v>
      </c>
      <c r="H35" s="44" t="s">
        <v>11</v>
      </c>
      <c r="I35" s="1" t="s">
        <v>9</v>
      </c>
      <c r="J35" s="2" t="s">
        <v>260</v>
      </c>
      <c r="K35" s="44" t="s">
        <v>11</v>
      </c>
      <c r="L35" s="33"/>
      <c r="M35" s="97"/>
      <c r="N35" s="42" t="s">
        <v>278</v>
      </c>
      <c r="O35" s="3" t="s">
        <v>11</v>
      </c>
      <c r="P35" s="3" t="s">
        <v>11</v>
      </c>
      <c r="Q35" s="46" t="s">
        <v>11</v>
      </c>
      <c r="R35" s="3" t="s">
        <v>11</v>
      </c>
      <c r="S35" s="3" t="s">
        <v>11</v>
      </c>
      <c r="T35" s="46" t="s">
        <v>11</v>
      </c>
      <c r="V35" s="97"/>
      <c r="W35" s="42" t="s">
        <v>278</v>
      </c>
      <c r="X35" s="1" t="s">
        <v>9</v>
      </c>
      <c r="Y35" s="1" t="s">
        <v>9</v>
      </c>
      <c r="Z35" s="1" t="s">
        <v>9</v>
      </c>
      <c r="AA35" s="1" t="s">
        <v>9</v>
      </c>
      <c r="AB35" s="1" t="s">
        <v>9</v>
      </c>
      <c r="AC35" s="1" t="s">
        <v>9</v>
      </c>
    </row>
    <row r="36" spans="4:29" x14ac:dyDescent="0.25">
      <c r="D36" s="97" t="s">
        <v>4</v>
      </c>
      <c r="E36" s="42" t="s">
        <v>279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3"/>
      <c r="M36" s="97" t="s">
        <v>4</v>
      </c>
      <c r="N36" s="42" t="s">
        <v>279</v>
      </c>
      <c r="O36" s="3" t="s">
        <v>11</v>
      </c>
      <c r="P36" s="1" t="s">
        <v>9</v>
      </c>
      <c r="Q36" s="46" t="s">
        <v>11</v>
      </c>
      <c r="R36" s="3" t="s">
        <v>11</v>
      </c>
      <c r="S36" s="1" t="s">
        <v>9</v>
      </c>
      <c r="T36" s="46" t="s">
        <v>11</v>
      </c>
      <c r="V36" s="97" t="s">
        <v>4</v>
      </c>
      <c r="W36" s="42" t="s">
        <v>279</v>
      </c>
      <c r="X36" s="2" t="s">
        <v>260</v>
      </c>
      <c r="Y36" s="1" t="s">
        <v>9</v>
      </c>
      <c r="Z36" s="44" t="s">
        <v>11</v>
      </c>
      <c r="AA36" s="2" t="s">
        <v>260</v>
      </c>
      <c r="AB36" s="1" t="s">
        <v>9</v>
      </c>
      <c r="AC36" s="44" t="s">
        <v>11</v>
      </c>
    </row>
    <row r="37" spans="4:29" x14ac:dyDescent="0.25">
      <c r="D37" s="97"/>
      <c r="E37" s="42" t="s">
        <v>280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  <c r="M37" s="97"/>
      <c r="N37" s="42" t="s">
        <v>280</v>
      </c>
      <c r="O37" s="3" t="s">
        <v>11</v>
      </c>
      <c r="P37" s="1" t="s">
        <v>9</v>
      </c>
      <c r="Q37" s="46" t="s">
        <v>11</v>
      </c>
      <c r="R37" s="3" t="s">
        <v>11</v>
      </c>
      <c r="S37" s="1" t="s">
        <v>9</v>
      </c>
      <c r="T37" s="46" t="s">
        <v>11</v>
      </c>
      <c r="V37" s="97"/>
      <c r="W37" s="42" t="s">
        <v>280</v>
      </c>
      <c r="X37" s="2" t="s">
        <v>260</v>
      </c>
      <c r="Y37" s="1" t="s">
        <v>9</v>
      </c>
      <c r="Z37" s="44" t="s">
        <v>11</v>
      </c>
      <c r="AA37" s="2" t="s">
        <v>260</v>
      </c>
      <c r="AB37" s="1" t="s">
        <v>9</v>
      </c>
      <c r="AC37" s="44" t="s">
        <v>11</v>
      </c>
    </row>
    <row r="38" spans="4:29" x14ac:dyDescent="0.25">
      <c r="D38" s="97"/>
      <c r="E38" s="42" t="s">
        <v>287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  <c r="M38" s="97"/>
      <c r="N38" s="42" t="s">
        <v>287</v>
      </c>
      <c r="O38" s="3" t="s">
        <v>11</v>
      </c>
      <c r="P38" s="1" t="s">
        <v>9</v>
      </c>
      <c r="Q38" s="46" t="s">
        <v>11</v>
      </c>
      <c r="R38" s="3" t="s">
        <v>11</v>
      </c>
      <c r="S38" s="1" t="s">
        <v>9</v>
      </c>
      <c r="T38" s="46" t="s">
        <v>11</v>
      </c>
      <c r="V38" s="97"/>
      <c r="W38" s="42" t="s">
        <v>287</v>
      </c>
      <c r="X38" s="2" t="s">
        <v>260</v>
      </c>
      <c r="Y38" s="1" t="s">
        <v>9</v>
      </c>
      <c r="Z38" s="44" t="s">
        <v>11</v>
      </c>
      <c r="AA38" s="2" t="s">
        <v>260</v>
      </c>
      <c r="AB38" s="1" t="s">
        <v>9</v>
      </c>
      <c r="AC38" s="44" t="s">
        <v>11</v>
      </c>
    </row>
    <row r="39" spans="4:29" x14ac:dyDescent="0.25">
      <c r="D39" s="97"/>
      <c r="E39" s="42" t="s">
        <v>281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  <c r="M39" s="97"/>
      <c r="N39" s="42" t="s">
        <v>281</v>
      </c>
      <c r="O39" s="3" t="s">
        <v>11</v>
      </c>
      <c r="P39" s="1" t="s">
        <v>9</v>
      </c>
      <c r="Q39" s="46" t="s">
        <v>11</v>
      </c>
      <c r="R39" s="3" t="s">
        <v>11</v>
      </c>
      <c r="S39" s="1" t="s">
        <v>9</v>
      </c>
      <c r="T39" s="46" t="s">
        <v>11</v>
      </c>
      <c r="V39" s="97"/>
      <c r="W39" s="42" t="s">
        <v>281</v>
      </c>
      <c r="X39" s="2" t="s">
        <v>260</v>
      </c>
      <c r="Y39" s="1" t="s">
        <v>9</v>
      </c>
      <c r="Z39" s="44" t="s">
        <v>11</v>
      </c>
      <c r="AA39" s="2" t="s">
        <v>260</v>
      </c>
      <c r="AB39" s="1" t="s">
        <v>9</v>
      </c>
      <c r="AC39" s="44" t="s">
        <v>11</v>
      </c>
    </row>
    <row r="40" spans="4:29" x14ac:dyDescent="0.25">
      <c r="D40" s="97"/>
      <c r="E40" s="42" t="s">
        <v>276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  <c r="M40" s="97"/>
      <c r="N40" s="42" t="s">
        <v>276</v>
      </c>
      <c r="O40" s="3" t="s">
        <v>11</v>
      </c>
      <c r="P40" s="1" t="s">
        <v>9</v>
      </c>
      <c r="Q40" s="46" t="s">
        <v>11</v>
      </c>
      <c r="R40" s="3" t="s">
        <v>11</v>
      </c>
      <c r="S40" s="1" t="s">
        <v>9</v>
      </c>
      <c r="T40" s="46" t="s">
        <v>11</v>
      </c>
      <c r="V40" s="97"/>
      <c r="W40" s="42" t="s">
        <v>276</v>
      </c>
      <c r="X40" s="2" t="s">
        <v>260</v>
      </c>
      <c r="Y40" s="1" t="s">
        <v>9</v>
      </c>
      <c r="Z40" s="44" t="s">
        <v>11</v>
      </c>
      <c r="AA40" s="2" t="s">
        <v>260</v>
      </c>
      <c r="AB40" s="1" t="s">
        <v>9</v>
      </c>
      <c r="AC40" s="44" t="s">
        <v>11</v>
      </c>
    </row>
    <row r="41" spans="4:29" x14ac:dyDescent="0.25">
      <c r="D41" s="97"/>
      <c r="E41" s="42" t="s">
        <v>277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38"/>
      <c r="M41" s="97"/>
      <c r="N41" s="42" t="s">
        <v>277</v>
      </c>
      <c r="O41" s="3" t="s">
        <v>11</v>
      </c>
      <c r="P41" s="1" t="s">
        <v>9</v>
      </c>
      <c r="Q41" s="46" t="s">
        <v>11</v>
      </c>
      <c r="R41" s="3" t="s">
        <v>11</v>
      </c>
      <c r="S41" s="1" t="s">
        <v>9</v>
      </c>
      <c r="T41" s="46" t="s">
        <v>11</v>
      </c>
      <c r="V41" s="97"/>
      <c r="W41" s="42" t="s">
        <v>277</v>
      </c>
      <c r="X41" s="2" t="s">
        <v>260</v>
      </c>
      <c r="Y41" s="1" t="s">
        <v>9</v>
      </c>
      <c r="Z41" s="44" t="s">
        <v>11</v>
      </c>
      <c r="AA41" s="2" t="s">
        <v>260</v>
      </c>
      <c r="AB41" s="1" t="s">
        <v>9</v>
      </c>
      <c r="AC41" s="44" t="s">
        <v>11</v>
      </c>
    </row>
    <row r="42" spans="4:29" x14ac:dyDescent="0.25">
      <c r="D42" s="97"/>
      <c r="E42" s="42" t="s">
        <v>283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M42" s="97"/>
      <c r="N42" s="42" t="s">
        <v>283</v>
      </c>
      <c r="O42" s="3" t="s">
        <v>11</v>
      </c>
      <c r="P42" s="1" t="s">
        <v>9</v>
      </c>
      <c r="Q42" s="46" t="s">
        <v>11</v>
      </c>
      <c r="R42" s="3" t="s">
        <v>11</v>
      </c>
      <c r="S42" s="1" t="s">
        <v>9</v>
      </c>
      <c r="T42" s="46" t="s">
        <v>11</v>
      </c>
      <c r="V42" s="97"/>
      <c r="W42" s="42" t="s">
        <v>283</v>
      </c>
      <c r="X42" s="2" t="s">
        <v>260</v>
      </c>
      <c r="Y42" s="1" t="s">
        <v>9</v>
      </c>
      <c r="Z42" s="44" t="s">
        <v>11</v>
      </c>
      <c r="AA42" s="2" t="s">
        <v>260</v>
      </c>
      <c r="AB42" s="1" t="s">
        <v>9</v>
      </c>
      <c r="AC42" s="44" t="s">
        <v>11</v>
      </c>
    </row>
    <row r="43" spans="4:29" x14ac:dyDescent="0.25">
      <c r="D43" s="97"/>
      <c r="E43" s="42" t="s">
        <v>278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M43" s="97"/>
      <c r="N43" s="42" t="s">
        <v>278</v>
      </c>
      <c r="O43" s="3" t="s">
        <v>11</v>
      </c>
      <c r="P43" s="1" t="s">
        <v>9</v>
      </c>
      <c r="Q43" s="46" t="s">
        <v>11</v>
      </c>
      <c r="R43" s="3" t="s">
        <v>11</v>
      </c>
      <c r="S43" s="1" t="s">
        <v>9</v>
      </c>
      <c r="T43" s="46" t="s">
        <v>11</v>
      </c>
      <c r="V43" s="97"/>
      <c r="W43" s="42" t="s">
        <v>278</v>
      </c>
      <c r="X43" s="2" t="s">
        <v>260</v>
      </c>
      <c r="Y43" s="1" t="s">
        <v>9</v>
      </c>
      <c r="Z43" s="44" t="s">
        <v>11</v>
      </c>
      <c r="AA43" s="2" t="s">
        <v>260</v>
      </c>
      <c r="AB43" s="1" t="s">
        <v>9</v>
      </c>
      <c r="AC43" s="44" t="s">
        <v>11</v>
      </c>
    </row>
    <row r="44" spans="4:29" x14ac:dyDescent="0.25">
      <c r="D44" s="97" t="s">
        <v>3</v>
      </c>
      <c r="E44" s="42" t="s">
        <v>273</v>
      </c>
      <c r="F44" s="1" t="s">
        <v>9</v>
      </c>
      <c r="G44" s="2" t="s">
        <v>260</v>
      </c>
      <c r="H44" s="44" t="s">
        <v>11</v>
      </c>
      <c r="I44" s="1" t="s">
        <v>9</v>
      </c>
      <c r="J44" s="2" t="s">
        <v>260</v>
      </c>
      <c r="K44" s="44" t="s">
        <v>11</v>
      </c>
      <c r="M44" s="97" t="s">
        <v>3</v>
      </c>
      <c r="N44" s="42" t="s">
        <v>273</v>
      </c>
      <c r="O44" s="3" t="s">
        <v>11</v>
      </c>
      <c r="P44" s="3" t="s">
        <v>11</v>
      </c>
      <c r="Q44" s="46" t="s">
        <v>11</v>
      </c>
      <c r="R44" s="3" t="s">
        <v>11</v>
      </c>
      <c r="S44" s="3" t="s">
        <v>11</v>
      </c>
      <c r="T44" s="46" t="s">
        <v>11</v>
      </c>
      <c r="V44" s="97" t="s">
        <v>3</v>
      </c>
      <c r="W44" s="42" t="s">
        <v>273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</row>
    <row r="45" spans="4:29" x14ac:dyDescent="0.25">
      <c r="D45" s="97"/>
      <c r="E45" s="42" t="s">
        <v>274</v>
      </c>
      <c r="F45" s="1" t="s">
        <v>9</v>
      </c>
      <c r="G45" s="2" t="s">
        <v>260</v>
      </c>
      <c r="H45" s="44" t="s">
        <v>11</v>
      </c>
      <c r="I45" s="1" t="s">
        <v>9</v>
      </c>
      <c r="J45" s="2" t="s">
        <v>260</v>
      </c>
      <c r="K45" s="44" t="s">
        <v>11</v>
      </c>
      <c r="M45" s="97"/>
      <c r="N45" s="42" t="s">
        <v>274</v>
      </c>
      <c r="O45" s="3" t="s">
        <v>11</v>
      </c>
      <c r="P45" s="3" t="s">
        <v>11</v>
      </c>
      <c r="Q45" s="46" t="s">
        <v>11</v>
      </c>
      <c r="R45" s="3" t="s">
        <v>11</v>
      </c>
      <c r="S45" s="3" t="s">
        <v>11</v>
      </c>
      <c r="T45" s="46" t="s">
        <v>11</v>
      </c>
      <c r="V45" s="97"/>
      <c r="W45" s="42" t="s">
        <v>274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</row>
    <row r="46" spans="4:29" x14ac:dyDescent="0.25">
      <c r="D46" s="97"/>
      <c r="E46" s="42" t="s">
        <v>282</v>
      </c>
      <c r="F46" s="1" t="s">
        <v>9</v>
      </c>
      <c r="G46" s="2" t="s">
        <v>260</v>
      </c>
      <c r="H46" s="44" t="s">
        <v>11</v>
      </c>
      <c r="I46" s="1" t="s">
        <v>9</v>
      </c>
      <c r="J46" s="2" t="s">
        <v>260</v>
      </c>
      <c r="K46" s="44" t="s">
        <v>11</v>
      </c>
      <c r="M46" s="97"/>
      <c r="N46" s="42" t="s">
        <v>282</v>
      </c>
      <c r="O46" s="3" t="s">
        <v>11</v>
      </c>
      <c r="P46" s="3" t="s">
        <v>11</v>
      </c>
      <c r="Q46" s="46" t="s">
        <v>11</v>
      </c>
      <c r="R46" s="3" t="s">
        <v>11</v>
      </c>
      <c r="S46" s="3" t="s">
        <v>11</v>
      </c>
      <c r="T46" s="46" t="s">
        <v>11</v>
      </c>
      <c r="V46" s="97"/>
      <c r="W46" s="42" t="s">
        <v>282</v>
      </c>
      <c r="X46" s="1" t="s">
        <v>9</v>
      </c>
      <c r="Y46" s="1" t="s">
        <v>9</v>
      </c>
      <c r="Z46" s="1" t="s">
        <v>9</v>
      </c>
      <c r="AA46" s="1" t="s">
        <v>9</v>
      </c>
      <c r="AB46" s="1" t="s">
        <v>9</v>
      </c>
      <c r="AC46" s="1" t="s">
        <v>9</v>
      </c>
    </row>
    <row r="47" spans="4:29" x14ac:dyDescent="0.25">
      <c r="D47" s="97"/>
      <c r="E47" s="42" t="s">
        <v>275</v>
      </c>
      <c r="F47" s="1" t="s">
        <v>9</v>
      </c>
      <c r="G47" s="2" t="s">
        <v>260</v>
      </c>
      <c r="H47" s="44" t="s">
        <v>11</v>
      </c>
      <c r="I47" s="1" t="s">
        <v>9</v>
      </c>
      <c r="J47" s="2" t="s">
        <v>260</v>
      </c>
      <c r="K47" s="44" t="s">
        <v>11</v>
      </c>
      <c r="M47" s="97"/>
      <c r="N47" s="42" t="s">
        <v>275</v>
      </c>
      <c r="O47" s="3" t="s">
        <v>11</v>
      </c>
      <c r="P47" s="3" t="s">
        <v>11</v>
      </c>
      <c r="Q47" s="46" t="s">
        <v>11</v>
      </c>
      <c r="R47" s="3" t="s">
        <v>11</v>
      </c>
      <c r="S47" s="3" t="s">
        <v>11</v>
      </c>
      <c r="T47" s="46" t="s">
        <v>11</v>
      </c>
      <c r="V47" s="97"/>
      <c r="W47" s="42" t="s">
        <v>275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</row>
    <row r="48" spans="4:29" x14ac:dyDescent="0.25">
      <c r="D48" s="47" t="s">
        <v>288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M48" s="47" t="s">
        <v>288</v>
      </c>
      <c r="N48" s="43" t="s">
        <v>6</v>
      </c>
      <c r="O48" s="2" t="s">
        <v>260</v>
      </c>
      <c r="P48" s="1" t="s">
        <v>9</v>
      </c>
      <c r="Q48" s="44" t="s">
        <v>11</v>
      </c>
      <c r="R48" s="2" t="s">
        <v>260</v>
      </c>
      <c r="S48" s="1" t="s">
        <v>9</v>
      </c>
      <c r="T48" s="44" t="s">
        <v>11</v>
      </c>
      <c r="V48" s="47" t="s">
        <v>288</v>
      </c>
      <c r="W48" s="43" t="s">
        <v>6</v>
      </c>
      <c r="X48" s="2" t="s">
        <v>260</v>
      </c>
      <c r="Y48" s="1" t="s">
        <v>9</v>
      </c>
      <c r="Z48" s="44" t="s">
        <v>11</v>
      </c>
      <c r="AA48" s="2" t="s">
        <v>260</v>
      </c>
      <c r="AB48" s="1" t="s">
        <v>9</v>
      </c>
      <c r="AC48" s="44" t="s">
        <v>11</v>
      </c>
    </row>
    <row r="49" spans="2:29" x14ac:dyDescent="0.25">
      <c r="D49" s="47" t="s">
        <v>289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M49" s="47" t="s">
        <v>289</v>
      </c>
      <c r="N49" s="43" t="s">
        <v>6</v>
      </c>
      <c r="O49" s="2" t="s">
        <v>260</v>
      </c>
      <c r="P49" s="1" t="s">
        <v>9</v>
      </c>
      <c r="Q49" s="44" t="s">
        <v>11</v>
      </c>
      <c r="R49" s="2" t="s">
        <v>260</v>
      </c>
      <c r="S49" s="1" t="s">
        <v>9</v>
      </c>
      <c r="T49" s="44" t="s">
        <v>11</v>
      </c>
      <c r="V49" s="47" t="s">
        <v>289</v>
      </c>
      <c r="W49" s="43" t="s">
        <v>6</v>
      </c>
      <c r="X49" s="2" t="s">
        <v>260</v>
      </c>
      <c r="Y49" s="1" t="s">
        <v>9</v>
      </c>
      <c r="Z49" s="44" t="s">
        <v>11</v>
      </c>
      <c r="AA49" s="2" t="s">
        <v>260</v>
      </c>
      <c r="AB49" s="1" t="s">
        <v>9</v>
      </c>
      <c r="AC49" s="44" t="s">
        <v>11</v>
      </c>
    </row>
    <row r="50" spans="2:29" x14ac:dyDescent="0.25">
      <c r="D50" s="48" t="s">
        <v>5</v>
      </c>
      <c r="E50" s="43" t="s">
        <v>6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M50" s="48" t="s">
        <v>5</v>
      </c>
      <c r="N50" s="43" t="s">
        <v>6</v>
      </c>
      <c r="O50" s="2" t="s">
        <v>260</v>
      </c>
      <c r="P50" s="1" t="s">
        <v>9</v>
      </c>
      <c r="Q50" s="44" t="s">
        <v>11</v>
      </c>
      <c r="R50" s="2" t="s">
        <v>260</v>
      </c>
      <c r="S50" s="1" t="s">
        <v>9</v>
      </c>
      <c r="T50" s="44" t="s">
        <v>11</v>
      </c>
      <c r="V50" s="48" t="s">
        <v>5</v>
      </c>
      <c r="W50" s="43" t="s">
        <v>6</v>
      </c>
      <c r="X50" s="2" t="s">
        <v>260</v>
      </c>
      <c r="Y50" s="1" t="s">
        <v>9</v>
      </c>
      <c r="Z50" s="44" t="s">
        <v>11</v>
      </c>
      <c r="AA50" s="2" t="s">
        <v>260</v>
      </c>
      <c r="AB50" s="1" t="s">
        <v>9</v>
      </c>
      <c r="AC50" s="44" t="s">
        <v>11</v>
      </c>
    </row>
    <row r="51" spans="2:29" x14ac:dyDescent="0.25">
      <c r="D51" s="48" t="s">
        <v>312</v>
      </c>
      <c r="E51" s="43" t="s">
        <v>7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M51" s="48" t="s">
        <v>312</v>
      </c>
      <c r="N51" s="43" t="s">
        <v>7</v>
      </c>
      <c r="O51" s="1" t="s">
        <v>9</v>
      </c>
      <c r="P51" s="1" t="s">
        <v>9</v>
      </c>
      <c r="Q51" s="44" t="s">
        <v>11</v>
      </c>
      <c r="R51" s="1" t="s">
        <v>9</v>
      </c>
      <c r="S51" s="1" t="s">
        <v>9</v>
      </c>
      <c r="T51" s="44" t="s">
        <v>11</v>
      </c>
      <c r="V51" s="48" t="s">
        <v>312</v>
      </c>
      <c r="W51" s="43" t="s">
        <v>7</v>
      </c>
      <c r="X51" s="1" t="s">
        <v>9</v>
      </c>
      <c r="Y51" s="1" t="s">
        <v>9</v>
      </c>
      <c r="Z51" s="1" t="s">
        <v>9</v>
      </c>
      <c r="AA51" s="1" t="s">
        <v>9</v>
      </c>
      <c r="AB51" s="1" t="s">
        <v>9</v>
      </c>
      <c r="AC51" s="1" t="s">
        <v>9</v>
      </c>
    </row>
    <row r="52" spans="2:29" x14ac:dyDescent="0.25">
      <c r="D52" s="97" t="s">
        <v>300</v>
      </c>
      <c r="E52" s="43" t="s">
        <v>273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M52" s="97" t="s">
        <v>300</v>
      </c>
      <c r="N52" s="43" t="s">
        <v>273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V52" s="97" t="s">
        <v>300</v>
      </c>
      <c r="W52" s="43" t="s">
        <v>273</v>
      </c>
      <c r="X52" s="2" t="s">
        <v>260</v>
      </c>
      <c r="Y52" s="1" t="s">
        <v>9</v>
      </c>
      <c r="Z52" s="44" t="s">
        <v>11</v>
      </c>
      <c r="AA52" s="2" t="s">
        <v>260</v>
      </c>
      <c r="AB52" s="1" t="s">
        <v>9</v>
      </c>
      <c r="AC52" s="44" t="s">
        <v>11</v>
      </c>
    </row>
    <row r="53" spans="2:29" x14ac:dyDescent="0.25">
      <c r="D53" s="97"/>
      <c r="E53" s="43" t="s">
        <v>282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M53" s="97"/>
      <c r="N53" s="43" t="s">
        <v>282</v>
      </c>
      <c r="O53" s="1" t="s">
        <v>9</v>
      </c>
      <c r="P53" s="1" t="s">
        <v>9</v>
      </c>
      <c r="Q53" s="1" t="s">
        <v>9</v>
      </c>
      <c r="R53" s="1" t="s">
        <v>9</v>
      </c>
      <c r="S53" s="1" t="s">
        <v>9</v>
      </c>
      <c r="T53" s="1" t="s">
        <v>9</v>
      </c>
      <c r="V53" s="97"/>
      <c r="W53" s="43" t="s">
        <v>282</v>
      </c>
      <c r="X53" s="2" t="s">
        <v>260</v>
      </c>
      <c r="Y53" s="1" t="s">
        <v>9</v>
      </c>
      <c r="Z53" s="44" t="s">
        <v>11</v>
      </c>
      <c r="AA53" s="2" t="s">
        <v>260</v>
      </c>
      <c r="AB53" s="1" t="s">
        <v>9</v>
      </c>
      <c r="AC53" s="44" t="s">
        <v>11</v>
      </c>
    </row>
    <row r="54" spans="2:29" x14ac:dyDescent="0.25">
      <c r="D54" s="97"/>
      <c r="E54" s="43" t="s">
        <v>302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M54" s="97"/>
      <c r="N54" s="43" t="s">
        <v>302</v>
      </c>
      <c r="O54" s="1" t="s">
        <v>9</v>
      </c>
      <c r="P54" s="1" t="s">
        <v>9</v>
      </c>
      <c r="Q54" s="1" t="s">
        <v>9</v>
      </c>
      <c r="R54" s="1" t="s">
        <v>9</v>
      </c>
      <c r="S54" s="1" t="s">
        <v>9</v>
      </c>
      <c r="T54" s="1" t="s">
        <v>9</v>
      </c>
      <c r="V54" s="97"/>
      <c r="W54" s="43" t="s">
        <v>302</v>
      </c>
      <c r="X54" s="2" t="s">
        <v>260</v>
      </c>
      <c r="Y54" s="1" t="s">
        <v>9</v>
      </c>
      <c r="Z54" s="44" t="s">
        <v>11</v>
      </c>
      <c r="AA54" s="2" t="s">
        <v>260</v>
      </c>
      <c r="AB54" s="1" t="s">
        <v>9</v>
      </c>
      <c r="AC54" s="44" t="s">
        <v>11</v>
      </c>
    </row>
    <row r="55" spans="2:29" x14ac:dyDescent="0.25">
      <c r="D55" s="97"/>
      <c r="E55" s="43" t="s">
        <v>285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M55" s="97"/>
      <c r="N55" s="43" t="s">
        <v>285</v>
      </c>
      <c r="O55" s="1" t="s">
        <v>9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9</v>
      </c>
      <c r="V55" s="97"/>
      <c r="W55" s="43" t="s">
        <v>285</v>
      </c>
      <c r="X55" s="2" t="s">
        <v>260</v>
      </c>
      <c r="Y55" s="1" t="s">
        <v>9</v>
      </c>
      <c r="Z55" s="44" t="s">
        <v>11</v>
      </c>
      <c r="AA55" s="2" t="s">
        <v>260</v>
      </c>
      <c r="AB55" s="1" t="s">
        <v>9</v>
      </c>
      <c r="AC55" s="44" t="s">
        <v>11</v>
      </c>
    </row>
    <row r="56" spans="2:29" x14ac:dyDescent="0.25">
      <c r="D56" s="97"/>
      <c r="E56" s="43" t="s">
        <v>276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M56" s="97"/>
      <c r="N56" s="43" t="s">
        <v>276</v>
      </c>
      <c r="O56" s="1" t="s">
        <v>9</v>
      </c>
      <c r="P56" s="1" t="s">
        <v>9</v>
      </c>
      <c r="Q56" s="1" t="s">
        <v>9</v>
      </c>
      <c r="R56" s="1" t="s">
        <v>9</v>
      </c>
      <c r="S56" s="1" t="s">
        <v>9</v>
      </c>
      <c r="T56" s="1" t="s">
        <v>9</v>
      </c>
      <c r="V56" s="97"/>
      <c r="W56" s="43" t="s">
        <v>276</v>
      </c>
      <c r="X56" s="2" t="s">
        <v>260</v>
      </c>
      <c r="Y56" s="1" t="s">
        <v>9</v>
      </c>
      <c r="Z56" s="44" t="s">
        <v>11</v>
      </c>
      <c r="AA56" s="2" t="s">
        <v>260</v>
      </c>
      <c r="AB56" s="1" t="s">
        <v>9</v>
      </c>
      <c r="AC56" s="44" t="s">
        <v>11</v>
      </c>
    </row>
    <row r="57" spans="2:29" x14ac:dyDescent="0.25">
      <c r="D57" s="97"/>
      <c r="E57" s="43" t="s">
        <v>283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M57" s="97"/>
      <c r="N57" s="43" t="s">
        <v>283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V57" s="97"/>
      <c r="W57" s="43" t="s">
        <v>283</v>
      </c>
      <c r="X57" s="2" t="s">
        <v>260</v>
      </c>
      <c r="Y57" s="1" t="s">
        <v>9</v>
      </c>
      <c r="Z57" s="44" t="s">
        <v>11</v>
      </c>
      <c r="AA57" s="2" t="s">
        <v>260</v>
      </c>
      <c r="AB57" s="1" t="s">
        <v>9</v>
      </c>
      <c r="AC57" s="44" t="s">
        <v>11</v>
      </c>
    </row>
    <row r="58" spans="2:29" x14ac:dyDescent="0.25">
      <c r="D58" s="97" t="s">
        <v>301</v>
      </c>
      <c r="E58" s="43" t="s">
        <v>273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  <c r="M58" s="97" t="s">
        <v>301</v>
      </c>
      <c r="N58" s="43" t="s">
        <v>273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V58" s="97" t="s">
        <v>301</v>
      </c>
      <c r="W58" s="43" t="s">
        <v>273</v>
      </c>
      <c r="X58" s="2" t="s">
        <v>260</v>
      </c>
      <c r="Y58" s="1" t="s">
        <v>9</v>
      </c>
      <c r="Z58" s="44" t="s">
        <v>11</v>
      </c>
      <c r="AA58" s="2" t="s">
        <v>260</v>
      </c>
      <c r="AB58" s="1" t="s">
        <v>9</v>
      </c>
      <c r="AC58" s="44" t="s">
        <v>11</v>
      </c>
    </row>
    <row r="59" spans="2:29" x14ac:dyDescent="0.25">
      <c r="D59" s="97"/>
      <c r="E59" s="43" t="s">
        <v>282</v>
      </c>
      <c r="F59" s="1" t="s">
        <v>9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M59" s="97"/>
      <c r="N59" s="43" t="s">
        <v>282</v>
      </c>
      <c r="O59" s="1" t="s">
        <v>9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9</v>
      </c>
      <c r="V59" s="97"/>
      <c r="W59" s="43" t="s">
        <v>282</v>
      </c>
      <c r="X59" s="2" t="s">
        <v>260</v>
      </c>
      <c r="Y59" s="1" t="s">
        <v>9</v>
      </c>
      <c r="Z59" s="44" t="s">
        <v>11</v>
      </c>
      <c r="AA59" s="2" t="s">
        <v>260</v>
      </c>
      <c r="AB59" s="1" t="s">
        <v>9</v>
      </c>
      <c r="AC59" s="44" t="s">
        <v>11</v>
      </c>
    </row>
    <row r="62" spans="2:29" s="55" customFormat="1" ht="15.75" x14ac:dyDescent="0.25">
      <c r="B62" s="54" t="s">
        <v>229</v>
      </c>
      <c r="D62" s="56"/>
    </row>
    <row r="64" spans="2:29" ht="16.5" x14ac:dyDescent="0.3">
      <c r="C64" s="57" t="s">
        <v>261</v>
      </c>
      <c r="D64" s="58"/>
      <c r="E64" s="58"/>
      <c r="F64" s="58"/>
      <c r="G64" s="58"/>
      <c r="H64" s="58"/>
      <c r="I64" s="58"/>
      <c r="J64" s="58"/>
      <c r="K64" s="58"/>
      <c r="M64" s="57" t="s">
        <v>263</v>
      </c>
      <c r="N64" s="58"/>
      <c r="O64" s="58"/>
      <c r="P64" s="58"/>
      <c r="Q64" s="58"/>
      <c r="R64" s="58"/>
      <c r="S64" s="58"/>
      <c r="T64" s="58"/>
      <c r="V64" s="57" t="s">
        <v>264</v>
      </c>
      <c r="W64" s="58"/>
      <c r="X64" s="58"/>
      <c r="Y64" s="58"/>
      <c r="Z64" s="58"/>
      <c r="AA64" s="58"/>
      <c r="AB64" s="58"/>
      <c r="AC64" s="58"/>
    </row>
    <row r="65" spans="3:24" ht="16.5" x14ac:dyDescent="0.3">
      <c r="C65" s="57" t="s">
        <v>262</v>
      </c>
      <c r="D65" s="58"/>
      <c r="E65" s="58"/>
      <c r="F65" s="58"/>
      <c r="G65" s="58"/>
      <c r="H65" s="58"/>
      <c r="I65" s="58"/>
      <c r="J65" s="58"/>
      <c r="K65" s="58"/>
    </row>
    <row r="66" spans="3:24" ht="15.75" x14ac:dyDescent="0.25">
      <c r="C66" s="49"/>
    </row>
    <row r="67" spans="3:24" x14ac:dyDescent="0.25">
      <c r="D67" s="47" t="s">
        <v>291</v>
      </c>
      <c r="E67" s="42" t="s">
        <v>292</v>
      </c>
      <c r="F67" s="44" t="s">
        <v>11</v>
      </c>
      <c r="M67" s="47" t="s">
        <v>291</v>
      </c>
      <c r="N67" s="42" t="s">
        <v>292</v>
      </c>
      <c r="O67" s="44" t="s">
        <v>11</v>
      </c>
      <c r="V67" s="47" t="s">
        <v>291</v>
      </c>
      <c r="W67" s="42" t="s">
        <v>292</v>
      </c>
      <c r="X67" s="44" t="s">
        <v>11</v>
      </c>
    </row>
    <row r="68" spans="3:24" x14ac:dyDescent="0.25">
      <c r="D68" s="47" t="s">
        <v>293</v>
      </c>
      <c r="E68" s="42" t="s">
        <v>271</v>
      </c>
      <c r="F68" s="44" t="s">
        <v>11</v>
      </c>
      <c r="M68" s="47" t="s">
        <v>293</v>
      </c>
      <c r="N68" s="42" t="s">
        <v>271</v>
      </c>
      <c r="O68" s="44" t="s">
        <v>11</v>
      </c>
      <c r="V68" s="47" t="s">
        <v>293</v>
      </c>
      <c r="W68" s="42" t="s">
        <v>271</v>
      </c>
      <c r="X68" s="44" t="s">
        <v>11</v>
      </c>
    </row>
    <row r="69" spans="3:24" x14ac:dyDescent="0.25">
      <c r="D69" s="97" t="s">
        <v>295</v>
      </c>
      <c r="E69" s="42" t="s">
        <v>294</v>
      </c>
      <c r="F69" s="44" t="s">
        <v>11</v>
      </c>
      <c r="M69" s="97" t="s">
        <v>295</v>
      </c>
      <c r="N69" s="42" t="s">
        <v>294</v>
      </c>
      <c r="O69" s="44" t="s">
        <v>11</v>
      </c>
      <c r="V69" s="97" t="s">
        <v>295</v>
      </c>
      <c r="W69" s="42" t="s">
        <v>294</v>
      </c>
      <c r="X69" s="1" t="s">
        <v>9</v>
      </c>
    </row>
    <row r="70" spans="3:24" x14ac:dyDescent="0.25">
      <c r="D70" s="97"/>
      <c r="E70" s="42" t="s">
        <v>296</v>
      </c>
      <c r="F70" s="44" t="s">
        <v>11</v>
      </c>
      <c r="M70" s="97"/>
      <c r="N70" s="42" t="s">
        <v>296</v>
      </c>
      <c r="O70" s="44" t="s">
        <v>11</v>
      </c>
      <c r="V70" s="97"/>
      <c r="W70" s="42" t="s">
        <v>296</v>
      </c>
      <c r="X70" s="1" t="s">
        <v>9</v>
      </c>
    </row>
    <row r="71" spans="3:24" x14ac:dyDescent="0.25">
      <c r="D71" s="97" t="s">
        <v>297</v>
      </c>
      <c r="E71" s="42" t="s">
        <v>273</v>
      </c>
      <c r="F71" s="44" t="s">
        <v>11</v>
      </c>
      <c r="M71" s="97" t="s">
        <v>297</v>
      </c>
      <c r="N71" s="42" t="s">
        <v>273</v>
      </c>
      <c r="O71" s="44" t="s">
        <v>11</v>
      </c>
      <c r="V71" s="97" t="s">
        <v>297</v>
      </c>
      <c r="W71" s="42" t="s">
        <v>273</v>
      </c>
      <c r="X71" s="1" t="s">
        <v>9</v>
      </c>
    </row>
    <row r="72" spans="3:24" x14ac:dyDescent="0.25">
      <c r="D72" s="97"/>
      <c r="E72" s="42" t="s">
        <v>275</v>
      </c>
      <c r="F72" s="44" t="s">
        <v>11</v>
      </c>
      <c r="M72" s="97"/>
      <c r="N72" s="42" t="s">
        <v>275</v>
      </c>
      <c r="O72" s="44" t="s">
        <v>11</v>
      </c>
      <c r="V72" s="97"/>
      <c r="W72" s="42" t="s">
        <v>275</v>
      </c>
      <c r="X72" s="1" t="s">
        <v>9</v>
      </c>
    </row>
    <row r="73" spans="3:24" x14ac:dyDescent="0.25">
      <c r="D73" s="97" t="s">
        <v>269</v>
      </c>
      <c r="E73" s="42" t="s">
        <v>273</v>
      </c>
      <c r="F73" s="44" t="s">
        <v>11</v>
      </c>
      <c r="M73" s="97" t="s">
        <v>269</v>
      </c>
      <c r="N73" s="42" t="s">
        <v>273</v>
      </c>
      <c r="O73" s="44" t="s">
        <v>11</v>
      </c>
      <c r="V73" s="97" t="s">
        <v>269</v>
      </c>
      <c r="W73" s="42" t="s">
        <v>273</v>
      </c>
      <c r="X73" s="1" t="s">
        <v>9</v>
      </c>
    </row>
    <row r="74" spans="3:24" x14ac:dyDescent="0.25">
      <c r="D74" s="97"/>
      <c r="E74" s="42" t="s">
        <v>274</v>
      </c>
      <c r="F74" s="44" t="s">
        <v>11</v>
      </c>
      <c r="M74" s="97"/>
      <c r="N74" s="42" t="s">
        <v>274</v>
      </c>
      <c r="O74" s="44" t="s">
        <v>11</v>
      </c>
      <c r="V74" s="97"/>
      <c r="W74" s="42" t="s">
        <v>274</v>
      </c>
      <c r="X74" s="1" t="s">
        <v>9</v>
      </c>
    </row>
    <row r="75" spans="3:24" x14ac:dyDescent="0.25">
      <c r="D75" s="97"/>
      <c r="E75" s="42" t="s">
        <v>282</v>
      </c>
      <c r="F75" s="44" t="s">
        <v>11</v>
      </c>
      <c r="M75" s="97"/>
      <c r="N75" s="42" t="s">
        <v>282</v>
      </c>
      <c r="O75" s="44" t="s">
        <v>11</v>
      </c>
      <c r="V75" s="97"/>
      <c r="W75" s="42" t="s">
        <v>282</v>
      </c>
      <c r="X75" s="1" t="s">
        <v>9</v>
      </c>
    </row>
    <row r="76" spans="3:24" x14ac:dyDescent="0.25">
      <c r="D76" s="97"/>
      <c r="E76" s="42" t="s">
        <v>275</v>
      </c>
      <c r="F76" s="44" t="s">
        <v>11</v>
      </c>
      <c r="M76" s="97"/>
      <c r="N76" s="42" t="s">
        <v>275</v>
      </c>
      <c r="O76" s="44" t="s">
        <v>11</v>
      </c>
      <c r="V76" s="97"/>
      <c r="W76" s="42" t="s">
        <v>275</v>
      </c>
      <c r="X76" s="1" t="s">
        <v>9</v>
      </c>
    </row>
    <row r="77" spans="3:24" x14ac:dyDescent="0.25">
      <c r="D77" s="97"/>
      <c r="E77" s="42" t="s">
        <v>302</v>
      </c>
      <c r="F77" s="44" t="s">
        <v>11</v>
      </c>
      <c r="M77" s="97"/>
      <c r="N77" s="42" t="s">
        <v>302</v>
      </c>
      <c r="O77" s="44" t="s">
        <v>11</v>
      </c>
      <c r="V77" s="97"/>
      <c r="W77" s="42" t="s">
        <v>302</v>
      </c>
      <c r="X77" s="1" t="s">
        <v>9</v>
      </c>
    </row>
    <row r="78" spans="3:24" x14ac:dyDescent="0.25">
      <c r="D78" s="97"/>
      <c r="E78" s="42" t="s">
        <v>284</v>
      </c>
      <c r="F78" s="44" t="s">
        <v>11</v>
      </c>
      <c r="M78" s="97"/>
      <c r="N78" s="42" t="s">
        <v>284</v>
      </c>
      <c r="O78" s="44" t="s">
        <v>11</v>
      </c>
      <c r="V78" s="97"/>
      <c r="W78" s="42" t="s">
        <v>284</v>
      </c>
      <c r="X78" s="1" t="s">
        <v>9</v>
      </c>
    </row>
    <row r="79" spans="3:24" x14ac:dyDescent="0.25">
      <c r="D79" s="97"/>
      <c r="E79" s="42" t="s">
        <v>285</v>
      </c>
      <c r="F79" s="44" t="s">
        <v>11</v>
      </c>
      <c r="M79" s="97"/>
      <c r="N79" s="42" t="s">
        <v>285</v>
      </c>
      <c r="O79" s="44" t="s">
        <v>11</v>
      </c>
      <c r="V79" s="97"/>
      <c r="W79" s="42" t="s">
        <v>285</v>
      </c>
      <c r="X79" s="1" t="s">
        <v>9</v>
      </c>
    </row>
    <row r="80" spans="3:24" x14ac:dyDescent="0.25">
      <c r="D80" s="97"/>
      <c r="E80" s="42" t="s">
        <v>286</v>
      </c>
      <c r="F80" s="44" t="s">
        <v>11</v>
      </c>
      <c r="M80" s="97"/>
      <c r="N80" s="42" t="s">
        <v>286</v>
      </c>
      <c r="O80" s="44" t="s">
        <v>11</v>
      </c>
      <c r="V80" s="97"/>
      <c r="W80" s="42" t="s">
        <v>286</v>
      </c>
      <c r="X80" s="1" t="s">
        <v>9</v>
      </c>
    </row>
    <row r="81" spans="4:24" x14ac:dyDescent="0.25">
      <c r="D81" s="97"/>
      <c r="E81" s="42" t="s">
        <v>276</v>
      </c>
      <c r="F81" s="44" t="s">
        <v>11</v>
      </c>
      <c r="M81" s="97"/>
      <c r="N81" s="42" t="s">
        <v>276</v>
      </c>
      <c r="O81" s="44" t="s">
        <v>11</v>
      </c>
      <c r="V81" s="97"/>
      <c r="W81" s="42" t="s">
        <v>276</v>
      </c>
      <c r="X81" s="1" t="s">
        <v>9</v>
      </c>
    </row>
    <row r="82" spans="4:24" x14ac:dyDescent="0.25">
      <c r="D82" s="97"/>
      <c r="E82" s="42" t="s">
        <v>277</v>
      </c>
      <c r="F82" s="44" t="s">
        <v>11</v>
      </c>
      <c r="M82" s="97"/>
      <c r="N82" s="42" t="s">
        <v>277</v>
      </c>
      <c r="O82" s="44" t="s">
        <v>11</v>
      </c>
      <c r="V82" s="97"/>
      <c r="W82" s="42" t="s">
        <v>277</v>
      </c>
      <c r="X82" s="1" t="s">
        <v>9</v>
      </c>
    </row>
    <row r="83" spans="4:24" x14ac:dyDescent="0.25">
      <c r="D83" s="97"/>
      <c r="E83" s="42" t="s">
        <v>283</v>
      </c>
      <c r="F83" s="44" t="s">
        <v>11</v>
      </c>
      <c r="M83" s="97"/>
      <c r="N83" s="42" t="s">
        <v>283</v>
      </c>
      <c r="O83" s="44" t="s">
        <v>11</v>
      </c>
      <c r="V83" s="97"/>
      <c r="W83" s="42" t="s">
        <v>283</v>
      </c>
      <c r="X83" s="1" t="s">
        <v>9</v>
      </c>
    </row>
    <row r="84" spans="4:24" x14ac:dyDescent="0.25">
      <c r="D84" s="97"/>
      <c r="E84" s="42" t="s">
        <v>278</v>
      </c>
      <c r="F84" s="44" t="s">
        <v>11</v>
      </c>
      <c r="M84" s="97"/>
      <c r="N84" s="42" t="s">
        <v>278</v>
      </c>
      <c r="O84" s="44" t="s">
        <v>11</v>
      </c>
      <c r="V84" s="97"/>
      <c r="W84" s="42" t="s">
        <v>278</v>
      </c>
      <c r="X84" s="1" t="s">
        <v>9</v>
      </c>
    </row>
    <row r="85" spans="4:24" x14ac:dyDescent="0.25">
      <c r="D85" s="97" t="s">
        <v>298</v>
      </c>
      <c r="E85" s="42" t="s">
        <v>280</v>
      </c>
      <c r="F85" s="1" t="s">
        <v>9</v>
      </c>
      <c r="M85" s="97" t="s">
        <v>298</v>
      </c>
      <c r="N85" s="42" t="s">
        <v>280</v>
      </c>
      <c r="O85" s="44" t="s">
        <v>11</v>
      </c>
      <c r="V85" s="97" t="s">
        <v>298</v>
      </c>
      <c r="W85" s="42" t="s">
        <v>280</v>
      </c>
      <c r="X85" s="44" t="s">
        <v>11</v>
      </c>
    </row>
    <row r="86" spans="4:24" x14ac:dyDescent="0.25">
      <c r="D86" s="97"/>
      <c r="E86" s="42" t="s">
        <v>287</v>
      </c>
      <c r="F86" s="1" t="s">
        <v>9</v>
      </c>
      <c r="M86" s="97"/>
      <c r="N86" s="42" t="s">
        <v>287</v>
      </c>
      <c r="O86" s="44" t="s">
        <v>11</v>
      </c>
      <c r="V86" s="97"/>
      <c r="W86" s="42" t="s">
        <v>287</v>
      </c>
      <c r="X86" s="44" t="s">
        <v>11</v>
      </c>
    </row>
    <row r="87" spans="4:24" x14ac:dyDescent="0.25">
      <c r="D87" s="97" t="s">
        <v>299</v>
      </c>
      <c r="E87" s="42" t="s">
        <v>279</v>
      </c>
      <c r="F87" s="1" t="s">
        <v>9</v>
      </c>
      <c r="M87" s="97" t="s">
        <v>299</v>
      </c>
      <c r="N87" s="42" t="s">
        <v>279</v>
      </c>
      <c r="O87" s="44" t="s">
        <v>11</v>
      </c>
      <c r="V87" s="97" t="s">
        <v>299</v>
      </c>
      <c r="W87" s="42" t="s">
        <v>279</v>
      </c>
      <c r="X87" s="44" t="s">
        <v>11</v>
      </c>
    </row>
    <row r="88" spans="4:24" x14ac:dyDescent="0.25">
      <c r="D88" s="97"/>
      <c r="E88" s="42" t="s">
        <v>281</v>
      </c>
      <c r="F88" s="1" t="s">
        <v>9</v>
      </c>
      <c r="M88" s="97"/>
      <c r="N88" s="42" t="s">
        <v>281</v>
      </c>
      <c r="O88" s="44" t="s">
        <v>11</v>
      </c>
      <c r="V88" s="97"/>
      <c r="W88" s="42" t="s">
        <v>281</v>
      </c>
      <c r="X88" s="44" t="s">
        <v>11</v>
      </c>
    </row>
    <row r="89" spans="4:24" x14ac:dyDescent="0.25">
      <c r="D89" s="97"/>
      <c r="E89" s="42" t="s">
        <v>277</v>
      </c>
      <c r="F89" s="1" t="s">
        <v>9</v>
      </c>
      <c r="M89" s="97"/>
      <c r="N89" s="42" t="s">
        <v>277</v>
      </c>
      <c r="O89" s="44" t="s">
        <v>11</v>
      </c>
      <c r="V89" s="97"/>
      <c r="W89" s="42" t="s">
        <v>277</v>
      </c>
      <c r="X89" s="44" t="s">
        <v>11</v>
      </c>
    </row>
    <row r="90" spans="4:24" x14ac:dyDescent="0.25">
      <c r="D90" s="97"/>
      <c r="E90" s="42" t="s">
        <v>283</v>
      </c>
      <c r="F90" s="1" t="s">
        <v>9</v>
      </c>
      <c r="M90" s="97"/>
      <c r="N90" s="42" t="s">
        <v>283</v>
      </c>
      <c r="O90" s="44" t="s">
        <v>11</v>
      </c>
      <c r="V90" s="97"/>
      <c r="W90" s="42" t="s">
        <v>283</v>
      </c>
      <c r="X90" s="44" t="s">
        <v>11</v>
      </c>
    </row>
    <row r="91" spans="4:24" x14ac:dyDescent="0.25">
      <c r="D91" s="97"/>
      <c r="E91" s="42" t="s">
        <v>276</v>
      </c>
      <c r="F91" s="1" t="s">
        <v>9</v>
      </c>
      <c r="M91" s="97"/>
      <c r="N91" s="42" t="s">
        <v>276</v>
      </c>
      <c r="O91" s="44" t="s">
        <v>11</v>
      </c>
      <c r="V91" s="97"/>
      <c r="W91" s="42" t="s">
        <v>276</v>
      </c>
      <c r="X91" s="44" t="s">
        <v>11</v>
      </c>
    </row>
    <row r="92" spans="4:24" x14ac:dyDescent="0.25">
      <c r="D92" s="97"/>
      <c r="E92" s="42" t="s">
        <v>278</v>
      </c>
      <c r="F92" s="1" t="s">
        <v>9</v>
      </c>
      <c r="M92" s="97"/>
      <c r="N92" s="42" t="s">
        <v>278</v>
      </c>
      <c r="O92" s="44" t="s">
        <v>11</v>
      </c>
      <c r="V92" s="97"/>
      <c r="W92" s="42" t="s">
        <v>278</v>
      </c>
      <c r="X92" s="44" t="s">
        <v>11</v>
      </c>
    </row>
    <row r="93" spans="4:24" x14ac:dyDescent="0.25">
      <c r="D93" s="47" t="s">
        <v>288</v>
      </c>
      <c r="E93" s="43" t="s">
        <v>6</v>
      </c>
      <c r="F93" s="1" t="s">
        <v>9</v>
      </c>
      <c r="M93" s="47" t="s">
        <v>288</v>
      </c>
      <c r="N93" s="43" t="s">
        <v>6</v>
      </c>
      <c r="O93" s="44" t="s">
        <v>11</v>
      </c>
      <c r="V93" s="47" t="s">
        <v>288</v>
      </c>
      <c r="W93" s="43" t="s">
        <v>6</v>
      </c>
      <c r="X93" s="44" t="s">
        <v>11</v>
      </c>
    </row>
    <row r="94" spans="4:24" x14ac:dyDescent="0.25">
      <c r="D94" s="47" t="s">
        <v>289</v>
      </c>
      <c r="E94" s="43" t="s">
        <v>6</v>
      </c>
      <c r="F94" s="1" t="s">
        <v>9</v>
      </c>
      <c r="M94" s="47" t="s">
        <v>289</v>
      </c>
      <c r="N94" s="43" t="s">
        <v>6</v>
      </c>
      <c r="O94" s="44" t="s">
        <v>11</v>
      </c>
      <c r="V94" s="47" t="s">
        <v>289</v>
      </c>
      <c r="W94" s="43" t="s">
        <v>6</v>
      </c>
      <c r="X94" s="44" t="s">
        <v>11</v>
      </c>
    </row>
    <row r="95" spans="4:24" x14ac:dyDescent="0.25">
      <c r="D95" s="48" t="s">
        <v>5</v>
      </c>
      <c r="E95" s="43" t="s">
        <v>6</v>
      </c>
      <c r="F95" s="1" t="s">
        <v>9</v>
      </c>
      <c r="M95" s="48" t="s">
        <v>5</v>
      </c>
      <c r="N95" s="43" t="s">
        <v>6</v>
      </c>
      <c r="O95" s="44" t="s">
        <v>11</v>
      </c>
      <c r="V95" s="48" t="s">
        <v>5</v>
      </c>
      <c r="W95" s="43" t="s">
        <v>6</v>
      </c>
      <c r="X95" s="44" t="s">
        <v>11</v>
      </c>
    </row>
    <row r="96" spans="4:24" x14ac:dyDescent="0.25">
      <c r="D96" s="97" t="s">
        <v>300</v>
      </c>
      <c r="E96" s="43" t="s">
        <v>273</v>
      </c>
      <c r="F96" s="1" t="s">
        <v>9</v>
      </c>
      <c r="M96" s="97" t="s">
        <v>300</v>
      </c>
      <c r="N96" s="43" t="s">
        <v>273</v>
      </c>
      <c r="O96" s="1" t="s">
        <v>9</v>
      </c>
      <c r="V96" s="97" t="s">
        <v>300</v>
      </c>
      <c r="W96" s="43" t="s">
        <v>273</v>
      </c>
      <c r="X96" s="44" t="s">
        <v>11</v>
      </c>
    </row>
    <row r="97" spans="4:24" x14ac:dyDescent="0.25">
      <c r="D97" s="97"/>
      <c r="E97" s="43" t="s">
        <v>282</v>
      </c>
      <c r="F97" s="1" t="s">
        <v>9</v>
      </c>
      <c r="M97" s="97"/>
      <c r="N97" s="43" t="s">
        <v>282</v>
      </c>
      <c r="O97" s="1" t="s">
        <v>9</v>
      </c>
      <c r="V97" s="97"/>
      <c r="W97" s="43" t="s">
        <v>282</v>
      </c>
      <c r="X97" s="44" t="s">
        <v>11</v>
      </c>
    </row>
    <row r="98" spans="4:24" x14ac:dyDescent="0.25">
      <c r="D98" s="97"/>
      <c r="E98" s="43" t="s">
        <v>302</v>
      </c>
      <c r="F98" s="1" t="s">
        <v>9</v>
      </c>
      <c r="M98" s="97"/>
      <c r="N98" s="43" t="s">
        <v>302</v>
      </c>
      <c r="O98" s="1" t="s">
        <v>9</v>
      </c>
      <c r="V98" s="97"/>
      <c r="W98" s="43" t="s">
        <v>302</v>
      </c>
      <c r="X98" s="44" t="s">
        <v>11</v>
      </c>
    </row>
    <row r="99" spans="4:24" x14ac:dyDescent="0.25">
      <c r="D99" s="97"/>
      <c r="E99" s="43" t="s">
        <v>285</v>
      </c>
      <c r="F99" s="1" t="s">
        <v>9</v>
      </c>
      <c r="M99" s="97"/>
      <c r="N99" s="43" t="s">
        <v>285</v>
      </c>
      <c r="O99" s="1" t="s">
        <v>9</v>
      </c>
      <c r="V99" s="97"/>
      <c r="W99" s="43" t="s">
        <v>285</v>
      </c>
      <c r="X99" s="44" t="s">
        <v>11</v>
      </c>
    </row>
    <row r="100" spans="4:24" x14ac:dyDescent="0.25">
      <c r="D100" s="97"/>
      <c r="E100" s="43" t="s">
        <v>276</v>
      </c>
      <c r="F100" s="1" t="s">
        <v>9</v>
      </c>
      <c r="M100" s="97"/>
      <c r="N100" s="43" t="s">
        <v>276</v>
      </c>
      <c r="O100" s="1" t="s">
        <v>9</v>
      </c>
      <c r="V100" s="97"/>
      <c r="W100" s="43" t="s">
        <v>276</v>
      </c>
      <c r="X100" s="44" t="s">
        <v>11</v>
      </c>
    </row>
    <row r="101" spans="4:24" x14ac:dyDescent="0.25">
      <c r="D101" s="97"/>
      <c r="E101" s="43" t="s">
        <v>283</v>
      </c>
      <c r="F101" s="1" t="s">
        <v>9</v>
      </c>
      <c r="M101" s="97"/>
      <c r="N101" s="43" t="s">
        <v>283</v>
      </c>
      <c r="O101" s="1" t="s">
        <v>9</v>
      </c>
      <c r="V101" s="97"/>
      <c r="W101" s="43" t="s">
        <v>283</v>
      </c>
      <c r="X101" s="44" t="s">
        <v>11</v>
      </c>
    </row>
    <row r="102" spans="4:24" x14ac:dyDescent="0.25">
      <c r="D102" s="97" t="s">
        <v>301</v>
      </c>
      <c r="E102" s="43" t="s">
        <v>273</v>
      </c>
      <c r="F102" s="1" t="s">
        <v>9</v>
      </c>
      <c r="M102" s="97" t="s">
        <v>301</v>
      </c>
      <c r="N102" s="43" t="s">
        <v>273</v>
      </c>
      <c r="O102" s="1" t="s">
        <v>9</v>
      </c>
      <c r="V102" s="97" t="s">
        <v>301</v>
      </c>
      <c r="W102" s="43" t="s">
        <v>273</v>
      </c>
      <c r="X102" s="44" t="s">
        <v>11</v>
      </c>
    </row>
    <row r="103" spans="4:24" x14ac:dyDescent="0.25">
      <c r="D103" s="97"/>
      <c r="E103" s="43" t="s">
        <v>282</v>
      </c>
      <c r="F103" s="1" t="s">
        <v>9</v>
      </c>
      <c r="M103" s="97"/>
      <c r="N103" s="43" t="s">
        <v>282</v>
      </c>
      <c r="O103" s="1" t="s">
        <v>9</v>
      </c>
      <c r="V103" s="97"/>
      <c r="W103" s="43" t="s">
        <v>282</v>
      </c>
      <c r="X103" s="44" t="s">
        <v>11</v>
      </c>
    </row>
  </sheetData>
  <customSheetViews>
    <customSheetView guid="{638E9BBB-9DE1-4C03-99E5-6DF442C45AE3}" showPageBreaks="1" topLeftCell="A7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78">
    <mergeCell ref="D96:D101"/>
    <mergeCell ref="D52:D57"/>
    <mergeCell ref="D102:D103"/>
    <mergeCell ref="F20:H20"/>
    <mergeCell ref="I20:K20"/>
    <mergeCell ref="D69:D70"/>
    <mergeCell ref="F21:H21"/>
    <mergeCell ref="I21:K21"/>
    <mergeCell ref="D22:E22"/>
    <mergeCell ref="D71:D72"/>
    <mergeCell ref="D73:D84"/>
    <mergeCell ref="D36:D43"/>
    <mergeCell ref="D85:D86"/>
    <mergeCell ref="D87:D92"/>
    <mergeCell ref="D44:D47"/>
    <mergeCell ref="D58:D59"/>
    <mergeCell ref="O16:T16"/>
    <mergeCell ref="M17:M18"/>
    <mergeCell ref="O17:Q17"/>
    <mergeCell ref="R17:T17"/>
    <mergeCell ref="O18:Q18"/>
    <mergeCell ref="D17:D18"/>
    <mergeCell ref="F17:H17"/>
    <mergeCell ref="I17:K17"/>
    <mergeCell ref="M16:N16"/>
    <mergeCell ref="D24:D35"/>
    <mergeCell ref="D16:E16"/>
    <mergeCell ref="F16:K16"/>
    <mergeCell ref="F18:H18"/>
    <mergeCell ref="I18:K18"/>
    <mergeCell ref="F19:H19"/>
    <mergeCell ref="I19:K19"/>
    <mergeCell ref="M58:M59"/>
    <mergeCell ref="R18:T18"/>
    <mergeCell ref="O19:Q19"/>
    <mergeCell ref="R19:T19"/>
    <mergeCell ref="O20:Q20"/>
    <mergeCell ref="R20:T20"/>
    <mergeCell ref="O21:Q21"/>
    <mergeCell ref="R21:T21"/>
    <mergeCell ref="M22:N22"/>
    <mergeCell ref="M24:M35"/>
    <mergeCell ref="M36:M43"/>
    <mergeCell ref="M44:M47"/>
    <mergeCell ref="M52:M57"/>
    <mergeCell ref="M102:M103"/>
    <mergeCell ref="V16:W16"/>
    <mergeCell ref="X16:AC16"/>
    <mergeCell ref="V17:V18"/>
    <mergeCell ref="X17:Z17"/>
    <mergeCell ref="AA17:AC17"/>
    <mergeCell ref="X18:Z18"/>
    <mergeCell ref="AA18:AC18"/>
    <mergeCell ref="X19:Z19"/>
    <mergeCell ref="AA19:AC19"/>
    <mergeCell ref="M69:M70"/>
    <mergeCell ref="M71:M72"/>
    <mergeCell ref="M73:M84"/>
    <mergeCell ref="M85:M86"/>
    <mergeCell ref="M87:M92"/>
    <mergeCell ref="M96:M101"/>
    <mergeCell ref="V71:V72"/>
    <mergeCell ref="X20:Z20"/>
    <mergeCell ref="AA20:AC20"/>
    <mergeCell ref="X21:Z21"/>
    <mergeCell ref="AA21:AC21"/>
    <mergeCell ref="V22:W22"/>
    <mergeCell ref="V24:V35"/>
    <mergeCell ref="V36:V43"/>
    <mergeCell ref="V44:V47"/>
    <mergeCell ref="V52:V57"/>
    <mergeCell ref="V58:V59"/>
    <mergeCell ref="V69:V70"/>
    <mergeCell ref="V73:V84"/>
    <mergeCell ref="V85:V86"/>
    <mergeCell ref="V87:V92"/>
    <mergeCell ref="V96:V101"/>
    <mergeCell ref="V102:V103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W141"/>
  <sheetViews>
    <sheetView workbookViewId="0">
      <pane xSplit="2" ySplit="1" topLeftCell="C2" activePane="bottomRight" state="frozen"/>
      <selection activeCell="C46" sqref="C46"/>
      <selection pane="topRight" activeCell="C46" sqref="C46"/>
      <selection pane="bottomLeft" activeCell="C46" sqref="C46"/>
      <selection pane="bottomRight" activeCell="AC1" sqref="AC1:AF1"/>
    </sheetView>
  </sheetViews>
  <sheetFormatPr baseColWidth="10" defaultColWidth="10.85546875" defaultRowHeight="15" outlineLevelRow="1" x14ac:dyDescent="0.25"/>
  <cols>
    <col min="1" max="1" width="13.140625" style="20" customWidth="1"/>
    <col min="2" max="2" width="59.85546875" style="21" customWidth="1"/>
    <col min="3" max="3" width="27.28515625" style="13" customWidth="1"/>
    <col min="4" max="6" width="6.7109375" style="17" customWidth="1"/>
    <col min="7" max="7" width="6.7109375" style="39" customWidth="1"/>
    <col min="8" max="13" width="6.7109375" style="17" customWidth="1"/>
    <col min="14" max="17" width="7.42578125" customWidth="1"/>
    <col min="18" max="18" width="1.42578125" style="7" customWidth="1"/>
    <col min="19" max="21" width="6.7109375" style="40" customWidth="1"/>
    <col min="22" max="22" width="6.7109375" style="41" customWidth="1"/>
    <col min="23" max="24" width="6.7109375" style="40" customWidth="1"/>
    <col min="25" max="25" width="6.7109375" style="41" customWidth="1"/>
    <col min="26" max="32" width="6.7109375" style="40" customWidth="1"/>
    <col min="33" max="33" width="1.42578125" style="7" customWidth="1"/>
    <col min="34" max="34" width="5.28515625" style="17" customWidth="1"/>
    <col min="35" max="35" width="6.7109375" style="17" customWidth="1"/>
    <col min="36" max="36" width="8" style="17" customWidth="1"/>
  </cols>
  <sheetData>
    <row r="1" spans="1:47" s="4" customFormat="1" ht="84" customHeight="1" x14ac:dyDescent="0.25">
      <c r="A1" s="113" t="s">
        <v>12</v>
      </c>
      <c r="B1" s="113"/>
      <c r="C1" s="4" t="s">
        <v>13</v>
      </c>
      <c r="D1" s="5" t="s">
        <v>14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804</v>
      </c>
      <c r="O1" s="5" t="s">
        <v>805</v>
      </c>
      <c r="P1" s="5" t="s">
        <v>806</v>
      </c>
      <c r="Q1" s="5" t="s">
        <v>807</v>
      </c>
      <c r="R1" s="7"/>
      <c r="S1" s="8" t="s">
        <v>24</v>
      </c>
      <c r="T1" s="8" t="s">
        <v>25</v>
      </c>
      <c r="U1" s="8" t="s">
        <v>26</v>
      </c>
      <c r="V1" s="9" t="s">
        <v>27</v>
      </c>
      <c r="W1" s="8" t="s">
        <v>28</v>
      </c>
      <c r="X1" s="8" t="s">
        <v>29</v>
      </c>
      <c r="Y1" s="9" t="s">
        <v>30</v>
      </c>
      <c r="Z1" s="8" t="s">
        <v>31</v>
      </c>
      <c r="AA1" s="8" t="s">
        <v>32</v>
      </c>
      <c r="AB1" s="8" t="s">
        <v>33</v>
      </c>
      <c r="AC1" s="5" t="s">
        <v>838</v>
      </c>
      <c r="AD1" s="5" t="s">
        <v>839</v>
      </c>
      <c r="AE1" s="5" t="s">
        <v>840</v>
      </c>
      <c r="AF1" s="5" t="s">
        <v>841</v>
      </c>
      <c r="AG1" s="7"/>
      <c r="AH1" s="5" t="s">
        <v>34</v>
      </c>
      <c r="AI1" s="5" t="s">
        <v>35</v>
      </c>
      <c r="AJ1" s="5"/>
      <c r="AK1" s="10" t="s">
        <v>36</v>
      </c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x14ac:dyDescent="0.25">
      <c r="A2" s="11">
        <v>1</v>
      </c>
      <c r="B2" s="12" t="s">
        <v>37</v>
      </c>
      <c r="D2" s="14"/>
      <c r="E2" s="14"/>
      <c r="F2" s="14"/>
      <c r="G2" s="15"/>
      <c r="H2" s="14"/>
      <c r="I2" s="14"/>
      <c r="J2" s="14"/>
      <c r="K2" s="14"/>
      <c r="L2" s="14"/>
      <c r="M2" s="14"/>
      <c r="R2" s="16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47" x14ac:dyDescent="0.25">
      <c r="A3" s="18" t="s">
        <v>38</v>
      </c>
      <c r="B3" s="19" t="s">
        <v>39</v>
      </c>
      <c r="D3" s="14"/>
      <c r="E3" s="14"/>
      <c r="F3" s="14"/>
      <c r="G3" s="15"/>
      <c r="H3" s="14"/>
      <c r="I3" s="14"/>
      <c r="J3" s="14"/>
      <c r="K3" s="14"/>
      <c r="L3" s="14"/>
      <c r="M3" s="14"/>
      <c r="R3" s="16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47" x14ac:dyDescent="0.25">
      <c r="A4" s="20" t="s">
        <v>40</v>
      </c>
      <c r="B4" s="21" t="s">
        <v>41</v>
      </c>
      <c r="D4" s="22" t="s">
        <v>42</v>
      </c>
      <c r="E4" s="22" t="s">
        <v>42</v>
      </c>
      <c r="F4" s="22" t="s">
        <v>42</v>
      </c>
      <c r="G4" s="23" t="s">
        <v>42</v>
      </c>
      <c r="H4" s="22" t="s">
        <v>42</v>
      </c>
      <c r="I4" s="22" t="s">
        <v>42</v>
      </c>
      <c r="J4" s="22" t="s">
        <v>42</v>
      </c>
      <c r="K4" s="22" t="s">
        <v>42</v>
      </c>
      <c r="L4" s="22" t="s">
        <v>42</v>
      </c>
      <c r="M4" s="22" t="s">
        <v>42</v>
      </c>
      <c r="N4" s="22" t="s">
        <v>42</v>
      </c>
      <c r="O4" s="23" t="s">
        <v>42</v>
      </c>
      <c r="P4" s="22" t="s">
        <v>42</v>
      </c>
      <c r="Q4" s="22" t="s">
        <v>42</v>
      </c>
      <c r="R4" s="24"/>
      <c r="S4" s="23" t="s">
        <v>42</v>
      </c>
      <c r="T4" s="23" t="s">
        <v>42</v>
      </c>
      <c r="U4" s="23" t="s">
        <v>42</v>
      </c>
      <c r="V4" s="23" t="s">
        <v>42</v>
      </c>
      <c r="W4" s="23" t="s">
        <v>42</v>
      </c>
      <c r="X4" s="23" t="s">
        <v>42</v>
      </c>
      <c r="Y4" s="23" t="s">
        <v>42</v>
      </c>
      <c r="Z4" s="23" t="s">
        <v>42</v>
      </c>
      <c r="AA4" s="23" t="s">
        <v>42</v>
      </c>
      <c r="AB4" s="23" t="s">
        <v>42</v>
      </c>
      <c r="AC4" s="23" t="s">
        <v>42</v>
      </c>
      <c r="AD4" s="23" t="s">
        <v>42</v>
      </c>
      <c r="AE4" s="23" t="s">
        <v>42</v>
      </c>
      <c r="AF4" s="23" t="s">
        <v>42</v>
      </c>
      <c r="AG4" s="25"/>
      <c r="AH4" s="26" t="s">
        <v>42</v>
      </c>
      <c r="AI4" s="26" t="s">
        <v>42</v>
      </c>
      <c r="AK4" t="s">
        <v>723</v>
      </c>
    </row>
    <row r="5" spans="1:47" outlineLevel="1" x14ac:dyDescent="0.25">
      <c r="A5" s="20" t="s">
        <v>43</v>
      </c>
      <c r="B5" s="21" t="s">
        <v>44</v>
      </c>
      <c r="D5" s="22" t="s">
        <v>42</v>
      </c>
      <c r="E5" s="22" t="s">
        <v>42</v>
      </c>
      <c r="F5" s="22" t="s">
        <v>42</v>
      </c>
      <c r="G5" s="23" t="s">
        <v>42</v>
      </c>
      <c r="H5" s="22" t="s">
        <v>42</v>
      </c>
      <c r="I5" s="22" t="s">
        <v>42</v>
      </c>
      <c r="J5" s="22" t="s">
        <v>42</v>
      </c>
      <c r="K5" s="22" t="s">
        <v>42</v>
      </c>
      <c r="L5" s="22" t="s">
        <v>42</v>
      </c>
      <c r="M5" s="22" t="s">
        <v>42</v>
      </c>
      <c r="N5" s="22" t="s">
        <v>42</v>
      </c>
      <c r="O5" s="23" t="s">
        <v>42</v>
      </c>
      <c r="P5" s="22" t="s">
        <v>42</v>
      </c>
      <c r="Q5" s="22" t="s">
        <v>42</v>
      </c>
      <c r="R5" s="24"/>
      <c r="S5" s="23" t="s">
        <v>42</v>
      </c>
      <c r="T5" s="23" t="s">
        <v>42</v>
      </c>
      <c r="U5" s="23" t="s">
        <v>42</v>
      </c>
      <c r="V5" s="23" t="s">
        <v>42</v>
      </c>
      <c r="W5" s="23" t="s">
        <v>42</v>
      </c>
      <c r="X5" s="23" t="s">
        <v>42</v>
      </c>
      <c r="Y5" s="23" t="s">
        <v>42</v>
      </c>
      <c r="Z5" s="23" t="s">
        <v>42</v>
      </c>
      <c r="AA5" s="23" t="s">
        <v>42</v>
      </c>
      <c r="AB5" s="23" t="s">
        <v>42</v>
      </c>
      <c r="AC5" s="23" t="s">
        <v>42</v>
      </c>
      <c r="AD5" s="23" t="s">
        <v>42</v>
      </c>
      <c r="AE5" s="23" t="s">
        <v>42</v>
      </c>
      <c r="AF5" s="23" t="s">
        <v>42</v>
      </c>
      <c r="AG5" s="25"/>
      <c r="AH5" s="26" t="s">
        <v>42</v>
      </c>
      <c r="AI5" s="26" t="s">
        <v>42</v>
      </c>
      <c r="AK5" t="s">
        <v>724</v>
      </c>
    </row>
    <row r="6" spans="1:47" outlineLevel="1" x14ac:dyDescent="0.25">
      <c r="A6" s="20" t="s">
        <v>45</v>
      </c>
      <c r="B6" s="21" t="s">
        <v>46</v>
      </c>
      <c r="D6" s="22" t="s">
        <v>42</v>
      </c>
      <c r="E6" s="22" t="s">
        <v>42</v>
      </c>
      <c r="F6" s="22" t="s">
        <v>42</v>
      </c>
      <c r="G6" s="23" t="s">
        <v>42</v>
      </c>
      <c r="H6" s="22" t="s">
        <v>42</v>
      </c>
      <c r="I6" s="22" t="s">
        <v>42</v>
      </c>
      <c r="J6" s="22" t="s">
        <v>42</v>
      </c>
      <c r="K6" s="22" t="s">
        <v>42</v>
      </c>
      <c r="L6" s="22" t="s">
        <v>42</v>
      </c>
      <c r="M6" s="22" t="s">
        <v>42</v>
      </c>
      <c r="N6" s="22" t="s">
        <v>42</v>
      </c>
      <c r="O6" s="23" t="s">
        <v>42</v>
      </c>
      <c r="P6" s="22" t="s">
        <v>42</v>
      </c>
      <c r="Q6" s="22" t="s">
        <v>42</v>
      </c>
      <c r="R6" s="24"/>
      <c r="S6" s="23" t="s">
        <v>42</v>
      </c>
      <c r="T6" s="23" t="s">
        <v>42</v>
      </c>
      <c r="U6" s="23" t="s">
        <v>42</v>
      </c>
      <c r="V6" s="23" t="s">
        <v>42</v>
      </c>
      <c r="W6" s="23" t="s">
        <v>42</v>
      </c>
      <c r="X6" s="23" t="s">
        <v>42</v>
      </c>
      <c r="Y6" s="23" t="s">
        <v>42</v>
      </c>
      <c r="Z6" s="23" t="s">
        <v>42</v>
      </c>
      <c r="AA6" s="23" t="s">
        <v>42</v>
      </c>
      <c r="AB6" s="23" t="s">
        <v>42</v>
      </c>
      <c r="AC6" s="23" t="s">
        <v>42</v>
      </c>
      <c r="AD6" s="23" t="s">
        <v>42</v>
      </c>
      <c r="AE6" s="23" t="s">
        <v>42</v>
      </c>
      <c r="AF6" s="23" t="s">
        <v>42</v>
      </c>
      <c r="AG6" s="25"/>
      <c r="AH6" s="26" t="s">
        <v>42</v>
      </c>
      <c r="AI6" s="26" t="s">
        <v>42</v>
      </c>
      <c r="AK6" t="s">
        <v>725</v>
      </c>
    </row>
    <row r="7" spans="1:47" outlineLevel="1" x14ac:dyDescent="0.25">
      <c r="A7" s="20" t="s">
        <v>47</v>
      </c>
      <c r="B7" s="27" t="s">
        <v>48</v>
      </c>
      <c r="D7" s="22" t="s">
        <v>42</v>
      </c>
      <c r="E7" s="22" t="s">
        <v>42</v>
      </c>
      <c r="F7" s="22" t="s">
        <v>42</v>
      </c>
      <c r="G7" s="23" t="s">
        <v>42</v>
      </c>
      <c r="H7" s="22" t="s">
        <v>42</v>
      </c>
      <c r="I7" s="22" t="s">
        <v>42</v>
      </c>
      <c r="J7" s="22" t="s">
        <v>42</v>
      </c>
      <c r="K7" s="22" t="s">
        <v>42</v>
      </c>
      <c r="L7" s="22" t="s">
        <v>42</v>
      </c>
      <c r="M7" s="22" t="s">
        <v>42</v>
      </c>
      <c r="N7" s="22" t="s">
        <v>42</v>
      </c>
      <c r="O7" s="23" t="s">
        <v>42</v>
      </c>
      <c r="P7" s="22" t="s">
        <v>42</v>
      </c>
      <c r="Q7" s="22" t="s">
        <v>42</v>
      </c>
      <c r="R7" s="24"/>
      <c r="S7" s="23" t="s">
        <v>42</v>
      </c>
      <c r="T7" s="23" t="s">
        <v>42</v>
      </c>
      <c r="U7" s="23" t="s">
        <v>42</v>
      </c>
      <c r="V7" s="23" t="s">
        <v>42</v>
      </c>
      <c r="W7" s="23" t="s">
        <v>42</v>
      </c>
      <c r="X7" s="23" t="s">
        <v>42</v>
      </c>
      <c r="Y7" s="23" t="s">
        <v>42</v>
      </c>
      <c r="Z7" s="23" t="s">
        <v>42</v>
      </c>
      <c r="AA7" s="23" t="s">
        <v>42</v>
      </c>
      <c r="AB7" s="23" t="s">
        <v>42</v>
      </c>
      <c r="AC7" s="23" t="s">
        <v>42</v>
      </c>
      <c r="AD7" s="23" t="s">
        <v>42</v>
      </c>
      <c r="AE7" s="23" t="s">
        <v>42</v>
      </c>
      <c r="AF7" s="23" t="s">
        <v>42</v>
      </c>
      <c r="AG7" s="25"/>
      <c r="AH7" s="26" t="s">
        <v>42</v>
      </c>
      <c r="AI7" s="26" t="s">
        <v>42</v>
      </c>
      <c r="AK7" t="s">
        <v>726</v>
      </c>
    </row>
    <row r="8" spans="1:47" outlineLevel="1" x14ac:dyDescent="0.25">
      <c r="A8" s="20" t="s">
        <v>49</v>
      </c>
      <c r="B8" s="27" t="s">
        <v>50</v>
      </c>
      <c r="D8" s="22" t="s">
        <v>42</v>
      </c>
      <c r="E8" s="22" t="s">
        <v>42</v>
      </c>
      <c r="F8" s="22" t="s">
        <v>42</v>
      </c>
      <c r="G8" s="23" t="s">
        <v>42</v>
      </c>
      <c r="H8" s="22" t="s">
        <v>42</v>
      </c>
      <c r="I8" s="22" t="s">
        <v>42</v>
      </c>
      <c r="J8" s="22" t="s">
        <v>42</v>
      </c>
      <c r="K8" s="22" t="s">
        <v>42</v>
      </c>
      <c r="L8" s="22" t="s">
        <v>42</v>
      </c>
      <c r="M8" s="22" t="s">
        <v>42</v>
      </c>
      <c r="N8" s="22" t="s">
        <v>42</v>
      </c>
      <c r="O8" s="23" t="s">
        <v>42</v>
      </c>
      <c r="P8" s="22" t="s">
        <v>42</v>
      </c>
      <c r="Q8" s="22" t="s">
        <v>42</v>
      </c>
      <c r="R8" s="24"/>
      <c r="S8" s="23" t="s">
        <v>42</v>
      </c>
      <c r="T8" s="23" t="s">
        <v>42</v>
      </c>
      <c r="U8" s="23" t="s">
        <v>42</v>
      </c>
      <c r="V8" s="23" t="s">
        <v>42</v>
      </c>
      <c r="W8" s="23" t="s">
        <v>42</v>
      </c>
      <c r="X8" s="23" t="s">
        <v>42</v>
      </c>
      <c r="Y8" s="23" t="s">
        <v>42</v>
      </c>
      <c r="Z8" s="23" t="s">
        <v>42</v>
      </c>
      <c r="AA8" s="23" t="s">
        <v>42</v>
      </c>
      <c r="AB8" s="23" t="s">
        <v>42</v>
      </c>
      <c r="AC8" s="23" t="s">
        <v>42</v>
      </c>
      <c r="AD8" s="23" t="s">
        <v>42</v>
      </c>
      <c r="AE8" s="23" t="s">
        <v>42</v>
      </c>
      <c r="AF8" s="23" t="s">
        <v>42</v>
      </c>
      <c r="AG8" s="25"/>
      <c r="AH8" s="26" t="s">
        <v>42</v>
      </c>
      <c r="AI8" s="26" t="s">
        <v>42</v>
      </c>
      <c r="AK8" t="s">
        <v>727</v>
      </c>
    </row>
    <row r="9" spans="1:47" outlineLevel="1" x14ac:dyDescent="0.25">
      <c r="A9" s="20" t="s">
        <v>51</v>
      </c>
      <c r="B9" s="27" t="s">
        <v>52</v>
      </c>
      <c r="C9" t="s">
        <v>53</v>
      </c>
      <c r="D9" s="22" t="s">
        <v>42</v>
      </c>
      <c r="E9" s="22" t="s">
        <v>42</v>
      </c>
      <c r="F9" s="22" t="s">
        <v>42</v>
      </c>
      <c r="G9" s="23" t="s">
        <v>42</v>
      </c>
      <c r="H9" s="22" t="s">
        <v>42</v>
      </c>
      <c r="I9" s="22" t="s">
        <v>42</v>
      </c>
      <c r="J9" s="22" t="s">
        <v>42</v>
      </c>
      <c r="K9" s="22" t="s">
        <v>42</v>
      </c>
      <c r="L9" s="22" t="s">
        <v>42</v>
      </c>
      <c r="M9" s="22" t="s">
        <v>42</v>
      </c>
      <c r="N9" s="22" t="s">
        <v>42</v>
      </c>
      <c r="O9" s="23" t="s">
        <v>42</v>
      </c>
      <c r="P9" s="22" t="s">
        <v>42</v>
      </c>
      <c r="Q9" s="22" t="s">
        <v>42</v>
      </c>
      <c r="R9" s="24"/>
      <c r="S9" s="23" t="s">
        <v>42</v>
      </c>
      <c r="T9" s="23" t="s">
        <v>42</v>
      </c>
      <c r="U9" s="23" t="s">
        <v>42</v>
      </c>
      <c r="V9" s="23" t="s">
        <v>42</v>
      </c>
      <c r="W9" s="23" t="s">
        <v>42</v>
      </c>
      <c r="X9" s="23" t="s">
        <v>42</v>
      </c>
      <c r="Y9" s="23" t="s">
        <v>42</v>
      </c>
      <c r="Z9" s="23" t="s">
        <v>42</v>
      </c>
      <c r="AA9" s="23" t="s">
        <v>42</v>
      </c>
      <c r="AB9" s="23" t="s">
        <v>42</v>
      </c>
      <c r="AC9" s="23" t="s">
        <v>42</v>
      </c>
      <c r="AD9" s="23" t="s">
        <v>42</v>
      </c>
      <c r="AE9" s="23" t="s">
        <v>42</v>
      </c>
      <c r="AF9" s="23" t="s">
        <v>42</v>
      </c>
      <c r="AG9" s="25"/>
      <c r="AH9" s="26" t="s">
        <v>42</v>
      </c>
      <c r="AI9" s="26" t="s">
        <v>42</v>
      </c>
      <c r="AK9" t="s">
        <v>728</v>
      </c>
    </row>
    <row r="10" spans="1:47" outlineLevel="1" x14ac:dyDescent="0.25">
      <c r="A10" t="s">
        <v>842</v>
      </c>
      <c r="B10" t="s">
        <v>843</v>
      </c>
      <c r="C10"/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s="24"/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s="25"/>
      <c r="AH10" t="s">
        <v>42</v>
      </c>
      <c r="AI10" t="s">
        <v>42</v>
      </c>
      <c r="AJ10"/>
    </row>
    <row r="11" spans="1:47" x14ac:dyDescent="0.25">
      <c r="A11" s="20" t="s">
        <v>54</v>
      </c>
      <c r="B11" s="27" t="s">
        <v>55</v>
      </c>
      <c r="D11" s="22" t="s">
        <v>42</v>
      </c>
      <c r="E11" s="22" t="s">
        <v>42</v>
      </c>
      <c r="F11" s="22" t="s">
        <v>42</v>
      </c>
      <c r="G11" s="23" t="s">
        <v>42</v>
      </c>
      <c r="H11" s="22" t="s">
        <v>42</v>
      </c>
      <c r="I11" s="22" t="s">
        <v>42</v>
      </c>
      <c r="J11" s="22" t="s">
        <v>42</v>
      </c>
      <c r="K11" s="22" t="s">
        <v>42</v>
      </c>
      <c r="L11" s="22" t="s">
        <v>42</v>
      </c>
      <c r="M11" s="22" t="s">
        <v>42</v>
      </c>
      <c r="N11" s="22" t="s">
        <v>42</v>
      </c>
      <c r="O11" s="22" t="s">
        <v>42</v>
      </c>
      <c r="P11" s="22" t="s">
        <v>42</v>
      </c>
      <c r="Q11" s="22" t="s">
        <v>42</v>
      </c>
      <c r="R11" s="24"/>
      <c r="S11" s="23" t="s">
        <v>42</v>
      </c>
      <c r="T11" s="23" t="s">
        <v>42</v>
      </c>
      <c r="U11" s="23" t="s">
        <v>42</v>
      </c>
      <c r="V11" s="23" t="s">
        <v>42</v>
      </c>
      <c r="W11" s="23" t="s">
        <v>42</v>
      </c>
      <c r="X11" s="23" t="s">
        <v>42</v>
      </c>
      <c r="Y11" s="23" t="s">
        <v>42</v>
      </c>
      <c r="Z11" s="23" t="s">
        <v>42</v>
      </c>
      <c r="AA11" s="23" t="s">
        <v>42</v>
      </c>
      <c r="AB11" s="23" t="s">
        <v>42</v>
      </c>
      <c r="AC11" s="23" t="s">
        <v>42</v>
      </c>
      <c r="AD11" s="23" t="s">
        <v>42</v>
      </c>
      <c r="AE11" s="23" t="s">
        <v>42</v>
      </c>
      <c r="AF11" s="23" t="s">
        <v>42</v>
      </c>
      <c r="AG11" s="25"/>
      <c r="AH11" s="26" t="s">
        <v>42</v>
      </c>
      <c r="AI11" s="26" t="s">
        <v>42</v>
      </c>
      <c r="AK11" t="s">
        <v>729</v>
      </c>
    </row>
    <row r="12" spans="1:47" outlineLevel="1" x14ac:dyDescent="0.25">
      <c r="A12" s="20" t="s">
        <v>56</v>
      </c>
      <c r="B12" s="27" t="s">
        <v>57</v>
      </c>
      <c r="D12" s="22" t="s">
        <v>42</v>
      </c>
      <c r="E12" s="22" t="s">
        <v>42</v>
      </c>
      <c r="F12" s="22" t="s">
        <v>42</v>
      </c>
      <c r="G12" s="23" t="s">
        <v>42</v>
      </c>
      <c r="H12" s="22" t="s">
        <v>42</v>
      </c>
      <c r="I12" s="22" t="s">
        <v>42</v>
      </c>
      <c r="J12" s="22" t="s">
        <v>42</v>
      </c>
      <c r="K12" s="22" t="s">
        <v>42</v>
      </c>
      <c r="L12" s="22" t="s">
        <v>42</v>
      </c>
      <c r="M12" s="22" t="s">
        <v>42</v>
      </c>
      <c r="N12" s="22" t="s">
        <v>42</v>
      </c>
      <c r="O12" s="22" t="s">
        <v>42</v>
      </c>
      <c r="P12" s="22" t="s">
        <v>42</v>
      </c>
      <c r="Q12" s="22" t="s">
        <v>42</v>
      </c>
      <c r="R12" s="24"/>
      <c r="S12" s="23" t="s">
        <v>42</v>
      </c>
      <c r="T12" s="23" t="s">
        <v>42</v>
      </c>
      <c r="U12" s="23" t="s">
        <v>42</v>
      </c>
      <c r="V12" s="23" t="s">
        <v>42</v>
      </c>
      <c r="W12" s="23" t="s">
        <v>42</v>
      </c>
      <c r="X12" s="23" t="s">
        <v>42</v>
      </c>
      <c r="Y12" s="23" t="s">
        <v>42</v>
      </c>
      <c r="Z12" s="23" t="s">
        <v>42</v>
      </c>
      <c r="AA12" s="23" t="s">
        <v>42</v>
      </c>
      <c r="AB12" s="23" t="s">
        <v>42</v>
      </c>
      <c r="AC12" s="23" t="s">
        <v>42</v>
      </c>
      <c r="AD12" s="23" t="s">
        <v>42</v>
      </c>
      <c r="AE12" s="23" t="s">
        <v>42</v>
      </c>
      <c r="AF12" s="23" t="s">
        <v>42</v>
      </c>
      <c r="AG12" s="25"/>
      <c r="AH12" s="26" t="s">
        <v>42</v>
      </c>
      <c r="AI12" s="26" t="s">
        <v>42</v>
      </c>
      <c r="AK12" t="s">
        <v>730</v>
      </c>
    </row>
    <row r="13" spans="1:47" outlineLevel="1" x14ac:dyDescent="0.25">
      <c r="A13" s="20" t="s">
        <v>58</v>
      </c>
      <c r="B13" s="21" t="s">
        <v>59</v>
      </c>
      <c r="D13" s="22" t="s">
        <v>42</v>
      </c>
      <c r="E13" s="22" t="s">
        <v>42</v>
      </c>
      <c r="F13" s="22" t="s">
        <v>42</v>
      </c>
      <c r="G13" s="23" t="s">
        <v>42</v>
      </c>
      <c r="H13" s="22" t="s">
        <v>42</v>
      </c>
      <c r="I13" s="22" t="s">
        <v>42</v>
      </c>
      <c r="J13" s="22" t="s">
        <v>42</v>
      </c>
      <c r="K13" s="22" t="s">
        <v>42</v>
      </c>
      <c r="L13" s="22" t="s">
        <v>42</v>
      </c>
      <c r="M13" s="22" t="s">
        <v>42</v>
      </c>
      <c r="N13" s="22" t="s">
        <v>42</v>
      </c>
      <c r="O13" s="22" t="s">
        <v>42</v>
      </c>
      <c r="P13" s="22" t="s">
        <v>42</v>
      </c>
      <c r="Q13" s="22" t="s">
        <v>42</v>
      </c>
      <c r="R13" s="24"/>
      <c r="S13" s="23" t="s">
        <v>42</v>
      </c>
      <c r="T13" s="23" t="s">
        <v>42</v>
      </c>
      <c r="U13" s="23" t="s">
        <v>42</v>
      </c>
      <c r="V13" s="23" t="s">
        <v>42</v>
      </c>
      <c r="W13" s="23" t="s">
        <v>42</v>
      </c>
      <c r="X13" s="23" t="s">
        <v>42</v>
      </c>
      <c r="Y13" s="23" t="s">
        <v>42</v>
      </c>
      <c r="Z13" s="23" t="s">
        <v>42</v>
      </c>
      <c r="AA13" s="23" t="s">
        <v>42</v>
      </c>
      <c r="AB13" s="23" t="s">
        <v>42</v>
      </c>
      <c r="AC13" s="23" t="s">
        <v>42</v>
      </c>
      <c r="AD13" s="23" t="s">
        <v>42</v>
      </c>
      <c r="AE13" s="23" t="s">
        <v>42</v>
      </c>
      <c r="AF13" s="23" t="s">
        <v>42</v>
      </c>
      <c r="AG13" s="25"/>
      <c r="AH13" s="26" t="s">
        <v>42</v>
      </c>
      <c r="AI13" s="26" t="s">
        <v>42</v>
      </c>
      <c r="AK13" t="s">
        <v>731</v>
      </c>
    </row>
    <row r="14" spans="1:47" outlineLevel="1" x14ac:dyDescent="0.25">
      <c r="A14" s="20" t="s">
        <v>60</v>
      </c>
      <c r="B14" s="21" t="s">
        <v>61</v>
      </c>
      <c r="D14" s="22" t="s">
        <v>42</v>
      </c>
      <c r="E14" s="22" t="s">
        <v>42</v>
      </c>
      <c r="F14" s="22" t="s">
        <v>42</v>
      </c>
      <c r="G14" s="23" t="s">
        <v>42</v>
      </c>
      <c r="H14" s="22" t="s">
        <v>42</v>
      </c>
      <c r="I14" s="22" t="s">
        <v>42</v>
      </c>
      <c r="J14" s="22" t="s">
        <v>42</v>
      </c>
      <c r="K14" s="22" t="s">
        <v>42</v>
      </c>
      <c r="L14" s="22" t="s">
        <v>42</v>
      </c>
      <c r="M14" s="22" t="s">
        <v>42</v>
      </c>
      <c r="N14" s="22" t="s">
        <v>42</v>
      </c>
      <c r="O14" s="22" t="s">
        <v>42</v>
      </c>
      <c r="P14" s="22" t="s">
        <v>42</v>
      </c>
      <c r="Q14" s="22" t="s">
        <v>42</v>
      </c>
      <c r="R14" s="24"/>
      <c r="S14" s="23" t="s">
        <v>42</v>
      </c>
      <c r="T14" s="23" t="s">
        <v>42</v>
      </c>
      <c r="U14" s="23" t="s">
        <v>42</v>
      </c>
      <c r="V14" s="23" t="s">
        <v>42</v>
      </c>
      <c r="W14" s="23" t="s">
        <v>42</v>
      </c>
      <c r="X14" s="23" t="s">
        <v>42</v>
      </c>
      <c r="Y14" s="23" t="s">
        <v>42</v>
      </c>
      <c r="Z14" s="23" t="s">
        <v>42</v>
      </c>
      <c r="AA14" s="23" t="s">
        <v>42</v>
      </c>
      <c r="AB14" s="23" t="s">
        <v>42</v>
      </c>
      <c r="AC14" s="23" t="s">
        <v>42</v>
      </c>
      <c r="AD14" s="23" t="s">
        <v>42</v>
      </c>
      <c r="AE14" s="23" t="s">
        <v>42</v>
      </c>
      <c r="AF14" s="23" t="s">
        <v>42</v>
      </c>
      <c r="AG14" s="25"/>
      <c r="AH14" s="26" t="s">
        <v>42</v>
      </c>
      <c r="AI14" s="26" t="s">
        <v>42</v>
      </c>
      <c r="AK14" t="s">
        <v>732</v>
      </c>
    </row>
    <row r="15" spans="1:47" outlineLevel="1" x14ac:dyDescent="0.25">
      <c r="A15" s="28" t="s">
        <v>62</v>
      </c>
      <c r="B15" s="21" t="s">
        <v>63</v>
      </c>
      <c r="D15" s="22" t="s">
        <v>42</v>
      </c>
      <c r="E15" s="22" t="s">
        <v>42</v>
      </c>
      <c r="F15" s="22" t="s">
        <v>42</v>
      </c>
      <c r="G15" s="23" t="s">
        <v>42</v>
      </c>
      <c r="H15" s="22" t="s">
        <v>42</v>
      </c>
      <c r="I15" s="22" t="s">
        <v>42</v>
      </c>
      <c r="J15" s="22" t="s">
        <v>42</v>
      </c>
      <c r="K15" s="22" t="s">
        <v>42</v>
      </c>
      <c r="L15" s="22" t="s">
        <v>42</v>
      </c>
      <c r="M15" s="22" t="s">
        <v>42</v>
      </c>
      <c r="N15" s="22" t="s">
        <v>42</v>
      </c>
      <c r="O15" s="22" t="s">
        <v>42</v>
      </c>
      <c r="P15" s="22" t="s">
        <v>42</v>
      </c>
      <c r="Q15" s="22" t="s">
        <v>42</v>
      </c>
      <c r="R15" s="24"/>
      <c r="S15" s="23" t="s">
        <v>42</v>
      </c>
      <c r="T15" s="23" t="s">
        <v>42</v>
      </c>
      <c r="U15" s="23" t="s">
        <v>42</v>
      </c>
      <c r="V15" s="23" t="s">
        <v>42</v>
      </c>
      <c r="W15" s="23" t="s">
        <v>42</v>
      </c>
      <c r="X15" s="23" t="s">
        <v>42</v>
      </c>
      <c r="Y15" s="23" t="s">
        <v>42</v>
      </c>
      <c r="Z15" s="23" t="s">
        <v>42</v>
      </c>
      <c r="AA15" s="23" t="s">
        <v>42</v>
      </c>
      <c r="AB15" s="23" t="s">
        <v>42</v>
      </c>
      <c r="AC15" s="23" t="s">
        <v>42</v>
      </c>
      <c r="AD15" s="23" t="s">
        <v>42</v>
      </c>
      <c r="AE15" s="23" t="s">
        <v>42</v>
      </c>
      <c r="AF15" s="23" t="s">
        <v>42</v>
      </c>
      <c r="AG15" s="25"/>
      <c r="AH15" s="26"/>
      <c r="AI15" s="26"/>
      <c r="AK15" t="s">
        <v>733</v>
      </c>
    </row>
    <row r="16" spans="1:47" x14ac:dyDescent="0.25">
      <c r="A16" s="28" t="s">
        <v>64</v>
      </c>
      <c r="B16" s="21" t="s">
        <v>65</v>
      </c>
      <c r="D16" s="22" t="s">
        <v>42</v>
      </c>
      <c r="E16" s="22" t="s">
        <v>42</v>
      </c>
      <c r="F16" s="22" t="s">
        <v>42</v>
      </c>
      <c r="G16" s="23" t="s">
        <v>42</v>
      </c>
      <c r="H16" s="22" t="s">
        <v>42</v>
      </c>
      <c r="I16" s="22" t="s">
        <v>42</v>
      </c>
      <c r="J16" s="22"/>
      <c r="K16" s="22"/>
      <c r="L16" s="22"/>
      <c r="M16" s="22"/>
      <c r="R16" s="24"/>
      <c r="S16" s="23" t="s">
        <v>42</v>
      </c>
      <c r="T16" s="23" t="s">
        <v>42</v>
      </c>
      <c r="U16" s="23" t="s">
        <v>42</v>
      </c>
      <c r="V16" s="23" t="s">
        <v>42</v>
      </c>
      <c r="W16" s="23" t="s">
        <v>42</v>
      </c>
      <c r="X16" s="23" t="s">
        <v>42</v>
      </c>
      <c r="Y16" s="23"/>
      <c r="Z16" s="23"/>
      <c r="AA16" s="23"/>
      <c r="AB16" s="23"/>
      <c r="AC16" s="23"/>
      <c r="AD16" s="23"/>
      <c r="AE16" s="23"/>
      <c r="AG16" s="25"/>
      <c r="AH16" s="26"/>
      <c r="AI16" s="26"/>
      <c r="AK16" t="s">
        <v>734</v>
      </c>
    </row>
    <row r="17" spans="1:49" x14ac:dyDescent="0.25">
      <c r="A17" s="28" t="s">
        <v>66</v>
      </c>
      <c r="B17" s="21" t="s">
        <v>67</v>
      </c>
      <c r="D17" s="22" t="s">
        <v>42</v>
      </c>
      <c r="E17" s="22" t="s">
        <v>42</v>
      </c>
      <c r="F17" s="22" t="s">
        <v>42</v>
      </c>
      <c r="G17" s="23" t="s">
        <v>42</v>
      </c>
      <c r="H17" s="22" t="s">
        <v>42</v>
      </c>
      <c r="I17" s="22" t="s">
        <v>42</v>
      </c>
      <c r="J17" s="22"/>
      <c r="K17" s="22"/>
      <c r="L17" s="22"/>
      <c r="M17" s="22"/>
      <c r="R17" s="24"/>
      <c r="S17" s="23" t="s">
        <v>42</v>
      </c>
      <c r="T17" s="23" t="s">
        <v>42</v>
      </c>
      <c r="U17" s="23" t="s">
        <v>42</v>
      </c>
      <c r="V17" s="23" t="s">
        <v>42</v>
      </c>
      <c r="W17" s="23" t="s">
        <v>42</v>
      </c>
      <c r="X17" s="23" t="s">
        <v>42</v>
      </c>
      <c r="Y17" s="23"/>
      <c r="Z17" s="23"/>
      <c r="AA17" s="23"/>
      <c r="AB17" s="23"/>
      <c r="AC17" s="23"/>
      <c r="AD17" s="23"/>
      <c r="AE17" s="23"/>
      <c r="AG17" s="25"/>
      <c r="AH17" s="26"/>
      <c r="AI17" s="26"/>
      <c r="AK17" t="s">
        <v>735</v>
      </c>
    </row>
    <row r="18" spans="1:49" x14ac:dyDescent="0.25">
      <c r="A18" s="20" t="s">
        <v>68</v>
      </c>
      <c r="B18" s="21" t="s">
        <v>69</v>
      </c>
      <c r="D18" s="22" t="s">
        <v>42</v>
      </c>
      <c r="E18" s="22" t="s">
        <v>42</v>
      </c>
      <c r="F18" s="22" t="s">
        <v>42</v>
      </c>
      <c r="G18" s="23" t="s">
        <v>42</v>
      </c>
      <c r="H18" s="22" t="s">
        <v>42</v>
      </c>
      <c r="I18" s="22" t="s">
        <v>42</v>
      </c>
      <c r="J18" s="22" t="s">
        <v>42</v>
      </c>
      <c r="K18" s="22" t="s">
        <v>42</v>
      </c>
      <c r="L18" s="22" t="s">
        <v>42</v>
      </c>
      <c r="M18" s="22" t="s">
        <v>42</v>
      </c>
      <c r="N18" s="22" t="s">
        <v>42</v>
      </c>
      <c r="O18" s="23" t="s">
        <v>42</v>
      </c>
      <c r="P18" s="22" t="s">
        <v>42</v>
      </c>
      <c r="Q18" s="22" t="s">
        <v>42</v>
      </c>
      <c r="R18" s="24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G18" s="25"/>
      <c r="AH18" s="26" t="s">
        <v>42</v>
      </c>
      <c r="AI18" s="26"/>
      <c r="AK18" t="s">
        <v>736</v>
      </c>
    </row>
    <row r="19" spans="1:49" ht="15.75" customHeight="1" x14ac:dyDescent="0.25">
      <c r="A19" s="20" t="s">
        <v>70</v>
      </c>
      <c r="B19" s="21" t="s">
        <v>71</v>
      </c>
      <c r="D19" s="22"/>
      <c r="E19" s="22" t="s">
        <v>42</v>
      </c>
      <c r="F19" s="22" t="s">
        <v>42</v>
      </c>
      <c r="G19" s="23" t="s">
        <v>42</v>
      </c>
      <c r="H19" s="22" t="s">
        <v>42</v>
      </c>
      <c r="I19" s="22" t="s">
        <v>42</v>
      </c>
      <c r="J19" s="22"/>
      <c r="K19" s="22"/>
      <c r="L19" s="22"/>
      <c r="M19" s="22"/>
      <c r="R19" s="24"/>
      <c r="S19" s="23"/>
      <c r="T19" s="23" t="s">
        <v>42</v>
      </c>
      <c r="U19" s="23" t="s">
        <v>42</v>
      </c>
      <c r="V19" s="23" t="s">
        <v>42</v>
      </c>
      <c r="W19" s="23" t="s">
        <v>42</v>
      </c>
      <c r="X19" s="23" t="s">
        <v>42</v>
      </c>
      <c r="Y19" s="23"/>
      <c r="Z19" s="23"/>
      <c r="AA19" s="23"/>
      <c r="AB19" s="23"/>
      <c r="AC19" s="23"/>
      <c r="AD19" s="23"/>
      <c r="AE19" s="23"/>
      <c r="AG19" s="25"/>
      <c r="AH19" s="26"/>
      <c r="AI19" s="26"/>
      <c r="AK19" t="s">
        <v>737</v>
      </c>
    </row>
    <row r="20" spans="1:49" x14ac:dyDescent="0.25">
      <c r="A20" s="20" t="s">
        <v>72</v>
      </c>
      <c r="B20" s="21" t="s">
        <v>73</v>
      </c>
      <c r="D20" s="22"/>
      <c r="E20" s="22"/>
      <c r="F20" s="22"/>
      <c r="G20" s="23"/>
      <c r="H20" s="22"/>
      <c r="I20" s="22"/>
      <c r="J20" s="22" t="s">
        <v>42</v>
      </c>
      <c r="K20" s="22" t="s">
        <v>42</v>
      </c>
      <c r="L20" s="22" t="s">
        <v>42</v>
      </c>
      <c r="M20" s="22" t="s">
        <v>42</v>
      </c>
      <c r="R20" s="24"/>
      <c r="S20" s="23"/>
      <c r="T20" s="23"/>
      <c r="U20" s="23"/>
      <c r="V20" s="23"/>
      <c r="W20" s="23"/>
      <c r="X20" s="23"/>
      <c r="Y20" s="23" t="s">
        <v>42</v>
      </c>
      <c r="Z20" s="23" t="s">
        <v>42</v>
      </c>
      <c r="AA20" s="23" t="s">
        <v>42</v>
      </c>
      <c r="AB20" s="23" t="s">
        <v>42</v>
      </c>
      <c r="AC20" s="23"/>
      <c r="AD20" s="23"/>
      <c r="AE20" s="23"/>
      <c r="AG20" s="25"/>
      <c r="AH20" s="26"/>
      <c r="AI20" s="26"/>
      <c r="AK20" t="s">
        <v>738</v>
      </c>
    </row>
    <row r="21" spans="1:49" x14ac:dyDescent="0.25">
      <c r="A21" t="s">
        <v>802</v>
      </c>
      <c r="B21" t="s">
        <v>803</v>
      </c>
      <c r="C21"/>
      <c r="D21"/>
      <c r="E21"/>
      <c r="F21"/>
      <c r="G21"/>
      <c r="H21"/>
      <c r="I21"/>
      <c r="N21" s="17" t="s">
        <v>42</v>
      </c>
      <c r="O21" s="17" t="s">
        <v>42</v>
      </c>
      <c r="P21" s="17" t="s">
        <v>42</v>
      </c>
      <c r="Q21" s="17" t="s">
        <v>42</v>
      </c>
      <c r="R21" s="16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 t="s">
        <v>42</v>
      </c>
      <c r="AD21" s="17" t="s">
        <v>42</v>
      </c>
      <c r="AE21" s="17" t="s">
        <v>42</v>
      </c>
      <c r="AF21" s="17" t="s">
        <v>42</v>
      </c>
      <c r="AG21" s="25"/>
      <c r="AH21"/>
      <c r="AI21"/>
      <c r="AJ21"/>
    </row>
    <row r="22" spans="1:49" x14ac:dyDescent="0.25">
      <c r="A22" s="20" t="s">
        <v>74</v>
      </c>
      <c r="B22" s="21" t="s">
        <v>75</v>
      </c>
      <c r="D22" s="22"/>
      <c r="E22" s="22" t="s">
        <v>42</v>
      </c>
      <c r="F22" s="22" t="s">
        <v>42</v>
      </c>
      <c r="G22" s="23" t="s">
        <v>42</v>
      </c>
      <c r="H22" s="22" t="s">
        <v>42</v>
      </c>
      <c r="I22" s="22" t="s">
        <v>42</v>
      </c>
      <c r="J22" s="22" t="s">
        <v>42</v>
      </c>
      <c r="K22" s="22" t="s">
        <v>42</v>
      </c>
      <c r="L22" s="22" t="s">
        <v>42</v>
      </c>
      <c r="M22" s="22" t="s">
        <v>42</v>
      </c>
      <c r="N22" s="22" t="s">
        <v>42</v>
      </c>
      <c r="O22" s="23" t="s">
        <v>42</v>
      </c>
      <c r="P22" s="22" t="s">
        <v>42</v>
      </c>
      <c r="Q22" s="22" t="s">
        <v>42</v>
      </c>
      <c r="R22" s="24"/>
      <c r="S22" s="23"/>
      <c r="T22" s="23" t="s">
        <v>42</v>
      </c>
      <c r="U22" s="23" t="s">
        <v>42</v>
      </c>
      <c r="V22" s="23" t="s">
        <v>42</v>
      </c>
      <c r="W22" s="23" t="s">
        <v>42</v>
      </c>
      <c r="X22" s="23" t="s">
        <v>42</v>
      </c>
      <c r="Y22" s="22" t="s">
        <v>42</v>
      </c>
      <c r="Z22" s="22" t="s">
        <v>42</v>
      </c>
      <c r="AA22" s="22" t="s">
        <v>42</v>
      </c>
      <c r="AB22" s="22" t="s">
        <v>42</v>
      </c>
      <c r="AC22" s="22" t="s">
        <v>42</v>
      </c>
      <c r="AD22" s="23" t="s">
        <v>42</v>
      </c>
      <c r="AE22" s="22" t="s">
        <v>42</v>
      </c>
      <c r="AF22" s="22" t="s">
        <v>42</v>
      </c>
      <c r="AG22" s="25"/>
      <c r="AH22" s="26"/>
      <c r="AI22" s="26"/>
      <c r="AK22" t="s">
        <v>739</v>
      </c>
    </row>
    <row r="23" spans="1:49" x14ac:dyDescent="0.25">
      <c r="A23" s="29" t="s">
        <v>76</v>
      </c>
      <c r="B23" s="30" t="s">
        <v>77</v>
      </c>
      <c r="D23" s="14"/>
      <c r="E23" s="14"/>
      <c r="F23" s="14"/>
      <c r="G23" s="15"/>
      <c r="H23" s="14"/>
      <c r="I23" s="14"/>
      <c r="J23" s="14"/>
      <c r="K23" s="14"/>
      <c r="L23" s="14"/>
      <c r="M23" s="14"/>
      <c r="R23" s="24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G23" s="25"/>
    </row>
    <row r="24" spans="1:49" ht="17.100000000000001" customHeight="1" x14ac:dyDescent="0.25">
      <c r="A24" s="20" t="s">
        <v>79</v>
      </c>
      <c r="B24" s="21" t="s">
        <v>80</v>
      </c>
      <c r="D24" s="22"/>
      <c r="E24" s="22"/>
      <c r="F24" s="22"/>
      <c r="G24" s="23"/>
      <c r="H24" s="22"/>
      <c r="I24" s="22"/>
      <c r="J24" s="22"/>
      <c r="K24" s="22"/>
      <c r="L24" s="22"/>
      <c r="M24" s="22"/>
      <c r="R24" s="24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G24" s="25"/>
      <c r="AH24" s="26" t="s">
        <v>42</v>
      </c>
      <c r="AI24" s="26"/>
      <c r="AK24" t="s">
        <v>740</v>
      </c>
    </row>
    <row r="25" spans="1:49" x14ac:dyDescent="0.25">
      <c r="A25" s="20" t="s">
        <v>81</v>
      </c>
      <c r="B25" s="21" t="s">
        <v>82</v>
      </c>
      <c r="D25" s="22"/>
      <c r="E25" s="22"/>
      <c r="F25" s="22"/>
      <c r="G25" s="23"/>
      <c r="H25" s="22"/>
      <c r="I25" s="22"/>
      <c r="J25" s="22"/>
      <c r="K25" s="22"/>
      <c r="L25" s="22"/>
      <c r="M25" s="22"/>
      <c r="R25" s="24"/>
      <c r="S25" s="23" t="s">
        <v>42</v>
      </c>
      <c r="T25" s="23" t="s">
        <v>42</v>
      </c>
      <c r="U25" s="23" t="s">
        <v>42</v>
      </c>
      <c r="V25" s="23" t="s">
        <v>42</v>
      </c>
      <c r="W25" s="23" t="s">
        <v>42</v>
      </c>
      <c r="X25" s="23" t="s">
        <v>42</v>
      </c>
      <c r="Y25" s="23" t="s">
        <v>42</v>
      </c>
      <c r="Z25" s="23" t="s">
        <v>42</v>
      </c>
      <c r="AA25" s="23" t="s">
        <v>42</v>
      </c>
      <c r="AB25" s="23" t="s">
        <v>42</v>
      </c>
      <c r="AC25" s="23" t="s">
        <v>42</v>
      </c>
      <c r="AD25" s="23" t="s">
        <v>42</v>
      </c>
      <c r="AE25" s="23" t="s">
        <v>42</v>
      </c>
      <c r="AF25" s="23" t="s">
        <v>42</v>
      </c>
      <c r="AG25" s="25"/>
      <c r="AH25" s="26"/>
      <c r="AI25" s="26" t="s">
        <v>42</v>
      </c>
      <c r="AK25" t="s">
        <v>741</v>
      </c>
    </row>
    <row r="26" spans="1:49" x14ac:dyDescent="0.25">
      <c r="A26" s="20" t="s">
        <v>83</v>
      </c>
      <c r="B26" s="21" t="s">
        <v>84</v>
      </c>
      <c r="D26" s="22"/>
      <c r="E26" s="22"/>
      <c r="F26" s="22"/>
      <c r="G26" s="23"/>
      <c r="H26" s="22"/>
      <c r="I26" s="22"/>
      <c r="J26" s="22"/>
      <c r="K26" s="22"/>
      <c r="L26" s="22"/>
      <c r="M26" s="22"/>
      <c r="R26" s="24"/>
      <c r="S26" s="23" t="s">
        <v>42</v>
      </c>
      <c r="T26" s="23" t="s">
        <v>42</v>
      </c>
      <c r="U26" s="23" t="s">
        <v>42</v>
      </c>
      <c r="V26" s="23" t="s">
        <v>42</v>
      </c>
      <c r="W26" s="23" t="s">
        <v>42</v>
      </c>
      <c r="X26" s="23" t="s">
        <v>42</v>
      </c>
      <c r="Y26" s="23" t="s">
        <v>42</v>
      </c>
      <c r="Z26" s="23" t="s">
        <v>42</v>
      </c>
      <c r="AA26" s="23" t="s">
        <v>42</v>
      </c>
      <c r="AB26" s="23" t="s">
        <v>42</v>
      </c>
      <c r="AC26" s="23" t="s">
        <v>42</v>
      </c>
      <c r="AD26" s="23" t="s">
        <v>42</v>
      </c>
      <c r="AE26" s="23" t="s">
        <v>42</v>
      </c>
      <c r="AF26" s="23" t="s">
        <v>42</v>
      </c>
      <c r="AG26" s="25"/>
      <c r="AH26" s="26"/>
      <c r="AI26" s="26" t="s">
        <v>42</v>
      </c>
      <c r="AK26" t="s">
        <v>742</v>
      </c>
    </row>
    <row r="27" spans="1:49" x14ac:dyDescent="0.25">
      <c r="A27" t="s">
        <v>659</v>
      </c>
      <c r="B27" s="32" t="s">
        <v>86</v>
      </c>
      <c r="C27"/>
      <c r="D27" s="22" t="s">
        <v>78</v>
      </c>
      <c r="E27" s="22" t="s">
        <v>78</v>
      </c>
      <c r="F27" s="22" t="s">
        <v>78</v>
      </c>
      <c r="G27" s="23" t="s">
        <v>78</v>
      </c>
      <c r="H27" s="22" t="s">
        <v>78</v>
      </c>
      <c r="I27" s="22" t="s">
        <v>78</v>
      </c>
      <c r="J27" s="22" t="s">
        <v>78</v>
      </c>
      <c r="K27" s="22" t="s">
        <v>78</v>
      </c>
      <c r="L27" s="22" t="s">
        <v>78</v>
      </c>
      <c r="M27" s="22" t="s">
        <v>78</v>
      </c>
      <c r="N27" s="22" t="s">
        <v>78</v>
      </c>
      <c r="O27" s="23" t="s">
        <v>78</v>
      </c>
      <c r="P27" s="22" t="s">
        <v>78</v>
      </c>
      <c r="Q27" s="22" t="s">
        <v>78</v>
      </c>
      <c r="R27" s="24"/>
      <c r="S27" s="23" t="s">
        <v>78</v>
      </c>
      <c r="T27" s="23" t="s">
        <v>78</v>
      </c>
      <c r="U27" s="23" t="s">
        <v>78</v>
      </c>
      <c r="V27" s="23" t="s">
        <v>78</v>
      </c>
      <c r="W27" s="23" t="s">
        <v>78</v>
      </c>
      <c r="X27" s="23" t="s">
        <v>78</v>
      </c>
      <c r="Y27" s="23" t="s">
        <v>78</v>
      </c>
      <c r="Z27" s="23" t="s">
        <v>78</v>
      </c>
      <c r="AA27" s="23" t="s">
        <v>78</v>
      </c>
      <c r="AB27" s="23" t="s">
        <v>78</v>
      </c>
      <c r="AC27" s="22" t="s">
        <v>78</v>
      </c>
      <c r="AD27" s="23" t="s">
        <v>78</v>
      </c>
      <c r="AE27" s="22" t="s">
        <v>78</v>
      </c>
      <c r="AF27" s="22" t="s">
        <v>78</v>
      </c>
      <c r="AG27" s="25"/>
      <c r="AH27" s="26"/>
      <c r="AI27" s="26"/>
      <c r="AJ27" s="26"/>
      <c r="AK27" s="26"/>
      <c r="AL27" s="26"/>
      <c r="AR27" s="26"/>
      <c r="AS27" s="26"/>
      <c r="AT27" s="26"/>
      <c r="AU27" s="26"/>
      <c r="AV27" s="26"/>
      <c r="AW27" s="26"/>
    </row>
    <row r="28" spans="1:49" x14ac:dyDescent="0.25">
      <c r="A28" s="31" t="s">
        <v>85</v>
      </c>
      <c r="B28" t="s">
        <v>851</v>
      </c>
      <c r="C28"/>
      <c r="D28" s="22"/>
      <c r="E28" s="17" t="s">
        <v>42</v>
      </c>
      <c r="F28" s="17" t="s">
        <v>42</v>
      </c>
      <c r="G28" s="17" t="s">
        <v>42</v>
      </c>
      <c r="H28" s="17" t="s">
        <v>42</v>
      </c>
      <c r="I28" s="17" t="s">
        <v>42</v>
      </c>
      <c r="J28" s="17" t="s">
        <v>42</v>
      </c>
      <c r="K28" s="17" t="s">
        <v>42</v>
      </c>
      <c r="L28" s="17" t="s">
        <v>42</v>
      </c>
      <c r="M28" s="17" t="s">
        <v>42</v>
      </c>
      <c r="N28" s="17" t="s">
        <v>42</v>
      </c>
      <c r="O28" s="17" t="s">
        <v>42</v>
      </c>
      <c r="P28" s="17" t="s">
        <v>42</v>
      </c>
      <c r="Q28" s="17" t="s">
        <v>42</v>
      </c>
      <c r="R28" s="24"/>
      <c r="S28" s="17"/>
      <c r="T28" s="17" t="s">
        <v>42</v>
      </c>
      <c r="U28" s="17" t="s">
        <v>42</v>
      </c>
      <c r="V28" s="17" t="s">
        <v>42</v>
      </c>
      <c r="W28" s="17" t="s">
        <v>42</v>
      </c>
      <c r="X28" s="17" t="s">
        <v>42</v>
      </c>
      <c r="Y28" s="17" t="s">
        <v>42</v>
      </c>
      <c r="Z28" s="17" t="s">
        <v>42</v>
      </c>
      <c r="AA28" s="17" t="s">
        <v>42</v>
      </c>
      <c r="AB28" s="17" t="s">
        <v>42</v>
      </c>
      <c r="AC28" s="17" t="s">
        <v>42</v>
      </c>
      <c r="AD28" s="17" t="s">
        <v>42</v>
      </c>
      <c r="AE28" s="17" t="s">
        <v>42</v>
      </c>
      <c r="AF28" s="17" t="s">
        <v>42</v>
      </c>
      <c r="AG28" s="25"/>
      <c r="AH28" s="26"/>
      <c r="AI28" s="26"/>
      <c r="AJ28" s="26"/>
      <c r="AK28" s="26"/>
      <c r="AL28" s="26"/>
      <c r="AR28" s="26"/>
      <c r="AS28" s="26"/>
      <c r="AT28" s="26"/>
      <c r="AU28" s="26"/>
      <c r="AV28" s="26"/>
      <c r="AW28" s="26"/>
    </row>
    <row r="29" spans="1:49" x14ac:dyDescent="0.25">
      <c r="A29" s="18" t="s">
        <v>87</v>
      </c>
      <c r="B29" s="19" t="s">
        <v>88</v>
      </c>
      <c r="D29" s="14"/>
      <c r="E29" s="14"/>
      <c r="F29" s="14"/>
      <c r="G29" s="15"/>
      <c r="H29" s="14"/>
      <c r="I29" s="14"/>
      <c r="J29" s="14"/>
      <c r="K29" s="14"/>
      <c r="L29" s="14"/>
      <c r="M29" s="14"/>
      <c r="R29" s="24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49" x14ac:dyDescent="0.25">
      <c r="A30" s="20" t="s">
        <v>89</v>
      </c>
      <c r="B30" s="21" t="s">
        <v>90</v>
      </c>
      <c r="D30" s="22" t="s">
        <v>42</v>
      </c>
      <c r="E30" s="22" t="s">
        <v>42</v>
      </c>
      <c r="F30" s="22" t="s">
        <v>42</v>
      </c>
      <c r="G30" s="23" t="s">
        <v>42</v>
      </c>
      <c r="H30" s="22" t="s">
        <v>42</v>
      </c>
      <c r="I30" s="22" t="s">
        <v>42</v>
      </c>
      <c r="J30" s="22"/>
      <c r="K30" s="22"/>
      <c r="L30" s="22"/>
      <c r="M30" s="22"/>
      <c r="R30" s="24"/>
      <c r="S30" s="23" t="s">
        <v>42</v>
      </c>
      <c r="T30" s="23" t="s">
        <v>42</v>
      </c>
      <c r="U30" s="23" t="s">
        <v>42</v>
      </c>
      <c r="V30" s="23" t="s">
        <v>42</v>
      </c>
      <c r="W30" s="23" t="s">
        <v>42</v>
      </c>
      <c r="X30" s="23" t="s">
        <v>42</v>
      </c>
      <c r="Y30" s="23"/>
      <c r="Z30" s="23"/>
      <c r="AA30" s="23"/>
      <c r="AB30" s="23"/>
      <c r="AC30" s="23"/>
      <c r="AD30" s="23"/>
      <c r="AE30" s="23"/>
      <c r="AF30" s="23"/>
      <c r="AG30" s="25"/>
      <c r="AH30" s="26"/>
      <c r="AI30" s="26"/>
      <c r="AK30" t="s">
        <v>743</v>
      </c>
    </row>
    <row r="31" spans="1:49" x14ac:dyDescent="0.25">
      <c r="A31" s="20" t="s">
        <v>91</v>
      </c>
      <c r="B31" s="21" t="s">
        <v>92</v>
      </c>
      <c r="D31" s="22" t="s">
        <v>42</v>
      </c>
      <c r="E31" s="22" t="s">
        <v>42</v>
      </c>
      <c r="F31" s="22" t="s">
        <v>42</v>
      </c>
      <c r="G31" s="23" t="s">
        <v>42</v>
      </c>
      <c r="H31" s="22" t="s">
        <v>42</v>
      </c>
      <c r="I31" s="22" t="s">
        <v>42</v>
      </c>
      <c r="J31" s="22"/>
      <c r="K31" s="22"/>
      <c r="L31" s="22"/>
      <c r="M31" s="22"/>
      <c r="R31" s="24"/>
      <c r="S31" s="23" t="s">
        <v>42</v>
      </c>
      <c r="T31" s="23" t="s">
        <v>42</v>
      </c>
      <c r="U31" s="23" t="s">
        <v>42</v>
      </c>
      <c r="V31" s="23" t="s">
        <v>42</v>
      </c>
      <c r="W31" s="23" t="s">
        <v>42</v>
      </c>
      <c r="X31" s="23" t="s">
        <v>42</v>
      </c>
      <c r="Y31" s="23"/>
      <c r="Z31" s="23"/>
      <c r="AA31" s="23"/>
      <c r="AB31" s="23"/>
      <c r="AC31" s="23"/>
      <c r="AD31" s="23"/>
      <c r="AE31" s="23"/>
      <c r="AF31" s="23"/>
      <c r="AG31" s="25"/>
      <c r="AH31" s="26"/>
      <c r="AI31" s="26"/>
      <c r="AK31" t="s">
        <v>744</v>
      </c>
    </row>
    <row r="32" spans="1:49" x14ac:dyDescent="0.25">
      <c r="A32" s="20" t="s">
        <v>93</v>
      </c>
      <c r="B32" s="21" t="s">
        <v>94</v>
      </c>
      <c r="C32" t="s">
        <v>95</v>
      </c>
      <c r="D32" s="22" t="s">
        <v>42</v>
      </c>
      <c r="E32" s="22" t="s">
        <v>42</v>
      </c>
      <c r="F32" s="22" t="s">
        <v>42</v>
      </c>
      <c r="G32" s="23" t="s">
        <v>42</v>
      </c>
      <c r="H32" s="22" t="s">
        <v>42</v>
      </c>
      <c r="I32" s="22" t="s">
        <v>42</v>
      </c>
      <c r="J32" s="22"/>
      <c r="K32" s="22"/>
      <c r="L32" s="22"/>
      <c r="M32" s="22"/>
      <c r="R32" s="24"/>
      <c r="S32" s="23" t="s">
        <v>42</v>
      </c>
      <c r="T32" s="23" t="s">
        <v>42</v>
      </c>
      <c r="U32" s="23" t="s">
        <v>42</v>
      </c>
      <c r="V32" s="23" t="s">
        <v>42</v>
      </c>
      <c r="W32" s="23" t="s">
        <v>42</v>
      </c>
      <c r="X32" s="23" t="s">
        <v>42</v>
      </c>
      <c r="Y32" s="23"/>
      <c r="Z32" s="23"/>
      <c r="AA32" s="23"/>
      <c r="AB32" s="23"/>
      <c r="AC32" s="23"/>
      <c r="AD32" s="23"/>
      <c r="AE32" s="23"/>
      <c r="AF32" s="23"/>
      <c r="AG32" s="25"/>
      <c r="AH32" s="26"/>
      <c r="AI32" s="26"/>
      <c r="AK32" t="s">
        <v>745</v>
      </c>
    </row>
    <row r="33" spans="1:37" x14ac:dyDescent="0.25">
      <c r="A33" s="20" t="s">
        <v>96</v>
      </c>
      <c r="B33" s="21" t="s">
        <v>97</v>
      </c>
      <c r="D33" s="22" t="s">
        <v>42</v>
      </c>
      <c r="E33" s="22" t="s">
        <v>42</v>
      </c>
      <c r="F33" s="22" t="s">
        <v>42</v>
      </c>
      <c r="G33" s="23"/>
      <c r="H33" s="22"/>
      <c r="I33" s="22"/>
      <c r="J33" s="22" t="s">
        <v>42</v>
      </c>
      <c r="K33" s="22"/>
      <c r="L33" s="22"/>
      <c r="M33" s="22"/>
      <c r="N33" s="22" t="s">
        <v>42</v>
      </c>
      <c r="O33" s="23"/>
      <c r="P33" s="22"/>
      <c r="Q33" s="22"/>
      <c r="R33" s="24"/>
      <c r="S33" s="23" t="s">
        <v>42</v>
      </c>
      <c r="T33" s="23" t="s">
        <v>42</v>
      </c>
      <c r="U33" s="23" t="s">
        <v>42</v>
      </c>
      <c r="V33" s="23"/>
      <c r="W33" s="23"/>
      <c r="X33" s="23"/>
      <c r="Y33" s="23" t="s">
        <v>42</v>
      </c>
      <c r="Z33" s="23"/>
      <c r="AA33" s="23"/>
      <c r="AB33" s="23"/>
      <c r="AC33" s="23" t="s">
        <v>42</v>
      </c>
      <c r="AD33" s="23"/>
      <c r="AE33" s="23"/>
      <c r="AF33" s="23"/>
      <c r="AG33" s="25"/>
      <c r="AH33" s="26"/>
      <c r="AI33" s="26"/>
      <c r="AK33" t="s">
        <v>746</v>
      </c>
    </row>
    <row r="34" spans="1:37" x14ac:dyDescent="0.25">
      <c r="A34" s="20" t="s">
        <v>98</v>
      </c>
      <c r="B34" s="21" t="s">
        <v>99</v>
      </c>
      <c r="D34" s="22" t="s">
        <v>42</v>
      </c>
      <c r="E34" s="22" t="s">
        <v>42</v>
      </c>
      <c r="F34" s="22" t="s">
        <v>42</v>
      </c>
      <c r="G34" s="23"/>
      <c r="H34" s="22"/>
      <c r="I34" s="22"/>
      <c r="J34" s="22" t="s">
        <v>42</v>
      </c>
      <c r="K34" s="22"/>
      <c r="L34" s="22"/>
      <c r="M34" s="22"/>
      <c r="N34" s="22" t="s">
        <v>42</v>
      </c>
      <c r="O34" s="23"/>
      <c r="P34" s="22"/>
      <c r="Q34" s="22"/>
      <c r="R34" s="24"/>
      <c r="S34" s="23" t="s">
        <v>42</v>
      </c>
      <c r="T34" s="23" t="s">
        <v>42</v>
      </c>
      <c r="U34" s="23" t="s">
        <v>42</v>
      </c>
      <c r="V34" s="23"/>
      <c r="W34" s="23"/>
      <c r="X34" s="23"/>
      <c r="Y34" s="23" t="s">
        <v>42</v>
      </c>
      <c r="Z34" s="23"/>
      <c r="AA34" s="23"/>
      <c r="AB34" s="23"/>
      <c r="AC34" s="23" t="s">
        <v>42</v>
      </c>
      <c r="AD34" s="23"/>
      <c r="AE34" s="23"/>
      <c r="AF34" s="23"/>
      <c r="AG34" s="25"/>
      <c r="AH34" s="26"/>
      <c r="AI34" s="26"/>
      <c r="AK34" t="s">
        <v>747</v>
      </c>
    </row>
    <row r="35" spans="1:37" x14ac:dyDescent="0.25">
      <c r="A35" s="20" t="s">
        <v>100</v>
      </c>
      <c r="B35" s="27" t="s">
        <v>101</v>
      </c>
      <c r="C35" s="13" t="s">
        <v>102</v>
      </c>
      <c r="D35" s="22" t="s">
        <v>42</v>
      </c>
      <c r="E35" s="22" t="s">
        <v>42</v>
      </c>
      <c r="F35" s="22" t="s">
        <v>42</v>
      </c>
      <c r="G35" s="23" t="s">
        <v>42</v>
      </c>
      <c r="H35" s="22" t="s">
        <v>42</v>
      </c>
      <c r="I35" s="22" t="s">
        <v>42</v>
      </c>
      <c r="J35" s="22" t="s">
        <v>42</v>
      </c>
      <c r="K35" s="22" t="s">
        <v>42</v>
      </c>
      <c r="L35" s="22" t="s">
        <v>42</v>
      </c>
      <c r="M35" s="22" t="s">
        <v>42</v>
      </c>
      <c r="N35" s="22" t="s">
        <v>42</v>
      </c>
      <c r="O35" s="23" t="s">
        <v>42</v>
      </c>
      <c r="P35" s="22" t="s">
        <v>42</v>
      </c>
      <c r="Q35" s="22" t="s">
        <v>42</v>
      </c>
      <c r="R35" s="24"/>
      <c r="S35" s="23" t="s">
        <v>42</v>
      </c>
      <c r="T35" s="23" t="s">
        <v>42</v>
      </c>
      <c r="U35" s="23" t="s">
        <v>42</v>
      </c>
      <c r="V35" s="23" t="s">
        <v>42</v>
      </c>
      <c r="W35" s="23" t="s">
        <v>42</v>
      </c>
      <c r="X35" s="23" t="s">
        <v>42</v>
      </c>
      <c r="Y35" s="23" t="s">
        <v>42</v>
      </c>
      <c r="Z35" s="23" t="s">
        <v>42</v>
      </c>
      <c r="AA35" s="23" t="s">
        <v>42</v>
      </c>
      <c r="AB35" s="23" t="s">
        <v>42</v>
      </c>
      <c r="AC35" s="23" t="s">
        <v>42</v>
      </c>
      <c r="AD35" s="23" t="s">
        <v>42</v>
      </c>
      <c r="AE35" s="23" t="s">
        <v>42</v>
      </c>
      <c r="AF35" s="23" t="s">
        <v>42</v>
      </c>
      <c r="AG35" s="25"/>
      <c r="AH35" s="26"/>
      <c r="AI35" s="26"/>
      <c r="AK35" t="s">
        <v>748</v>
      </c>
    </row>
    <row r="36" spans="1:37" x14ac:dyDescent="0.25">
      <c r="A36" s="20" t="s">
        <v>103</v>
      </c>
      <c r="B36" s="21" t="s">
        <v>104</v>
      </c>
      <c r="C36"/>
      <c r="D36" s="22" t="s">
        <v>42</v>
      </c>
      <c r="E36" s="22" t="s">
        <v>42</v>
      </c>
      <c r="F36" s="22" t="s">
        <v>42</v>
      </c>
      <c r="G36" s="23" t="s">
        <v>42</v>
      </c>
      <c r="H36" s="22"/>
      <c r="I36" s="22" t="s">
        <v>42</v>
      </c>
      <c r="J36" s="22" t="s">
        <v>42</v>
      </c>
      <c r="K36" s="22" t="s">
        <v>42</v>
      </c>
      <c r="L36" s="22"/>
      <c r="M36" s="22" t="s">
        <v>42</v>
      </c>
      <c r="N36" s="22" t="s">
        <v>42</v>
      </c>
      <c r="O36" s="23" t="s">
        <v>42</v>
      </c>
      <c r="P36" s="22"/>
      <c r="Q36" s="22" t="s">
        <v>42</v>
      </c>
      <c r="R36" s="24"/>
      <c r="S36" s="23" t="s">
        <v>42</v>
      </c>
      <c r="T36" s="23" t="s">
        <v>42</v>
      </c>
      <c r="U36" s="23" t="s">
        <v>42</v>
      </c>
      <c r="V36" s="23" t="s">
        <v>42</v>
      </c>
      <c r="W36" s="23"/>
      <c r="X36" s="23" t="s">
        <v>42</v>
      </c>
      <c r="Y36" s="23" t="s">
        <v>42</v>
      </c>
      <c r="Z36" s="23" t="s">
        <v>42</v>
      </c>
      <c r="AA36" s="23"/>
      <c r="AB36" s="23" t="s">
        <v>42</v>
      </c>
      <c r="AC36" s="23" t="s">
        <v>42</v>
      </c>
      <c r="AD36" s="23" t="s">
        <v>42</v>
      </c>
      <c r="AE36" s="23"/>
      <c r="AF36" s="23" t="s">
        <v>42</v>
      </c>
      <c r="AG36" s="25"/>
      <c r="AH36" s="26"/>
      <c r="AI36" s="26"/>
      <c r="AK36" t="s">
        <v>749</v>
      </c>
    </row>
    <row r="37" spans="1:37" x14ac:dyDescent="0.25">
      <c r="A37" s="20" t="s">
        <v>105</v>
      </c>
      <c r="B37" s="21" t="s">
        <v>106</v>
      </c>
      <c r="D37" s="22" t="s">
        <v>42</v>
      </c>
      <c r="E37" s="22" t="s">
        <v>42</v>
      </c>
      <c r="F37" s="22" t="s">
        <v>42</v>
      </c>
      <c r="G37" s="23" t="s">
        <v>42</v>
      </c>
      <c r="H37" s="22"/>
      <c r="I37" s="22" t="s">
        <v>78</v>
      </c>
      <c r="J37" s="22" t="s">
        <v>42</v>
      </c>
      <c r="K37" s="22" t="s">
        <v>42</v>
      </c>
      <c r="L37" s="22"/>
      <c r="M37" s="22" t="s">
        <v>78</v>
      </c>
      <c r="N37" s="22" t="s">
        <v>42</v>
      </c>
      <c r="O37" s="23" t="s">
        <v>42</v>
      </c>
      <c r="P37" s="22"/>
      <c r="Q37" s="22" t="s">
        <v>78</v>
      </c>
      <c r="R37" s="24"/>
      <c r="S37" s="23" t="s">
        <v>42</v>
      </c>
      <c r="T37" s="23" t="s">
        <v>42</v>
      </c>
      <c r="U37" s="23" t="s">
        <v>42</v>
      </c>
      <c r="V37" s="23" t="s">
        <v>42</v>
      </c>
      <c r="W37" s="23"/>
      <c r="X37" s="23" t="s">
        <v>78</v>
      </c>
      <c r="Y37" s="23" t="s">
        <v>42</v>
      </c>
      <c r="Z37" s="23" t="s">
        <v>42</v>
      </c>
      <c r="AA37" s="23"/>
      <c r="AB37" s="23" t="s">
        <v>78</v>
      </c>
      <c r="AC37" s="23" t="s">
        <v>42</v>
      </c>
      <c r="AD37" s="23" t="s">
        <v>42</v>
      </c>
      <c r="AE37" s="23"/>
      <c r="AF37" s="23" t="s">
        <v>78</v>
      </c>
      <c r="AG37" s="25"/>
      <c r="AH37" s="26"/>
      <c r="AI37" s="26"/>
      <c r="AK37" t="s">
        <v>750</v>
      </c>
    </row>
    <row r="38" spans="1:37" ht="30" x14ac:dyDescent="0.25">
      <c r="A38" s="20" t="s">
        <v>107</v>
      </c>
      <c r="B38" s="21" t="s">
        <v>108</v>
      </c>
      <c r="C38" s="13" t="s">
        <v>844</v>
      </c>
      <c r="D38" s="22" t="s">
        <v>42</v>
      </c>
      <c r="E38" s="22" t="s">
        <v>42</v>
      </c>
      <c r="F38" s="22" t="s">
        <v>42</v>
      </c>
      <c r="G38" s="23" t="s">
        <v>42</v>
      </c>
      <c r="H38" s="22" t="s">
        <v>42</v>
      </c>
      <c r="I38" s="22" t="s">
        <v>42</v>
      </c>
      <c r="J38" s="22" t="s">
        <v>42</v>
      </c>
      <c r="K38" s="22" t="s">
        <v>42</v>
      </c>
      <c r="L38" s="22" t="s">
        <v>42</v>
      </c>
      <c r="M38" s="22" t="s">
        <v>42</v>
      </c>
      <c r="N38" s="22" t="s">
        <v>42</v>
      </c>
      <c r="O38" s="23" t="s">
        <v>42</v>
      </c>
      <c r="P38" s="22" t="s">
        <v>42</v>
      </c>
      <c r="Q38" s="22" t="s">
        <v>42</v>
      </c>
      <c r="R38" s="24"/>
      <c r="S38" s="23" t="s">
        <v>42</v>
      </c>
      <c r="T38" s="23" t="s">
        <v>42</v>
      </c>
      <c r="U38" s="23" t="s">
        <v>42</v>
      </c>
      <c r="V38" s="23" t="s">
        <v>42</v>
      </c>
      <c r="W38" s="23" t="s">
        <v>42</v>
      </c>
      <c r="X38" s="23" t="s">
        <v>42</v>
      </c>
      <c r="Y38" s="23" t="s">
        <v>42</v>
      </c>
      <c r="Z38" s="23" t="s">
        <v>42</v>
      </c>
      <c r="AA38" s="23" t="s">
        <v>42</v>
      </c>
      <c r="AB38" s="23" t="s">
        <v>42</v>
      </c>
      <c r="AC38" s="23" t="s">
        <v>42</v>
      </c>
      <c r="AD38" s="23" t="s">
        <v>42</v>
      </c>
      <c r="AE38" s="23" t="s">
        <v>42</v>
      </c>
      <c r="AF38" s="23" t="s">
        <v>42</v>
      </c>
      <c r="AG38" s="25"/>
      <c r="AH38" s="26"/>
      <c r="AI38" s="26"/>
      <c r="AK38" t="s">
        <v>751</v>
      </c>
    </row>
    <row r="39" spans="1:37" x14ac:dyDescent="0.25">
      <c r="A39" s="20" t="s">
        <v>109</v>
      </c>
      <c r="B39" s="21" t="s">
        <v>110</v>
      </c>
      <c r="D39" s="22" t="s">
        <v>42</v>
      </c>
      <c r="E39" s="22" t="s">
        <v>42</v>
      </c>
      <c r="F39" s="22" t="s">
        <v>42</v>
      </c>
      <c r="G39" s="23" t="s">
        <v>42</v>
      </c>
      <c r="H39" s="22" t="s">
        <v>42</v>
      </c>
      <c r="I39" s="22" t="s">
        <v>42</v>
      </c>
      <c r="J39" s="22" t="s">
        <v>42</v>
      </c>
      <c r="K39" s="22" t="s">
        <v>42</v>
      </c>
      <c r="L39" s="22" t="s">
        <v>42</v>
      </c>
      <c r="M39" s="22" t="s">
        <v>42</v>
      </c>
      <c r="N39" s="22" t="s">
        <v>42</v>
      </c>
      <c r="O39" s="23" t="s">
        <v>42</v>
      </c>
      <c r="P39" s="22" t="s">
        <v>42</v>
      </c>
      <c r="Q39" s="22" t="s">
        <v>42</v>
      </c>
      <c r="R39" s="24"/>
      <c r="S39" s="23" t="s">
        <v>42</v>
      </c>
      <c r="T39" s="23" t="s">
        <v>42</v>
      </c>
      <c r="U39" s="23" t="s">
        <v>42</v>
      </c>
      <c r="V39" s="23" t="s">
        <v>42</v>
      </c>
      <c r="W39" s="23" t="s">
        <v>42</v>
      </c>
      <c r="X39" s="23" t="s">
        <v>42</v>
      </c>
      <c r="Y39" s="23" t="s">
        <v>42</v>
      </c>
      <c r="Z39" s="23" t="s">
        <v>42</v>
      </c>
      <c r="AA39" s="23" t="s">
        <v>42</v>
      </c>
      <c r="AB39" s="23" t="s">
        <v>42</v>
      </c>
      <c r="AC39" s="23" t="s">
        <v>42</v>
      </c>
      <c r="AD39" s="23" t="s">
        <v>42</v>
      </c>
      <c r="AE39" s="23" t="s">
        <v>42</v>
      </c>
      <c r="AF39" s="23" t="s">
        <v>42</v>
      </c>
      <c r="AG39" s="25"/>
      <c r="AH39" s="26"/>
      <c r="AI39" s="26"/>
      <c r="AK39" t="s">
        <v>752</v>
      </c>
    </row>
    <row r="40" spans="1:37" ht="30" x14ac:dyDescent="0.25">
      <c r="A40" s="20" t="s">
        <v>111</v>
      </c>
      <c r="B40" s="27" t="s">
        <v>112</v>
      </c>
      <c r="D40" s="22" t="s">
        <v>42</v>
      </c>
      <c r="E40" s="22" t="s">
        <v>42</v>
      </c>
      <c r="F40" s="22" t="s">
        <v>42</v>
      </c>
      <c r="G40" s="23" t="s">
        <v>42</v>
      </c>
      <c r="H40" s="22" t="s">
        <v>42</v>
      </c>
      <c r="I40" s="22" t="s">
        <v>42</v>
      </c>
      <c r="J40" s="22" t="s">
        <v>42</v>
      </c>
      <c r="K40" s="22" t="s">
        <v>42</v>
      </c>
      <c r="L40" s="22" t="s">
        <v>42</v>
      </c>
      <c r="M40" s="22" t="s">
        <v>42</v>
      </c>
      <c r="N40" s="22" t="s">
        <v>42</v>
      </c>
      <c r="O40" s="23" t="s">
        <v>42</v>
      </c>
      <c r="P40" s="22" t="s">
        <v>42</v>
      </c>
      <c r="Q40" s="22" t="s">
        <v>42</v>
      </c>
      <c r="R40" s="24"/>
      <c r="S40" s="23" t="s">
        <v>42</v>
      </c>
      <c r="T40" s="23" t="s">
        <v>42</v>
      </c>
      <c r="U40" s="23" t="s">
        <v>42</v>
      </c>
      <c r="V40" s="23" t="s">
        <v>42</v>
      </c>
      <c r="W40" s="23" t="s">
        <v>42</v>
      </c>
      <c r="X40" s="23" t="s">
        <v>42</v>
      </c>
      <c r="Y40" s="23" t="s">
        <v>42</v>
      </c>
      <c r="Z40" s="23" t="s">
        <v>42</v>
      </c>
      <c r="AA40" s="23" t="s">
        <v>42</v>
      </c>
      <c r="AB40" s="23" t="s">
        <v>42</v>
      </c>
      <c r="AC40" s="23" t="s">
        <v>42</v>
      </c>
      <c r="AD40" s="23" t="s">
        <v>42</v>
      </c>
      <c r="AE40" s="23" t="s">
        <v>42</v>
      </c>
      <c r="AF40" s="23" t="s">
        <v>42</v>
      </c>
      <c r="AG40" s="25"/>
      <c r="AH40" s="26"/>
      <c r="AI40" s="26"/>
      <c r="AK40" t="s">
        <v>753</v>
      </c>
    </row>
    <row r="41" spans="1:37" ht="37.5" customHeight="1" x14ac:dyDescent="0.25">
      <c r="A41" s="20" t="s">
        <v>113</v>
      </c>
      <c r="B41" s="27" t="s">
        <v>114</v>
      </c>
      <c r="D41" s="22" t="s">
        <v>42</v>
      </c>
      <c r="E41" s="22" t="s">
        <v>42</v>
      </c>
      <c r="F41" s="22" t="s">
        <v>42</v>
      </c>
      <c r="G41" s="23" t="s">
        <v>42</v>
      </c>
      <c r="H41" s="22" t="s">
        <v>42</v>
      </c>
      <c r="I41" s="22" t="s">
        <v>42</v>
      </c>
      <c r="J41" s="22" t="s">
        <v>42</v>
      </c>
      <c r="K41" s="22" t="s">
        <v>42</v>
      </c>
      <c r="L41" s="22" t="s">
        <v>42</v>
      </c>
      <c r="M41" s="22" t="s">
        <v>42</v>
      </c>
      <c r="N41" s="22" t="s">
        <v>42</v>
      </c>
      <c r="O41" s="23" t="s">
        <v>42</v>
      </c>
      <c r="P41" s="22" t="s">
        <v>42</v>
      </c>
      <c r="Q41" s="22" t="s">
        <v>42</v>
      </c>
      <c r="R41" s="24"/>
      <c r="S41" s="23" t="s">
        <v>42</v>
      </c>
      <c r="T41" s="23" t="s">
        <v>42</v>
      </c>
      <c r="U41" s="23" t="s">
        <v>42</v>
      </c>
      <c r="V41" s="23" t="s">
        <v>42</v>
      </c>
      <c r="W41" s="23" t="s">
        <v>42</v>
      </c>
      <c r="X41" s="23" t="s">
        <v>42</v>
      </c>
      <c r="Y41" s="23" t="s">
        <v>42</v>
      </c>
      <c r="Z41" s="23" t="s">
        <v>42</v>
      </c>
      <c r="AA41" s="23" t="s">
        <v>42</v>
      </c>
      <c r="AB41" s="23" t="s">
        <v>42</v>
      </c>
      <c r="AC41" s="23" t="s">
        <v>42</v>
      </c>
      <c r="AD41" s="23" t="s">
        <v>42</v>
      </c>
      <c r="AE41" s="23" t="s">
        <v>42</v>
      </c>
      <c r="AF41" s="23" t="s">
        <v>42</v>
      </c>
      <c r="AG41" s="25"/>
      <c r="AH41" s="26"/>
      <c r="AI41" s="26"/>
      <c r="AK41" t="s">
        <v>754</v>
      </c>
    </row>
    <row r="42" spans="1:37" x14ac:dyDescent="0.25">
      <c r="A42" s="20" t="s">
        <v>115</v>
      </c>
      <c r="B42" s="21" t="s">
        <v>116</v>
      </c>
      <c r="C42"/>
      <c r="D42" s="22" t="s">
        <v>42</v>
      </c>
      <c r="E42" s="22" t="s">
        <v>42</v>
      </c>
      <c r="F42" s="22" t="s">
        <v>42</v>
      </c>
      <c r="G42" s="23" t="s">
        <v>42</v>
      </c>
      <c r="H42" s="22" t="s">
        <v>42</v>
      </c>
      <c r="I42" s="22" t="s">
        <v>42</v>
      </c>
      <c r="J42" s="22"/>
      <c r="K42" s="22"/>
      <c r="L42" s="22"/>
      <c r="M42" s="22"/>
      <c r="R42" s="24"/>
      <c r="S42" s="23" t="s">
        <v>42</v>
      </c>
      <c r="T42" s="23" t="s">
        <v>42</v>
      </c>
      <c r="U42" s="23" t="s">
        <v>42</v>
      </c>
      <c r="V42" s="23" t="s">
        <v>42</v>
      </c>
      <c r="W42" s="23" t="s">
        <v>42</v>
      </c>
      <c r="X42" s="23" t="s">
        <v>42</v>
      </c>
      <c r="Y42" s="23"/>
      <c r="Z42" s="23"/>
      <c r="AA42" s="23"/>
      <c r="AB42" s="23"/>
      <c r="AC42" s="23"/>
      <c r="AD42" s="23"/>
      <c r="AE42" s="23"/>
      <c r="AF42" s="23"/>
      <c r="AG42" s="25"/>
      <c r="AK42" t="s">
        <v>755</v>
      </c>
    </row>
    <row r="43" spans="1:37" x14ac:dyDescent="0.25">
      <c r="A43" s="20" t="s">
        <v>117</v>
      </c>
      <c r="B43" s="21" t="s">
        <v>118</v>
      </c>
      <c r="C43" s="13" t="s">
        <v>119</v>
      </c>
      <c r="D43" s="22" t="s">
        <v>42</v>
      </c>
      <c r="E43" s="22"/>
      <c r="F43" s="22"/>
      <c r="G43" s="23"/>
      <c r="H43" s="22"/>
      <c r="I43" s="22"/>
      <c r="J43" s="22"/>
      <c r="K43" s="22"/>
      <c r="L43" s="22"/>
      <c r="M43" s="22"/>
      <c r="R43" s="24"/>
      <c r="S43" s="23" t="s">
        <v>42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K43" t="s">
        <v>756</v>
      </c>
    </row>
    <row r="44" spans="1:37" x14ac:dyDescent="0.25">
      <c r="A44" s="20" t="s">
        <v>120</v>
      </c>
      <c r="B44" s="21" t="s">
        <v>121</v>
      </c>
      <c r="C44" s="13" t="s">
        <v>119</v>
      </c>
      <c r="D44" s="22" t="s">
        <v>42</v>
      </c>
      <c r="E44" s="22"/>
      <c r="F44" s="22"/>
      <c r="G44" s="23"/>
      <c r="H44" s="22"/>
      <c r="I44" s="22"/>
      <c r="J44" s="22"/>
      <c r="K44" s="22"/>
      <c r="L44" s="22"/>
      <c r="M44" s="22"/>
      <c r="R44" s="24"/>
      <c r="S44" s="23" t="s">
        <v>42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K44" t="s">
        <v>757</v>
      </c>
    </row>
    <row r="45" spans="1:37" x14ac:dyDescent="0.25">
      <c r="A45" s="20" t="s">
        <v>122</v>
      </c>
      <c r="B45" s="21" t="s">
        <v>123</v>
      </c>
      <c r="C45"/>
      <c r="D45" s="22" t="s">
        <v>42</v>
      </c>
      <c r="E45" s="22" t="s">
        <v>42</v>
      </c>
      <c r="F45" s="22" t="s">
        <v>42</v>
      </c>
      <c r="G45" s="23" t="s">
        <v>42</v>
      </c>
      <c r="H45" s="22" t="s">
        <v>42</v>
      </c>
      <c r="I45" s="22" t="s">
        <v>42</v>
      </c>
      <c r="J45" s="22" t="s">
        <v>42</v>
      </c>
      <c r="K45" s="22" t="s">
        <v>42</v>
      </c>
      <c r="L45" s="22" t="s">
        <v>42</v>
      </c>
      <c r="M45" s="22" t="s">
        <v>42</v>
      </c>
      <c r="N45" s="22" t="s">
        <v>42</v>
      </c>
      <c r="O45" s="22" t="s">
        <v>42</v>
      </c>
      <c r="P45" s="22" t="s">
        <v>42</v>
      </c>
      <c r="Q45" s="22" t="s">
        <v>42</v>
      </c>
      <c r="R45" s="24"/>
      <c r="S45" s="23" t="s">
        <v>42</v>
      </c>
      <c r="T45" s="23" t="s">
        <v>42</v>
      </c>
      <c r="U45" s="23" t="s">
        <v>42</v>
      </c>
      <c r="V45" s="23" t="s">
        <v>42</v>
      </c>
      <c r="W45" s="23" t="s">
        <v>42</v>
      </c>
      <c r="X45" s="23" t="s">
        <v>42</v>
      </c>
      <c r="Y45" s="23" t="s">
        <v>42</v>
      </c>
      <c r="Z45" s="23" t="s">
        <v>42</v>
      </c>
      <c r="AA45" s="23" t="s">
        <v>42</v>
      </c>
      <c r="AB45" s="23" t="s">
        <v>42</v>
      </c>
      <c r="AC45" s="23" t="s">
        <v>42</v>
      </c>
      <c r="AD45" s="23" t="s">
        <v>42</v>
      </c>
      <c r="AE45" s="23" t="s">
        <v>42</v>
      </c>
      <c r="AF45" s="23" t="s">
        <v>42</v>
      </c>
      <c r="AG45" s="25"/>
      <c r="AK45" t="s">
        <v>758</v>
      </c>
    </row>
    <row r="46" spans="1:37" ht="30" x14ac:dyDescent="0.25">
      <c r="A46" s="28" t="s">
        <v>124</v>
      </c>
      <c r="B46" s="21" t="s">
        <v>125</v>
      </c>
      <c r="D46" s="22"/>
      <c r="E46" s="22" t="s">
        <v>42</v>
      </c>
      <c r="F46" s="22" t="s">
        <v>42</v>
      </c>
      <c r="G46" s="23" t="s">
        <v>42</v>
      </c>
      <c r="H46" s="22" t="s">
        <v>42</v>
      </c>
      <c r="I46" s="22" t="s">
        <v>42</v>
      </c>
      <c r="J46" s="22" t="s">
        <v>42</v>
      </c>
      <c r="K46" s="22" t="s">
        <v>42</v>
      </c>
      <c r="L46" s="22" t="s">
        <v>42</v>
      </c>
      <c r="M46" s="22" t="s">
        <v>42</v>
      </c>
      <c r="N46" s="22" t="s">
        <v>42</v>
      </c>
      <c r="O46" s="23" t="s">
        <v>42</v>
      </c>
      <c r="P46" s="22" t="s">
        <v>42</v>
      </c>
      <c r="Q46" s="22" t="s">
        <v>42</v>
      </c>
      <c r="R46" s="24"/>
      <c r="S46" s="23"/>
      <c r="T46" s="23" t="s">
        <v>42</v>
      </c>
      <c r="U46" s="23" t="s">
        <v>42</v>
      </c>
      <c r="V46" s="23" t="s">
        <v>42</v>
      </c>
      <c r="W46" s="23" t="s">
        <v>42</v>
      </c>
      <c r="X46" s="23" t="s">
        <v>42</v>
      </c>
      <c r="Y46" s="23" t="s">
        <v>42</v>
      </c>
      <c r="Z46" s="23" t="s">
        <v>42</v>
      </c>
      <c r="AA46" s="23" t="s">
        <v>42</v>
      </c>
      <c r="AB46" s="23" t="s">
        <v>42</v>
      </c>
      <c r="AC46" s="23" t="s">
        <v>42</v>
      </c>
      <c r="AD46" s="23" t="s">
        <v>42</v>
      </c>
      <c r="AE46" s="23" t="s">
        <v>42</v>
      </c>
      <c r="AF46" s="23" t="s">
        <v>42</v>
      </c>
      <c r="AG46" s="25"/>
      <c r="AH46" s="26"/>
      <c r="AI46" s="26"/>
      <c r="AK46" t="s">
        <v>759</v>
      </c>
    </row>
    <row r="47" spans="1:37" ht="30" x14ac:dyDescent="0.25">
      <c r="A47" s="28" t="s">
        <v>126</v>
      </c>
      <c r="B47" s="21" t="s">
        <v>127</v>
      </c>
      <c r="D47" s="22"/>
      <c r="E47" s="22" t="s">
        <v>42</v>
      </c>
      <c r="F47" s="22" t="s">
        <v>42</v>
      </c>
      <c r="G47" s="23" t="s">
        <v>42</v>
      </c>
      <c r="H47" s="22" t="s">
        <v>42</v>
      </c>
      <c r="I47" s="22" t="s">
        <v>42</v>
      </c>
      <c r="J47" s="22" t="s">
        <v>42</v>
      </c>
      <c r="K47" s="22" t="s">
        <v>42</v>
      </c>
      <c r="L47" s="22" t="s">
        <v>42</v>
      </c>
      <c r="M47" s="22" t="s">
        <v>42</v>
      </c>
      <c r="N47" s="22" t="s">
        <v>42</v>
      </c>
      <c r="O47" s="23" t="s">
        <v>42</v>
      </c>
      <c r="P47" s="22" t="s">
        <v>42</v>
      </c>
      <c r="Q47" s="22" t="s">
        <v>42</v>
      </c>
      <c r="R47" s="24"/>
      <c r="S47" s="23"/>
      <c r="T47" s="23" t="s">
        <v>42</v>
      </c>
      <c r="U47" s="23" t="s">
        <v>42</v>
      </c>
      <c r="V47" s="23" t="s">
        <v>42</v>
      </c>
      <c r="W47" s="23" t="s">
        <v>42</v>
      </c>
      <c r="X47" s="23" t="s">
        <v>42</v>
      </c>
      <c r="Y47" s="23" t="s">
        <v>42</v>
      </c>
      <c r="Z47" s="23" t="s">
        <v>42</v>
      </c>
      <c r="AA47" s="23" t="s">
        <v>42</v>
      </c>
      <c r="AB47" s="23" t="s">
        <v>42</v>
      </c>
      <c r="AC47" s="23" t="s">
        <v>42</v>
      </c>
      <c r="AD47" s="23" t="s">
        <v>42</v>
      </c>
      <c r="AE47" s="23" t="s">
        <v>42</v>
      </c>
      <c r="AF47" s="23" t="s">
        <v>42</v>
      </c>
      <c r="AG47" s="25"/>
      <c r="AH47" s="26"/>
      <c r="AI47" s="26"/>
      <c r="AK47" t="s">
        <v>760</v>
      </c>
    </row>
    <row r="48" spans="1:37" x14ac:dyDescent="0.25">
      <c r="A48" s="28" t="s">
        <v>128</v>
      </c>
      <c r="B48" s="21" t="s">
        <v>129</v>
      </c>
      <c r="D48" s="22"/>
      <c r="E48" s="22" t="s">
        <v>42</v>
      </c>
      <c r="F48" s="22" t="s">
        <v>42</v>
      </c>
      <c r="G48" s="23" t="s">
        <v>42</v>
      </c>
      <c r="H48" s="22" t="s">
        <v>42</v>
      </c>
      <c r="I48" s="22" t="s">
        <v>42</v>
      </c>
      <c r="J48" s="22" t="s">
        <v>42</v>
      </c>
      <c r="K48" s="22" t="s">
        <v>42</v>
      </c>
      <c r="L48" s="22" t="s">
        <v>42</v>
      </c>
      <c r="M48" s="22" t="s">
        <v>42</v>
      </c>
      <c r="N48" s="22" t="s">
        <v>42</v>
      </c>
      <c r="O48" s="23" t="s">
        <v>42</v>
      </c>
      <c r="P48" s="22" t="s">
        <v>42</v>
      </c>
      <c r="Q48" s="22" t="s">
        <v>42</v>
      </c>
      <c r="R48" s="24"/>
      <c r="S48" s="23"/>
      <c r="T48" s="23" t="s">
        <v>42</v>
      </c>
      <c r="U48" s="23" t="s">
        <v>42</v>
      </c>
      <c r="V48" s="23" t="s">
        <v>42</v>
      </c>
      <c r="W48" s="23" t="s">
        <v>42</v>
      </c>
      <c r="X48" s="23" t="s">
        <v>42</v>
      </c>
      <c r="Y48" s="23" t="s">
        <v>42</v>
      </c>
      <c r="Z48" s="23" t="s">
        <v>42</v>
      </c>
      <c r="AA48" s="23" t="s">
        <v>42</v>
      </c>
      <c r="AB48" s="23" t="s">
        <v>42</v>
      </c>
      <c r="AC48" s="23" t="s">
        <v>42</v>
      </c>
      <c r="AD48" s="23" t="s">
        <v>42</v>
      </c>
      <c r="AE48" s="23" t="s">
        <v>42</v>
      </c>
      <c r="AF48" s="23" t="s">
        <v>42</v>
      </c>
      <c r="AG48" s="25"/>
      <c r="AH48" s="26"/>
      <c r="AI48" s="26"/>
      <c r="AK48" t="s">
        <v>761</v>
      </c>
    </row>
    <row r="49" spans="1:37" x14ac:dyDescent="0.25">
      <c r="A49" s="28" t="s">
        <v>130</v>
      </c>
      <c r="B49" s="21" t="s">
        <v>131</v>
      </c>
      <c r="D49" s="22"/>
      <c r="E49" s="22" t="s">
        <v>42</v>
      </c>
      <c r="F49" s="22" t="s">
        <v>42</v>
      </c>
      <c r="G49" s="23" t="s">
        <v>42</v>
      </c>
      <c r="H49" s="22" t="s">
        <v>42</v>
      </c>
      <c r="I49" s="22" t="s">
        <v>42</v>
      </c>
      <c r="J49" s="22" t="s">
        <v>42</v>
      </c>
      <c r="K49" s="22" t="s">
        <v>42</v>
      </c>
      <c r="L49" s="22" t="s">
        <v>42</v>
      </c>
      <c r="M49" s="22" t="s">
        <v>42</v>
      </c>
      <c r="N49" s="22" t="s">
        <v>42</v>
      </c>
      <c r="O49" s="23" t="s">
        <v>42</v>
      </c>
      <c r="P49" s="22" t="s">
        <v>42</v>
      </c>
      <c r="Q49" s="22" t="s">
        <v>42</v>
      </c>
      <c r="R49" s="24"/>
      <c r="S49" s="23"/>
      <c r="T49" s="23" t="s">
        <v>42</v>
      </c>
      <c r="U49" s="23" t="s">
        <v>42</v>
      </c>
      <c r="V49" s="23" t="s">
        <v>42</v>
      </c>
      <c r="W49" s="23" t="s">
        <v>42</v>
      </c>
      <c r="X49" s="23" t="s">
        <v>42</v>
      </c>
      <c r="Y49" s="23" t="s">
        <v>42</v>
      </c>
      <c r="Z49" s="23" t="s">
        <v>42</v>
      </c>
      <c r="AA49" s="23" t="s">
        <v>42</v>
      </c>
      <c r="AB49" s="23" t="s">
        <v>42</v>
      </c>
      <c r="AC49" s="23" t="s">
        <v>42</v>
      </c>
      <c r="AD49" s="23" t="s">
        <v>42</v>
      </c>
      <c r="AE49" s="23" t="s">
        <v>42</v>
      </c>
      <c r="AF49" s="23" t="s">
        <v>42</v>
      </c>
      <c r="AG49" s="25"/>
      <c r="AH49" s="26"/>
      <c r="AI49" s="26"/>
      <c r="AK49" t="s">
        <v>762</v>
      </c>
    </row>
    <row r="50" spans="1:37" x14ac:dyDescent="0.25">
      <c r="A50" t="s">
        <v>845</v>
      </c>
      <c r="B50" t="s">
        <v>911</v>
      </c>
      <c r="C50"/>
      <c r="D50"/>
      <c r="E50"/>
      <c r="F50"/>
      <c r="G50"/>
      <c r="H50"/>
      <c r="I50"/>
      <c r="J50"/>
      <c r="K50"/>
      <c r="L50"/>
      <c r="N50" s="17" t="s">
        <v>42</v>
      </c>
      <c r="O50" s="17" t="s">
        <v>42</v>
      </c>
      <c r="P50" s="17" t="s">
        <v>42</v>
      </c>
      <c r="Q50" s="17" t="s">
        <v>42</v>
      </c>
      <c r="R50" s="24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 t="s">
        <v>42</v>
      </c>
      <c r="AD50" s="17" t="s">
        <v>42</v>
      </c>
      <c r="AE50" s="17" t="s">
        <v>42</v>
      </c>
      <c r="AF50" s="17" t="s">
        <v>42</v>
      </c>
      <c r="AG50" s="25"/>
      <c r="AH50"/>
      <c r="AI50"/>
      <c r="AJ50"/>
    </row>
    <row r="51" spans="1:37" x14ac:dyDescent="0.25">
      <c r="A51" s="18" t="s">
        <v>132</v>
      </c>
      <c r="B51" s="19" t="s">
        <v>133</v>
      </c>
      <c r="D51" s="14"/>
      <c r="E51" s="14"/>
      <c r="F51" s="14"/>
      <c r="G51" s="15"/>
      <c r="H51" s="14"/>
      <c r="I51" s="14"/>
      <c r="J51" s="14"/>
      <c r="K51" s="14"/>
      <c r="L51" s="14"/>
      <c r="M51" s="14"/>
      <c r="R51" s="24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G51" s="25"/>
    </row>
    <row r="52" spans="1:37" x14ac:dyDescent="0.25">
      <c r="A52" s="20" t="s">
        <v>134</v>
      </c>
      <c r="B52" s="21" t="s">
        <v>135</v>
      </c>
      <c r="D52" s="22" t="s">
        <v>42</v>
      </c>
      <c r="E52" s="22" t="s">
        <v>42</v>
      </c>
      <c r="F52" s="22" t="s">
        <v>42</v>
      </c>
      <c r="G52" s="23" t="s">
        <v>42</v>
      </c>
      <c r="H52" s="22" t="s">
        <v>42</v>
      </c>
      <c r="I52" s="22" t="s">
        <v>42</v>
      </c>
      <c r="J52" s="22" t="s">
        <v>42</v>
      </c>
      <c r="K52" s="22" t="s">
        <v>42</v>
      </c>
      <c r="L52" s="22" t="s">
        <v>42</v>
      </c>
      <c r="M52" s="22" t="s">
        <v>42</v>
      </c>
      <c r="N52" s="23" t="s">
        <v>42</v>
      </c>
      <c r="O52" s="22" t="s">
        <v>42</v>
      </c>
      <c r="P52" s="22" t="s">
        <v>42</v>
      </c>
      <c r="Q52" s="22" t="s">
        <v>42</v>
      </c>
      <c r="R52" s="24"/>
      <c r="S52" s="23" t="s">
        <v>42</v>
      </c>
      <c r="T52" s="23" t="s">
        <v>42</v>
      </c>
      <c r="U52" s="23" t="s">
        <v>42</v>
      </c>
      <c r="V52" s="23" t="s">
        <v>42</v>
      </c>
      <c r="W52" s="23" t="s">
        <v>42</v>
      </c>
      <c r="X52" s="23" t="s">
        <v>42</v>
      </c>
      <c r="Y52" s="23" t="s">
        <v>42</v>
      </c>
      <c r="Z52" s="23" t="s">
        <v>42</v>
      </c>
      <c r="AA52" s="23" t="s">
        <v>42</v>
      </c>
      <c r="AB52" s="23" t="s">
        <v>42</v>
      </c>
      <c r="AC52" s="23" t="s">
        <v>42</v>
      </c>
      <c r="AD52" s="23" t="s">
        <v>42</v>
      </c>
      <c r="AE52" s="23" t="s">
        <v>42</v>
      </c>
      <c r="AF52" s="23" t="s">
        <v>42</v>
      </c>
      <c r="AG52" s="25"/>
      <c r="AH52" s="26"/>
      <c r="AI52" s="26"/>
      <c r="AK52" t="s">
        <v>763</v>
      </c>
    </row>
    <row r="53" spans="1:37" x14ac:dyDescent="0.25">
      <c r="A53" s="20" t="s">
        <v>136</v>
      </c>
      <c r="B53" s="21" t="s">
        <v>137</v>
      </c>
      <c r="D53" s="14"/>
      <c r="E53" s="14"/>
      <c r="F53" s="14"/>
      <c r="G53" s="15"/>
      <c r="H53" s="14"/>
      <c r="I53" s="14"/>
      <c r="J53" s="14"/>
      <c r="K53" s="14"/>
      <c r="L53" s="14"/>
      <c r="M53" s="14"/>
      <c r="R53" s="2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G53" s="25"/>
    </row>
    <row r="54" spans="1:37" ht="30" x14ac:dyDescent="0.25">
      <c r="A54" s="20" t="s">
        <v>138</v>
      </c>
      <c r="B54" s="21" t="s">
        <v>139</v>
      </c>
      <c r="D54" s="22"/>
      <c r="E54" s="22"/>
      <c r="F54" s="22"/>
      <c r="G54" s="23"/>
      <c r="H54" s="22"/>
      <c r="I54" s="22"/>
      <c r="J54" s="22"/>
      <c r="K54" s="22"/>
      <c r="L54" s="22"/>
      <c r="M54" s="22"/>
      <c r="R54" s="24"/>
      <c r="S54" s="22" t="s">
        <v>42</v>
      </c>
      <c r="T54" s="22" t="s">
        <v>42</v>
      </c>
      <c r="U54" s="22" t="s">
        <v>42</v>
      </c>
      <c r="V54" s="22" t="s">
        <v>42</v>
      </c>
      <c r="W54" s="22" t="s">
        <v>42</v>
      </c>
      <c r="X54" s="22" t="s">
        <v>42</v>
      </c>
      <c r="Y54" s="23"/>
      <c r="Z54" s="22"/>
      <c r="AA54" s="22"/>
      <c r="AB54" s="22"/>
      <c r="AC54" s="22"/>
      <c r="AD54" s="22"/>
      <c r="AE54" s="22"/>
      <c r="AG54" s="25"/>
      <c r="AH54" s="26"/>
      <c r="AI54" s="26"/>
      <c r="AK54" t="s">
        <v>764</v>
      </c>
    </row>
    <row r="55" spans="1:37" x14ac:dyDescent="0.25">
      <c r="A55" s="20" t="s">
        <v>140</v>
      </c>
      <c r="B55" s="21" t="s">
        <v>141</v>
      </c>
      <c r="D55" s="22"/>
      <c r="E55" s="22"/>
      <c r="F55" s="22"/>
      <c r="G55" s="23"/>
      <c r="H55" s="22"/>
      <c r="I55" s="22"/>
      <c r="J55" s="22"/>
      <c r="K55" s="22"/>
      <c r="L55" s="22"/>
      <c r="M55" s="22"/>
      <c r="R55" s="24"/>
      <c r="S55" s="22" t="s">
        <v>78</v>
      </c>
      <c r="T55" s="22" t="s">
        <v>78</v>
      </c>
      <c r="U55" s="22"/>
      <c r="V55" s="22"/>
      <c r="W55" s="22"/>
      <c r="X55" s="22"/>
      <c r="Y55" s="23"/>
      <c r="Z55" s="22"/>
      <c r="AA55" s="22"/>
      <c r="AB55" s="22"/>
      <c r="AC55" s="22"/>
      <c r="AD55" s="22"/>
      <c r="AE55" s="22"/>
      <c r="AG55" s="25"/>
      <c r="AH55" s="26"/>
      <c r="AI55" s="26"/>
      <c r="AK55" t="s">
        <v>778</v>
      </c>
    </row>
    <row r="56" spans="1:37" x14ac:dyDescent="0.25">
      <c r="A56" s="20" t="s">
        <v>142</v>
      </c>
      <c r="B56" s="21" t="s">
        <v>143</v>
      </c>
      <c r="D56" s="14"/>
      <c r="E56" s="14"/>
      <c r="F56" s="14"/>
      <c r="G56" s="15"/>
      <c r="H56" s="14"/>
      <c r="I56" s="14"/>
      <c r="J56" s="14"/>
      <c r="K56" s="14"/>
      <c r="L56" s="14"/>
      <c r="M56" s="14"/>
      <c r="R56" s="16"/>
      <c r="S56" s="22" t="s">
        <v>78</v>
      </c>
      <c r="T56" s="22" t="s">
        <v>78</v>
      </c>
      <c r="U56" s="22"/>
      <c r="V56" s="22"/>
      <c r="W56" s="22"/>
      <c r="X56" s="22"/>
      <c r="Y56" s="23"/>
      <c r="Z56" s="22"/>
      <c r="AA56" s="22"/>
      <c r="AB56" s="22"/>
      <c r="AC56" s="22"/>
      <c r="AD56" s="22"/>
      <c r="AE56" s="22"/>
      <c r="AK56" t="s">
        <v>779</v>
      </c>
    </row>
    <row r="57" spans="1:37" x14ac:dyDescent="0.25">
      <c r="A57" s="20" t="s">
        <v>144</v>
      </c>
      <c r="B57" s="21" t="s">
        <v>145</v>
      </c>
      <c r="D57" s="14"/>
      <c r="E57" s="14"/>
      <c r="F57" s="14"/>
      <c r="G57" s="15"/>
      <c r="H57" s="14"/>
      <c r="I57" s="14"/>
      <c r="J57" s="14"/>
      <c r="K57" s="14"/>
      <c r="L57" s="14"/>
      <c r="M57" s="14"/>
      <c r="R57" s="16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7" x14ac:dyDescent="0.25">
      <c r="A58" s="20" t="s">
        <v>146</v>
      </c>
      <c r="B58" s="21" t="s">
        <v>147</v>
      </c>
      <c r="D58" s="22"/>
      <c r="E58" s="22"/>
      <c r="F58" s="22"/>
      <c r="G58" s="23"/>
      <c r="H58" s="22"/>
      <c r="I58" s="22"/>
      <c r="J58" s="22"/>
      <c r="K58" s="22"/>
      <c r="L58" s="22"/>
      <c r="M58" s="22"/>
      <c r="R58" s="24"/>
      <c r="S58" s="22" t="s">
        <v>42</v>
      </c>
      <c r="T58" s="22" t="s">
        <v>42</v>
      </c>
      <c r="U58" s="22"/>
      <c r="V58" s="22"/>
      <c r="W58" s="22"/>
      <c r="X58" s="22"/>
      <c r="Y58" s="23"/>
      <c r="Z58" s="22"/>
      <c r="AA58" s="22"/>
      <c r="AB58" s="22"/>
      <c r="AC58" s="22"/>
      <c r="AD58" s="22"/>
      <c r="AE58" s="22"/>
      <c r="AG58" s="25"/>
      <c r="AH58" s="26"/>
      <c r="AI58" s="26"/>
      <c r="AK58" t="s">
        <v>765</v>
      </c>
    </row>
    <row r="59" spans="1:37" x14ac:dyDescent="0.25">
      <c r="A59" s="20" t="s">
        <v>148</v>
      </c>
      <c r="B59" s="21" t="s">
        <v>149</v>
      </c>
      <c r="D59" s="22"/>
      <c r="E59" s="22"/>
      <c r="F59" s="22"/>
      <c r="G59" s="23"/>
      <c r="H59" s="22"/>
      <c r="I59" s="22"/>
      <c r="J59" s="22"/>
      <c r="K59" s="22"/>
      <c r="L59" s="22"/>
      <c r="M59" s="22"/>
      <c r="R59" s="24"/>
      <c r="S59" s="22" t="s">
        <v>42</v>
      </c>
      <c r="T59" s="22" t="s">
        <v>42</v>
      </c>
      <c r="U59" s="22" t="s">
        <v>42</v>
      </c>
      <c r="V59" s="22" t="s">
        <v>42</v>
      </c>
      <c r="W59" s="22" t="s">
        <v>42</v>
      </c>
      <c r="X59" s="22" t="s">
        <v>42</v>
      </c>
      <c r="Y59" s="23" t="s">
        <v>42</v>
      </c>
      <c r="Z59" s="22" t="s">
        <v>42</v>
      </c>
      <c r="AA59" s="22" t="s">
        <v>42</v>
      </c>
      <c r="AB59" s="22" t="s">
        <v>42</v>
      </c>
      <c r="AC59" s="23" t="s">
        <v>42</v>
      </c>
      <c r="AD59" s="22" t="s">
        <v>42</v>
      </c>
      <c r="AE59" s="22" t="s">
        <v>42</v>
      </c>
      <c r="AF59" s="22" t="s">
        <v>42</v>
      </c>
      <c r="AG59" s="25"/>
      <c r="AH59" s="26"/>
      <c r="AI59" s="26"/>
      <c r="AK59" t="s">
        <v>766</v>
      </c>
    </row>
    <row r="60" spans="1:37" x14ac:dyDescent="0.25">
      <c r="A60" s="20" t="s">
        <v>150</v>
      </c>
      <c r="B60" s="21" t="s">
        <v>151</v>
      </c>
      <c r="D60" s="14"/>
      <c r="E60" s="14"/>
      <c r="F60" s="14"/>
      <c r="G60" s="15"/>
      <c r="H60" s="14"/>
      <c r="I60" s="14"/>
      <c r="J60" s="14"/>
      <c r="K60" s="14"/>
      <c r="L60" s="14"/>
      <c r="M60" s="14"/>
      <c r="R60" s="16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7" x14ac:dyDescent="0.25">
      <c r="A61" s="20" t="s">
        <v>152</v>
      </c>
      <c r="B61" s="21" t="s">
        <v>153</v>
      </c>
      <c r="D61" s="22"/>
      <c r="E61" s="22"/>
      <c r="F61" s="22"/>
      <c r="G61" s="23"/>
      <c r="H61" s="22"/>
      <c r="I61" s="22"/>
      <c r="J61" s="22"/>
      <c r="K61" s="22"/>
      <c r="L61" s="22"/>
      <c r="M61" s="22"/>
      <c r="R61" s="24"/>
      <c r="S61" s="22" t="s">
        <v>42</v>
      </c>
      <c r="T61" s="22" t="s">
        <v>42</v>
      </c>
      <c r="U61" s="22" t="s">
        <v>42</v>
      </c>
      <c r="V61" s="22" t="s">
        <v>42</v>
      </c>
      <c r="W61" s="22" t="s">
        <v>42</v>
      </c>
      <c r="X61" s="22" t="s">
        <v>42</v>
      </c>
      <c r="Y61" s="23" t="s">
        <v>42</v>
      </c>
      <c r="Z61" s="22" t="s">
        <v>42</v>
      </c>
      <c r="AA61" s="22" t="s">
        <v>42</v>
      </c>
      <c r="AB61" s="22" t="s">
        <v>42</v>
      </c>
      <c r="AC61" s="22" t="s">
        <v>42</v>
      </c>
      <c r="AD61" s="23" t="s">
        <v>42</v>
      </c>
      <c r="AE61" s="22" t="s">
        <v>42</v>
      </c>
      <c r="AF61" s="22" t="s">
        <v>42</v>
      </c>
      <c r="AG61" s="25"/>
      <c r="AH61" s="26"/>
      <c r="AI61" s="26"/>
      <c r="AK61" t="s">
        <v>767</v>
      </c>
    </row>
    <row r="62" spans="1:37" x14ac:dyDescent="0.25">
      <c r="A62" s="20" t="s">
        <v>154</v>
      </c>
      <c r="B62" s="21" t="s">
        <v>155</v>
      </c>
      <c r="D62" s="22"/>
      <c r="E62" s="22"/>
      <c r="F62" s="22"/>
      <c r="G62" s="23"/>
      <c r="H62" s="22"/>
      <c r="I62" s="22"/>
      <c r="J62" s="22"/>
      <c r="K62" s="22"/>
      <c r="L62" s="22"/>
      <c r="M62" s="22"/>
      <c r="R62" s="24"/>
      <c r="S62" s="22" t="s">
        <v>42</v>
      </c>
      <c r="T62" s="22" t="s">
        <v>42</v>
      </c>
      <c r="U62" s="22" t="s">
        <v>42</v>
      </c>
      <c r="V62" s="22" t="s">
        <v>42</v>
      </c>
      <c r="W62" s="22" t="s">
        <v>42</v>
      </c>
      <c r="X62" s="22" t="s">
        <v>42</v>
      </c>
      <c r="Y62" s="23" t="s">
        <v>42</v>
      </c>
      <c r="Z62" s="22" t="s">
        <v>42</v>
      </c>
      <c r="AA62" s="22" t="s">
        <v>42</v>
      </c>
      <c r="AB62" s="22" t="s">
        <v>42</v>
      </c>
      <c r="AC62" s="22" t="s">
        <v>42</v>
      </c>
      <c r="AD62" s="23" t="s">
        <v>42</v>
      </c>
      <c r="AE62" s="22" t="s">
        <v>42</v>
      </c>
      <c r="AF62" s="22" t="s">
        <v>42</v>
      </c>
      <c r="AG62" s="25"/>
      <c r="AH62" s="26"/>
      <c r="AI62" s="26"/>
      <c r="AK62" t="s">
        <v>768</v>
      </c>
    </row>
    <row r="63" spans="1:37" x14ac:dyDescent="0.25">
      <c r="A63" s="20" t="s">
        <v>156</v>
      </c>
      <c r="B63" s="21" t="s">
        <v>157</v>
      </c>
      <c r="D63" s="22"/>
      <c r="E63" s="22"/>
      <c r="F63" s="22"/>
      <c r="G63" s="23"/>
      <c r="H63" s="22"/>
      <c r="I63" s="22"/>
      <c r="J63" s="22"/>
      <c r="K63" s="22"/>
      <c r="L63" s="22"/>
      <c r="M63" s="22"/>
      <c r="R63" s="24"/>
      <c r="S63" s="22" t="s">
        <v>42</v>
      </c>
      <c r="T63" s="22" t="s">
        <v>42</v>
      </c>
      <c r="U63" s="22" t="s">
        <v>42</v>
      </c>
      <c r="V63" s="22" t="s">
        <v>42</v>
      </c>
      <c r="W63" s="22" t="s">
        <v>42</v>
      </c>
      <c r="X63" s="22" t="s">
        <v>42</v>
      </c>
      <c r="Y63" s="23" t="s">
        <v>42</v>
      </c>
      <c r="Z63" s="22" t="s">
        <v>42</v>
      </c>
      <c r="AA63" s="22" t="s">
        <v>42</v>
      </c>
      <c r="AB63" s="22" t="s">
        <v>42</v>
      </c>
      <c r="AC63" s="22" t="s">
        <v>42</v>
      </c>
      <c r="AD63" s="23" t="s">
        <v>42</v>
      </c>
      <c r="AE63" s="22" t="s">
        <v>42</v>
      </c>
      <c r="AF63" s="22" t="s">
        <v>42</v>
      </c>
      <c r="AG63" s="25"/>
      <c r="AH63" s="26"/>
      <c r="AI63" s="26"/>
      <c r="AK63" t="s">
        <v>769</v>
      </c>
    </row>
    <row r="64" spans="1:37" ht="75" x14ac:dyDescent="0.25">
      <c r="A64" s="11">
        <v>2</v>
      </c>
      <c r="B64" s="12" t="s">
        <v>846</v>
      </c>
      <c r="D64" s="14"/>
      <c r="E64" s="14"/>
      <c r="F64" s="14"/>
      <c r="G64" s="15"/>
      <c r="H64" s="14"/>
      <c r="I64" s="14"/>
      <c r="J64" s="14"/>
      <c r="K64" s="14"/>
      <c r="L64" s="14"/>
      <c r="M64" s="14"/>
      <c r="R64" s="16"/>
      <c r="S64" s="14"/>
      <c r="T64" s="14"/>
      <c r="U64" s="14"/>
      <c r="V64" s="14"/>
      <c r="W64" s="14"/>
      <c r="X64" s="14"/>
      <c r="Y64" s="15"/>
      <c r="Z64" s="14"/>
      <c r="AA64" s="14"/>
      <c r="AB64" s="14"/>
      <c r="AC64" s="14"/>
      <c r="AD64" s="14"/>
      <c r="AE64" s="14"/>
    </row>
    <row r="65" spans="1:37" x14ac:dyDescent="0.25">
      <c r="A65" s="18" t="s">
        <v>158</v>
      </c>
      <c r="B65" s="19" t="s">
        <v>159</v>
      </c>
      <c r="D65" s="14"/>
      <c r="E65" s="14"/>
      <c r="F65" s="14"/>
      <c r="G65" s="15"/>
      <c r="H65" s="14"/>
      <c r="I65" s="14"/>
      <c r="J65" s="14"/>
      <c r="K65" s="14"/>
      <c r="L65" s="14"/>
      <c r="M65" s="14"/>
      <c r="R65" s="16"/>
      <c r="S65" s="14"/>
      <c r="T65" s="14"/>
      <c r="U65" s="14"/>
      <c r="V65" s="14"/>
      <c r="W65" s="14"/>
      <c r="X65" s="14"/>
      <c r="Y65" s="15"/>
      <c r="Z65" s="14"/>
      <c r="AA65" s="14"/>
      <c r="AB65" s="14"/>
      <c r="AC65" s="14"/>
      <c r="AD65" s="14"/>
      <c r="AE65" s="14"/>
    </row>
    <row r="66" spans="1:37" x14ac:dyDescent="0.25">
      <c r="A66" s="28" t="s">
        <v>160</v>
      </c>
      <c r="B66" s="21" t="s">
        <v>161</v>
      </c>
      <c r="D66" s="22" t="s">
        <v>42</v>
      </c>
      <c r="E66" s="22" t="s">
        <v>42</v>
      </c>
      <c r="F66" s="22" t="s">
        <v>42</v>
      </c>
      <c r="G66" s="23" t="s">
        <v>42</v>
      </c>
      <c r="H66" s="22" t="s">
        <v>42</v>
      </c>
      <c r="I66" s="22" t="s">
        <v>42</v>
      </c>
      <c r="J66" s="22" t="s">
        <v>42</v>
      </c>
      <c r="K66" s="22" t="s">
        <v>42</v>
      </c>
      <c r="L66" s="22" t="s">
        <v>42</v>
      </c>
      <c r="M66" s="22" t="s">
        <v>42</v>
      </c>
      <c r="N66" s="22" t="s">
        <v>42</v>
      </c>
      <c r="O66" s="23" t="s">
        <v>42</v>
      </c>
      <c r="P66" s="22" t="s">
        <v>42</v>
      </c>
      <c r="Q66" s="22" t="s">
        <v>42</v>
      </c>
      <c r="R66" s="24"/>
      <c r="S66" s="23" t="s">
        <v>42</v>
      </c>
      <c r="T66" s="23" t="s">
        <v>42</v>
      </c>
      <c r="U66" s="23" t="s">
        <v>42</v>
      </c>
      <c r="V66" s="23" t="s">
        <v>42</v>
      </c>
      <c r="W66" s="23" t="s">
        <v>42</v>
      </c>
      <c r="X66" s="23" t="s">
        <v>42</v>
      </c>
      <c r="Y66" s="23" t="s">
        <v>42</v>
      </c>
      <c r="Z66" s="23" t="s">
        <v>42</v>
      </c>
      <c r="AA66" s="23" t="s">
        <v>42</v>
      </c>
      <c r="AB66" s="23" t="s">
        <v>42</v>
      </c>
      <c r="AC66" s="23" t="s">
        <v>42</v>
      </c>
      <c r="AD66" s="23" t="s">
        <v>42</v>
      </c>
      <c r="AE66" s="23" t="s">
        <v>42</v>
      </c>
      <c r="AF66" s="23" t="s">
        <v>42</v>
      </c>
      <c r="AG66" s="25"/>
      <c r="AK66" t="s">
        <v>689</v>
      </c>
    </row>
    <row r="67" spans="1:37" x14ac:dyDescent="0.25">
      <c r="A67" s="28" t="s">
        <v>162</v>
      </c>
      <c r="B67" s="21" t="s">
        <v>163</v>
      </c>
      <c r="D67" s="22" t="s">
        <v>42</v>
      </c>
      <c r="E67" s="22" t="s">
        <v>42</v>
      </c>
      <c r="F67" s="22" t="s">
        <v>42</v>
      </c>
      <c r="G67" s="23" t="s">
        <v>42</v>
      </c>
      <c r="H67" s="22" t="s">
        <v>42</v>
      </c>
      <c r="I67" s="22" t="s">
        <v>42</v>
      </c>
      <c r="J67" s="22" t="s">
        <v>42</v>
      </c>
      <c r="K67" s="22" t="s">
        <v>42</v>
      </c>
      <c r="L67" s="22" t="s">
        <v>42</v>
      </c>
      <c r="M67" s="22" t="s">
        <v>42</v>
      </c>
      <c r="N67" s="22" t="s">
        <v>42</v>
      </c>
      <c r="O67" s="23" t="s">
        <v>42</v>
      </c>
      <c r="P67" s="22" t="s">
        <v>42</v>
      </c>
      <c r="Q67" s="22" t="s">
        <v>42</v>
      </c>
      <c r="R67" s="24"/>
      <c r="S67" s="14"/>
      <c r="T67" s="14"/>
      <c r="U67" s="14"/>
      <c r="V67" s="14"/>
      <c r="W67" s="14"/>
      <c r="X67" s="14"/>
      <c r="Y67" s="15"/>
      <c r="Z67" s="14"/>
      <c r="AA67" s="14"/>
      <c r="AB67" s="14"/>
      <c r="AC67" s="14"/>
      <c r="AD67" s="14"/>
      <c r="AE67" s="14"/>
      <c r="AF67" s="14"/>
      <c r="AG67" s="25"/>
      <c r="AK67" t="s">
        <v>690</v>
      </c>
    </row>
    <row r="68" spans="1:37" x14ac:dyDescent="0.25">
      <c r="A68" s="28" t="s">
        <v>164</v>
      </c>
      <c r="B68" s="21" t="s">
        <v>165</v>
      </c>
      <c r="D68" s="14"/>
      <c r="E68" s="14"/>
      <c r="F68" s="14"/>
      <c r="G68" s="15"/>
      <c r="H68" s="14"/>
      <c r="I68" s="14"/>
      <c r="J68" s="14"/>
      <c r="K68" s="14"/>
      <c r="L68" s="14"/>
      <c r="M68" s="14"/>
      <c r="R68" s="16"/>
      <c r="S68" s="14"/>
      <c r="T68" s="14"/>
      <c r="U68" s="14"/>
      <c r="V68" s="14"/>
      <c r="W68" s="14"/>
      <c r="X68" s="14"/>
      <c r="Y68" s="15"/>
      <c r="Z68" s="14"/>
      <c r="AA68" s="14"/>
      <c r="AB68" s="14"/>
      <c r="AC68" s="14"/>
      <c r="AD68" s="14"/>
      <c r="AE68" s="14"/>
      <c r="AF68" s="14"/>
    </row>
    <row r="69" spans="1:37" x14ac:dyDescent="0.25">
      <c r="A69" s="20" t="s">
        <v>166</v>
      </c>
      <c r="B69" s="21" t="s">
        <v>167</v>
      </c>
      <c r="D69" s="22"/>
      <c r="E69" s="22"/>
      <c r="F69" s="22"/>
      <c r="G69" s="23"/>
      <c r="H69" s="22"/>
      <c r="I69" s="22"/>
      <c r="J69" s="22"/>
      <c r="K69" s="22"/>
      <c r="L69" s="22"/>
      <c r="M69" s="22"/>
      <c r="R69" s="24"/>
      <c r="S69" s="23" t="s">
        <v>42</v>
      </c>
      <c r="T69" s="23" t="s">
        <v>42</v>
      </c>
      <c r="U69" s="23" t="s">
        <v>42</v>
      </c>
      <c r="V69" s="23" t="s">
        <v>42</v>
      </c>
      <c r="W69" s="23" t="s">
        <v>42</v>
      </c>
      <c r="X69" s="23" t="s">
        <v>42</v>
      </c>
      <c r="Y69" s="23" t="s">
        <v>42</v>
      </c>
      <c r="Z69" s="23" t="s">
        <v>42</v>
      </c>
      <c r="AA69" s="23" t="s">
        <v>42</v>
      </c>
      <c r="AB69" s="23" t="s">
        <v>42</v>
      </c>
      <c r="AC69" s="23" t="s">
        <v>42</v>
      </c>
      <c r="AD69" s="23" t="s">
        <v>42</v>
      </c>
      <c r="AE69" s="23" t="s">
        <v>42</v>
      </c>
      <c r="AF69" s="23" t="s">
        <v>42</v>
      </c>
      <c r="AG69" s="25"/>
      <c r="AH69" s="26"/>
      <c r="AI69" s="26"/>
      <c r="AK69" t="s">
        <v>691</v>
      </c>
    </row>
    <row r="70" spans="1:37" x14ac:dyDescent="0.25">
      <c r="A70" s="20" t="s">
        <v>168</v>
      </c>
      <c r="B70" s="21" t="s">
        <v>169</v>
      </c>
      <c r="D70" s="22"/>
      <c r="E70" s="22"/>
      <c r="F70" s="22"/>
      <c r="G70" s="23"/>
      <c r="H70" s="22"/>
      <c r="I70" s="22"/>
      <c r="J70" s="22"/>
      <c r="K70" s="22"/>
      <c r="L70" s="22"/>
      <c r="M70" s="22"/>
      <c r="R70" s="24"/>
      <c r="S70" s="23" t="s">
        <v>42</v>
      </c>
      <c r="T70" s="23" t="s">
        <v>42</v>
      </c>
      <c r="U70" s="23" t="s">
        <v>42</v>
      </c>
      <c r="V70" s="23" t="s">
        <v>42</v>
      </c>
      <c r="W70" s="23" t="s">
        <v>42</v>
      </c>
      <c r="X70" s="23" t="s">
        <v>42</v>
      </c>
      <c r="Y70" s="23" t="s">
        <v>42</v>
      </c>
      <c r="Z70" s="23" t="s">
        <v>42</v>
      </c>
      <c r="AA70" s="23" t="s">
        <v>42</v>
      </c>
      <c r="AB70" s="23" t="s">
        <v>42</v>
      </c>
      <c r="AC70" s="23" t="s">
        <v>42</v>
      </c>
      <c r="AD70" s="23" t="s">
        <v>42</v>
      </c>
      <c r="AE70" s="23" t="s">
        <v>42</v>
      </c>
      <c r="AF70" s="23" t="s">
        <v>42</v>
      </c>
      <c r="AG70" s="25"/>
      <c r="AH70" s="26"/>
      <c r="AI70" s="26"/>
      <c r="AK70" t="s">
        <v>692</v>
      </c>
    </row>
    <row r="71" spans="1:37" x14ac:dyDescent="0.25">
      <c r="A71" s="28" t="s">
        <v>170</v>
      </c>
      <c r="B71" s="21" t="s">
        <v>171</v>
      </c>
      <c r="D71" s="22" t="s">
        <v>42</v>
      </c>
      <c r="E71" s="22" t="s">
        <v>42</v>
      </c>
      <c r="F71" s="22" t="s">
        <v>42</v>
      </c>
      <c r="G71" s="23" t="s">
        <v>42</v>
      </c>
      <c r="H71" s="22" t="s">
        <v>42</v>
      </c>
      <c r="I71" s="22" t="s">
        <v>42</v>
      </c>
      <c r="J71" s="22" t="s">
        <v>42</v>
      </c>
      <c r="K71" s="22" t="s">
        <v>42</v>
      </c>
      <c r="L71" s="22" t="s">
        <v>42</v>
      </c>
      <c r="M71" s="22" t="s">
        <v>42</v>
      </c>
      <c r="N71" s="22" t="s">
        <v>42</v>
      </c>
      <c r="O71" s="23" t="s">
        <v>42</v>
      </c>
      <c r="P71" s="22" t="s">
        <v>42</v>
      </c>
      <c r="Q71" s="22" t="s">
        <v>42</v>
      </c>
      <c r="R71" s="24"/>
      <c r="S71" s="23" t="s">
        <v>42</v>
      </c>
      <c r="T71" s="23" t="s">
        <v>42</v>
      </c>
      <c r="U71" s="23" t="s">
        <v>42</v>
      </c>
      <c r="V71" s="23" t="s">
        <v>42</v>
      </c>
      <c r="W71" s="23" t="s">
        <v>42</v>
      </c>
      <c r="X71" s="23" t="s">
        <v>42</v>
      </c>
      <c r="Y71" s="23" t="s">
        <v>42</v>
      </c>
      <c r="Z71" s="23" t="s">
        <v>42</v>
      </c>
      <c r="AA71" s="23" t="s">
        <v>42</v>
      </c>
      <c r="AB71" s="23" t="s">
        <v>42</v>
      </c>
      <c r="AC71" s="23" t="s">
        <v>42</v>
      </c>
      <c r="AD71" s="23" t="s">
        <v>42</v>
      </c>
      <c r="AE71" s="23" t="s">
        <v>42</v>
      </c>
      <c r="AF71" s="23" t="s">
        <v>42</v>
      </c>
      <c r="AG71" s="25"/>
      <c r="AH71" s="26"/>
      <c r="AI71" s="26"/>
      <c r="AK71" t="s">
        <v>770</v>
      </c>
    </row>
    <row r="72" spans="1:37" x14ac:dyDescent="0.25">
      <c r="A72" s="20" t="s">
        <v>172</v>
      </c>
      <c r="B72" s="21" t="s">
        <v>173</v>
      </c>
      <c r="C72" t="s">
        <v>174</v>
      </c>
      <c r="D72" s="22"/>
      <c r="E72" s="22" t="s">
        <v>78</v>
      </c>
      <c r="F72" s="22" t="s">
        <v>78</v>
      </c>
      <c r="G72" s="23" t="s">
        <v>78</v>
      </c>
      <c r="H72" s="22" t="s">
        <v>78</v>
      </c>
      <c r="I72" s="22" t="s">
        <v>78</v>
      </c>
      <c r="J72" s="22"/>
      <c r="K72" s="22"/>
      <c r="L72" s="22"/>
      <c r="M72" s="22"/>
      <c r="N72" s="22" t="s">
        <v>78</v>
      </c>
      <c r="O72" s="23" t="s">
        <v>78</v>
      </c>
      <c r="P72" s="22" t="s">
        <v>78</v>
      </c>
      <c r="Q72" s="22" t="s">
        <v>78</v>
      </c>
      <c r="R72" s="24"/>
      <c r="S72" s="23"/>
      <c r="T72" s="23" t="s">
        <v>78</v>
      </c>
      <c r="U72" s="23" t="s">
        <v>78</v>
      </c>
      <c r="V72" s="23" t="s">
        <v>78</v>
      </c>
      <c r="W72" s="23" t="s">
        <v>78</v>
      </c>
      <c r="X72" s="23" t="s">
        <v>78</v>
      </c>
      <c r="Y72" s="23"/>
      <c r="Z72" s="23"/>
      <c r="AA72" s="23"/>
      <c r="AB72" s="23"/>
      <c r="AC72" s="23" t="s">
        <v>78</v>
      </c>
      <c r="AD72" s="23" t="s">
        <v>78</v>
      </c>
      <c r="AE72" s="23" t="s">
        <v>78</v>
      </c>
      <c r="AF72" s="23" t="s">
        <v>78</v>
      </c>
      <c r="AG72" s="25"/>
      <c r="AH72" s="26"/>
      <c r="AI72" s="26"/>
      <c r="AJ72" s="26"/>
      <c r="AK72" s="78" t="s">
        <v>718</v>
      </c>
    </row>
    <row r="73" spans="1:37" x14ac:dyDescent="0.25">
      <c r="A73" s="20" t="s">
        <v>175</v>
      </c>
      <c r="B73" s="21" t="s">
        <v>176</v>
      </c>
      <c r="C73" t="s">
        <v>177</v>
      </c>
      <c r="D73" s="22" t="s">
        <v>42</v>
      </c>
      <c r="E73" s="22" t="s">
        <v>42</v>
      </c>
      <c r="F73" s="22" t="s">
        <v>42</v>
      </c>
      <c r="G73" s="23" t="s">
        <v>42</v>
      </c>
      <c r="H73" s="22" t="s">
        <v>42</v>
      </c>
      <c r="I73" s="22" t="s">
        <v>42</v>
      </c>
      <c r="J73" s="22" t="s">
        <v>42</v>
      </c>
      <c r="K73" s="22" t="s">
        <v>42</v>
      </c>
      <c r="L73" s="22" t="s">
        <v>42</v>
      </c>
      <c r="M73" s="22" t="s">
        <v>42</v>
      </c>
      <c r="N73" s="22" t="s">
        <v>42</v>
      </c>
      <c r="O73" s="23" t="s">
        <v>42</v>
      </c>
      <c r="P73" s="22" t="s">
        <v>42</v>
      </c>
      <c r="Q73" s="22" t="s">
        <v>42</v>
      </c>
      <c r="R73" s="24"/>
      <c r="S73" s="23" t="s">
        <v>42</v>
      </c>
      <c r="T73" s="23" t="s">
        <v>42</v>
      </c>
      <c r="U73" s="23" t="s">
        <v>42</v>
      </c>
      <c r="V73" s="23" t="s">
        <v>42</v>
      </c>
      <c r="W73" s="23" t="s">
        <v>42</v>
      </c>
      <c r="X73" s="23" t="s">
        <v>42</v>
      </c>
      <c r="Y73" s="23" t="s">
        <v>42</v>
      </c>
      <c r="Z73" s="23" t="s">
        <v>42</v>
      </c>
      <c r="AA73" s="23" t="s">
        <v>42</v>
      </c>
      <c r="AB73" s="23" t="s">
        <v>42</v>
      </c>
      <c r="AC73" s="23" t="s">
        <v>42</v>
      </c>
      <c r="AD73" s="23" t="s">
        <v>42</v>
      </c>
      <c r="AE73" s="23" t="s">
        <v>42</v>
      </c>
      <c r="AF73" s="23" t="s">
        <v>42</v>
      </c>
      <c r="AG73" s="25"/>
      <c r="AK73" t="s">
        <v>694</v>
      </c>
    </row>
    <row r="74" spans="1:37" ht="30" x14ac:dyDescent="0.25">
      <c r="A74" s="18" t="s">
        <v>178</v>
      </c>
      <c r="B74" s="19" t="s">
        <v>179</v>
      </c>
      <c r="D74" s="14"/>
      <c r="E74" s="14"/>
      <c r="F74" s="14"/>
      <c r="G74" s="15"/>
      <c r="H74" s="14"/>
      <c r="I74" s="14"/>
      <c r="J74" s="14"/>
      <c r="K74" s="14"/>
      <c r="L74" s="14"/>
      <c r="M74" s="14"/>
      <c r="R74" s="16"/>
      <c r="S74" s="14"/>
      <c r="T74" s="14"/>
      <c r="U74" s="14"/>
      <c r="V74" s="14"/>
      <c r="W74" s="14"/>
      <c r="X74" s="14"/>
      <c r="Y74" s="15"/>
      <c r="Z74" s="14"/>
      <c r="AA74" s="14"/>
      <c r="AB74" s="14"/>
      <c r="AC74" s="14"/>
      <c r="AD74" s="14"/>
      <c r="AE74" s="14"/>
    </row>
    <row r="75" spans="1:37" x14ac:dyDescent="0.25">
      <c r="A75" s="20" t="s">
        <v>180</v>
      </c>
      <c r="B75" s="21" t="s">
        <v>181</v>
      </c>
      <c r="C75" s="21"/>
      <c r="D75" s="22" t="s">
        <v>42</v>
      </c>
      <c r="E75" s="22" t="s">
        <v>42</v>
      </c>
      <c r="F75" s="22" t="s">
        <v>42</v>
      </c>
      <c r="G75" s="23" t="s">
        <v>42</v>
      </c>
      <c r="H75" s="22" t="s">
        <v>42</v>
      </c>
      <c r="I75" s="22" t="s">
        <v>42</v>
      </c>
      <c r="J75" s="14"/>
      <c r="K75" s="14"/>
      <c r="L75" s="14"/>
      <c r="M75" s="14"/>
      <c r="N75" s="22" t="s">
        <v>42</v>
      </c>
      <c r="O75" s="23" t="s">
        <v>42</v>
      </c>
      <c r="P75" s="22" t="s">
        <v>42</v>
      </c>
      <c r="Q75" s="22" t="s">
        <v>42</v>
      </c>
      <c r="R75" s="24"/>
      <c r="S75" s="23" t="s">
        <v>42</v>
      </c>
      <c r="T75" s="23" t="s">
        <v>42</v>
      </c>
      <c r="U75" s="23" t="s">
        <v>42</v>
      </c>
      <c r="V75" s="23" t="s">
        <v>42</v>
      </c>
      <c r="W75" s="23" t="s">
        <v>42</v>
      </c>
      <c r="X75" s="23" t="s">
        <v>42</v>
      </c>
      <c r="Y75" s="15"/>
      <c r="Z75" s="15"/>
      <c r="AA75" s="15"/>
      <c r="AB75" s="15"/>
      <c r="AC75" s="23" t="s">
        <v>42</v>
      </c>
      <c r="AD75" s="23" t="s">
        <v>42</v>
      </c>
      <c r="AE75" s="23" t="s">
        <v>42</v>
      </c>
      <c r="AF75" s="23" t="s">
        <v>42</v>
      </c>
      <c r="AG75" s="25"/>
      <c r="AK75" t="s">
        <v>706</v>
      </c>
    </row>
    <row r="76" spans="1:37" x14ac:dyDescent="0.25">
      <c r="A76" s="20" t="s">
        <v>182</v>
      </c>
      <c r="B76" s="21" t="s">
        <v>183</v>
      </c>
      <c r="C76" s="21"/>
      <c r="D76" s="22" t="s">
        <v>42</v>
      </c>
      <c r="E76" s="22" t="s">
        <v>42</v>
      </c>
      <c r="F76" s="22" t="s">
        <v>42</v>
      </c>
      <c r="G76" s="23" t="s">
        <v>42</v>
      </c>
      <c r="H76" s="22" t="s">
        <v>42</v>
      </c>
      <c r="I76" s="22" t="s">
        <v>42</v>
      </c>
      <c r="J76" s="14"/>
      <c r="K76" s="14"/>
      <c r="L76" s="14"/>
      <c r="M76" s="14"/>
      <c r="N76" s="22" t="s">
        <v>42</v>
      </c>
      <c r="O76" s="23" t="s">
        <v>42</v>
      </c>
      <c r="P76" s="22" t="s">
        <v>42</v>
      </c>
      <c r="Q76" s="22" t="s">
        <v>42</v>
      </c>
      <c r="R76" s="24"/>
      <c r="S76" s="23"/>
      <c r="T76" s="23"/>
      <c r="U76" s="23"/>
      <c r="V76" s="23"/>
      <c r="W76" s="23"/>
      <c r="X76" s="23"/>
      <c r="Y76" s="15"/>
      <c r="Z76" s="15"/>
      <c r="AA76" s="15"/>
      <c r="AB76" s="15"/>
      <c r="AC76" s="23"/>
      <c r="AD76" s="23"/>
      <c r="AE76" s="23"/>
      <c r="AF76" s="23"/>
      <c r="AG76" s="25"/>
      <c r="AK76" t="s">
        <v>707</v>
      </c>
    </row>
    <row r="77" spans="1:37" x14ac:dyDescent="0.25">
      <c r="A77" s="20" t="s">
        <v>184</v>
      </c>
      <c r="B77" s="21" t="s">
        <v>185</v>
      </c>
      <c r="C77" s="21"/>
      <c r="D77" s="22"/>
      <c r="E77" s="22"/>
      <c r="F77" s="22"/>
      <c r="G77" s="23"/>
      <c r="H77" s="22"/>
      <c r="I77" s="22"/>
      <c r="J77" s="14"/>
      <c r="K77" s="14"/>
      <c r="L77" s="14"/>
      <c r="M77" s="14"/>
      <c r="N77" s="22"/>
      <c r="O77" s="23"/>
      <c r="P77" s="22"/>
      <c r="Q77" s="22"/>
      <c r="R77" s="24"/>
      <c r="S77" s="23" t="s">
        <v>42</v>
      </c>
      <c r="T77" s="23" t="s">
        <v>42</v>
      </c>
      <c r="U77" s="23" t="s">
        <v>42</v>
      </c>
      <c r="V77" s="23" t="s">
        <v>42</v>
      </c>
      <c r="W77" s="23" t="s">
        <v>42</v>
      </c>
      <c r="X77" s="23" t="s">
        <v>42</v>
      </c>
      <c r="Y77" s="15"/>
      <c r="Z77" s="15"/>
      <c r="AA77" s="15"/>
      <c r="AB77" s="15"/>
      <c r="AC77" s="23" t="s">
        <v>42</v>
      </c>
      <c r="AD77" s="23" t="s">
        <v>42</v>
      </c>
      <c r="AE77" s="23" t="s">
        <v>42</v>
      </c>
      <c r="AF77" s="23" t="s">
        <v>42</v>
      </c>
      <c r="AG77" s="25"/>
      <c r="AK77" t="s">
        <v>708</v>
      </c>
    </row>
    <row r="78" spans="1:37" x14ac:dyDescent="0.25">
      <c r="A78" s="20" t="s">
        <v>186</v>
      </c>
      <c r="B78" s="21" t="s">
        <v>187</v>
      </c>
      <c r="C78" s="21"/>
      <c r="D78" s="22" t="s">
        <v>42</v>
      </c>
      <c r="E78" s="22" t="s">
        <v>42</v>
      </c>
      <c r="F78" s="22" t="s">
        <v>42</v>
      </c>
      <c r="G78" s="23" t="s">
        <v>42</v>
      </c>
      <c r="H78" s="22" t="s">
        <v>42</v>
      </c>
      <c r="I78" s="22" t="s">
        <v>42</v>
      </c>
      <c r="J78" s="14"/>
      <c r="K78" s="14"/>
      <c r="L78" s="14"/>
      <c r="M78" s="14"/>
      <c r="N78" s="22" t="s">
        <v>42</v>
      </c>
      <c r="O78" s="23" t="s">
        <v>42</v>
      </c>
      <c r="P78" s="22" t="s">
        <v>42</v>
      </c>
      <c r="Q78" s="22" t="s">
        <v>42</v>
      </c>
      <c r="R78" s="24"/>
      <c r="S78" s="23"/>
      <c r="T78" s="23"/>
      <c r="U78" s="23"/>
      <c r="V78" s="23"/>
      <c r="W78" s="23"/>
      <c r="X78" s="23"/>
      <c r="Y78" s="15"/>
      <c r="Z78" s="15"/>
      <c r="AA78" s="15"/>
      <c r="AB78" s="15"/>
      <c r="AC78" s="15"/>
      <c r="AD78" s="15"/>
      <c r="AE78" s="15"/>
      <c r="AG78" s="25"/>
      <c r="AK78" t="s">
        <v>709</v>
      </c>
    </row>
    <row r="79" spans="1:37" x14ac:dyDescent="0.25">
      <c r="A79" s="20" t="s">
        <v>188</v>
      </c>
      <c r="B79" s="21" t="s">
        <v>189</v>
      </c>
      <c r="C79" s="21" t="s">
        <v>190</v>
      </c>
      <c r="D79" s="22" t="s">
        <v>78</v>
      </c>
      <c r="E79" s="22" t="s">
        <v>78</v>
      </c>
      <c r="F79" s="22" t="s">
        <v>78</v>
      </c>
      <c r="G79" s="22" t="s">
        <v>78</v>
      </c>
      <c r="H79" s="22" t="s">
        <v>78</v>
      </c>
      <c r="I79" s="22" t="s">
        <v>78</v>
      </c>
      <c r="J79" s="14"/>
      <c r="K79" s="14"/>
      <c r="L79" s="14"/>
      <c r="M79" s="14"/>
      <c r="N79" s="22"/>
      <c r="O79" s="22"/>
      <c r="P79" s="22"/>
      <c r="Q79" s="22"/>
      <c r="R79" s="24"/>
      <c r="S79" s="22" t="s">
        <v>78</v>
      </c>
      <c r="T79" s="22" t="s">
        <v>78</v>
      </c>
      <c r="U79" s="22" t="s">
        <v>78</v>
      </c>
      <c r="V79" s="22" t="s">
        <v>78</v>
      </c>
      <c r="W79" s="22" t="s">
        <v>78</v>
      </c>
      <c r="X79" s="22" t="s">
        <v>78</v>
      </c>
      <c r="Y79" s="15"/>
      <c r="Z79" s="15"/>
      <c r="AA79" s="15"/>
      <c r="AB79" s="15"/>
      <c r="AC79" s="15"/>
      <c r="AD79" s="15"/>
      <c r="AE79" s="15"/>
      <c r="AG79" s="25"/>
      <c r="AK79" t="s">
        <v>710</v>
      </c>
    </row>
    <row r="80" spans="1:37" x14ac:dyDescent="0.25">
      <c r="A80" s="20" t="s">
        <v>191</v>
      </c>
      <c r="B80" s="21" t="s">
        <v>192</v>
      </c>
      <c r="C80" s="21" t="s">
        <v>190</v>
      </c>
      <c r="D80" s="22" t="s">
        <v>78</v>
      </c>
      <c r="E80" s="22" t="s">
        <v>78</v>
      </c>
      <c r="F80" s="22" t="s">
        <v>78</v>
      </c>
      <c r="G80" s="22" t="s">
        <v>78</v>
      </c>
      <c r="H80" s="22" t="s">
        <v>78</v>
      </c>
      <c r="I80" s="22" t="s">
        <v>78</v>
      </c>
      <c r="J80" s="14"/>
      <c r="K80" s="14"/>
      <c r="L80" s="14"/>
      <c r="M80" s="14"/>
      <c r="N80" s="22"/>
      <c r="O80" s="22"/>
      <c r="P80" s="22"/>
      <c r="Q80" s="22"/>
      <c r="R80" s="24"/>
      <c r="S80" s="23"/>
      <c r="T80" s="23"/>
      <c r="U80" s="23"/>
      <c r="V80" s="23"/>
      <c r="W80" s="23"/>
      <c r="X80" s="23"/>
      <c r="Y80" s="15"/>
      <c r="Z80" s="15"/>
      <c r="AA80" s="15"/>
      <c r="AB80" s="15"/>
      <c r="AC80" s="15"/>
      <c r="AD80" s="15"/>
      <c r="AE80" s="15"/>
      <c r="AG80" s="25"/>
      <c r="AK80" t="s">
        <v>711</v>
      </c>
    </row>
    <row r="81" spans="1:37" x14ac:dyDescent="0.25">
      <c r="A81" s="20" t="s">
        <v>193</v>
      </c>
      <c r="B81" s="21" t="s">
        <v>194</v>
      </c>
      <c r="C81" s="21" t="s">
        <v>190</v>
      </c>
      <c r="D81" s="22"/>
      <c r="E81" s="22"/>
      <c r="F81" s="22"/>
      <c r="G81" s="22"/>
      <c r="H81" s="22"/>
      <c r="I81" s="22"/>
      <c r="J81" s="14"/>
      <c r="K81" s="14"/>
      <c r="L81" s="14"/>
      <c r="M81" s="14"/>
      <c r="N81" s="22"/>
      <c r="O81" s="22"/>
      <c r="P81" s="22"/>
      <c r="Q81" s="22"/>
      <c r="R81" s="24"/>
      <c r="S81" s="22" t="s">
        <v>78</v>
      </c>
      <c r="T81" s="22" t="s">
        <v>78</v>
      </c>
      <c r="U81" s="22" t="s">
        <v>78</v>
      </c>
      <c r="V81" s="22" t="s">
        <v>78</v>
      </c>
      <c r="W81" s="22" t="s">
        <v>78</v>
      </c>
      <c r="X81" s="22" t="s">
        <v>78</v>
      </c>
      <c r="Y81" s="15"/>
      <c r="Z81" s="15"/>
      <c r="AA81" s="15"/>
      <c r="AB81" s="15"/>
      <c r="AC81" s="15"/>
      <c r="AD81" s="15"/>
      <c r="AE81" s="15"/>
      <c r="AG81" s="25"/>
      <c r="AK81" t="s">
        <v>712</v>
      </c>
    </row>
    <row r="82" spans="1:37" x14ac:dyDescent="0.25">
      <c r="A82" s="20" t="s">
        <v>195</v>
      </c>
      <c r="B82" s="21" t="s">
        <v>196</v>
      </c>
      <c r="C82" s="21" t="s">
        <v>190</v>
      </c>
      <c r="D82" s="22" t="s">
        <v>78</v>
      </c>
      <c r="E82" s="22" t="s">
        <v>78</v>
      </c>
      <c r="F82" s="22" t="s">
        <v>78</v>
      </c>
      <c r="G82" s="22" t="s">
        <v>78</v>
      </c>
      <c r="H82" s="22" t="s">
        <v>78</v>
      </c>
      <c r="I82" s="22" t="s">
        <v>78</v>
      </c>
      <c r="J82" s="14"/>
      <c r="K82" s="14"/>
      <c r="L82" s="14"/>
      <c r="M82" s="14"/>
      <c r="N82" s="22"/>
      <c r="O82" s="22"/>
      <c r="P82" s="22"/>
      <c r="Q82" s="22"/>
      <c r="R82" s="24"/>
      <c r="S82" s="23"/>
      <c r="T82" s="23"/>
      <c r="U82" s="23"/>
      <c r="V82" s="23"/>
      <c r="W82" s="23"/>
      <c r="X82" s="23"/>
      <c r="Y82" s="15"/>
      <c r="Z82" s="15"/>
      <c r="AA82" s="15"/>
      <c r="AB82" s="15"/>
      <c r="AC82" s="15"/>
      <c r="AD82" s="15"/>
      <c r="AE82" s="15"/>
      <c r="AG82" s="25"/>
      <c r="AK82" t="s">
        <v>713</v>
      </c>
    </row>
    <row r="83" spans="1:37" x14ac:dyDescent="0.25">
      <c r="A83" s="20" t="s">
        <v>197</v>
      </c>
      <c r="B83" s="21" t="s">
        <v>198</v>
      </c>
      <c r="C83" s="21" t="s">
        <v>876</v>
      </c>
      <c r="D83" s="23" t="s">
        <v>42</v>
      </c>
      <c r="E83" s="23" t="s">
        <v>78</v>
      </c>
      <c r="F83" s="23" t="s">
        <v>78</v>
      </c>
      <c r="G83" s="23" t="s">
        <v>78</v>
      </c>
      <c r="H83" s="23" t="s">
        <v>78</v>
      </c>
      <c r="I83" s="23" t="s">
        <v>78</v>
      </c>
      <c r="J83" s="23" t="s">
        <v>42</v>
      </c>
      <c r="K83" s="23" t="s">
        <v>42</v>
      </c>
      <c r="L83" s="23" t="s">
        <v>42</v>
      </c>
      <c r="M83" s="23" t="s">
        <v>42</v>
      </c>
      <c r="N83" s="23" t="s">
        <v>78</v>
      </c>
      <c r="O83" s="23" t="s">
        <v>78</v>
      </c>
      <c r="P83" s="23" t="s">
        <v>78</v>
      </c>
      <c r="Q83" s="23" t="s">
        <v>78</v>
      </c>
      <c r="R83" s="24"/>
      <c r="S83" s="23" t="s">
        <v>42</v>
      </c>
      <c r="T83" s="23" t="s">
        <v>78</v>
      </c>
      <c r="U83" s="23" t="s">
        <v>78</v>
      </c>
      <c r="V83" s="23" t="s">
        <v>78</v>
      </c>
      <c r="W83" s="23" t="s">
        <v>78</v>
      </c>
      <c r="X83" s="23" t="s">
        <v>78</v>
      </c>
      <c r="Y83" s="23" t="s">
        <v>42</v>
      </c>
      <c r="Z83" s="23" t="s">
        <v>42</v>
      </c>
      <c r="AA83" s="23" t="s">
        <v>42</v>
      </c>
      <c r="AB83" s="23" t="s">
        <v>42</v>
      </c>
      <c r="AC83" s="23" t="s">
        <v>78</v>
      </c>
      <c r="AD83" s="23" t="s">
        <v>78</v>
      </c>
      <c r="AE83" s="23" t="s">
        <v>78</v>
      </c>
      <c r="AF83" s="23" t="s">
        <v>78</v>
      </c>
      <c r="AG83" s="25"/>
      <c r="AK83" t="s">
        <v>719</v>
      </c>
    </row>
    <row r="84" spans="1:37" x14ac:dyDescent="0.25">
      <c r="A84" s="20" t="s">
        <v>199</v>
      </c>
      <c r="B84" s="21" t="s">
        <v>200</v>
      </c>
      <c r="C84" s="21" t="s">
        <v>876</v>
      </c>
      <c r="D84" s="23" t="s">
        <v>42</v>
      </c>
      <c r="E84" s="23" t="s">
        <v>78</v>
      </c>
      <c r="F84" s="23" t="s">
        <v>78</v>
      </c>
      <c r="G84" s="23" t="s">
        <v>78</v>
      </c>
      <c r="H84" s="23" t="s">
        <v>78</v>
      </c>
      <c r="I84" s="23" t="s">
        <v>78</v>
      </c>
      <c r="J84" s="23" t="s">
        <v>42</v>
      </c>
      <c r="K84" s="23" t="s">
        <v>42</v>
      </c>
      <c r="L84" s="23" t="s">
        <v>42</v>
      </c>
      <c r="M84" s="23" t="s">
        <v>42</v>
      </c>
      <c r="N84" s="23" t="s">
        <v>78</v>
      </c>
      <c r="O84" s="23" t="s">
        <v>78</v>
      </c>
      <c r="P84" s="23" t="s">
        <v>78</v>
      </c>
      <c r="Q84" s="23" t="s">
        <v>78</v>
      </c>
      <c r="R84" s="24"/>
      <c r="S84" s="23"/>
      <c r="T84" s="23"/>
      <c r="U84" s="23"/>
      <c r="V84" s="23"/>
      <c r="W84" s="23"/>
      <c r="X84" s="23"/>
      <c r="Y84" s="15"/>
      <c r="Z84" s="15"/>
      <c r="AA84" s="15"/>
      <c r="AB84" s="15"/>
      <c r="AC84" s="23"/>
      <c r="AD84" s="23"/>
      <c r="AE84" s="23"/>
      <c r="AF84" s="23"/>
      <c r="AG84" s="25"/>
      <c r="AK84" t="s">
        <v>720</v>
      </c>
    </row>
    <row r="85" spans="1:37" x14ac:dyDescent="0.25">
      <c r="A85" s="20" t="s">
        <v>201</v>
      </c>
      <c r="B85" s="21" t="s">
        <v>202</v>
      </c>
      <c r="C85" s="21" t="s">
        <v>876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4"/>
      <c r="S85" s="23" t="s">
        <v>42</v>
      </c>
      <c r="T85" s="23" t="s">
        <v>78</v>
      </c>
      <c r="U85" s="23" t="s">
        <v>78</v>
      </c>
      <c r="V85" s="23" t="s">
        <v>78</v>
      </c>
      <c r="W85" s="23" t="s">
        <v>78</v>
      </c>
      <c r="X85" s="23" t="s">
        <v>78</v>
      </c>
      <c r="Y85" s="23" t="s">
        <v>42</v>
      </c>
      <c r="Z85" s="23" t="s">
        <v>42</v>
      </c>
      <c r="AA85" s="23" t="s">
        <v>42</v>
      </c>
      <c r="AB85" s="23" t="s">
        <v>42</v>
      </c>
      <c r="AC85" s="23" t="s">
        <v>78</v>
      </c>
      <c r="AD85" s="23" t="s">
        <v>78</v>
      </c>
      <c r="AE85" s="23" t="s">
        <v>78</v>
      </c>
      <c r="AF85" s="23" t="s">
        <v>78</v>
      </c>
      <c r="AG85" s="25"/>
      <c r="AK85" t="s">
        <v>721</v>
      </c>
    </row>
    <row r="86" spans="1:37" x14ac:dyDescent="0.25">
      <c r="A86" s="20" t="s">
        <v>203</v>
      </c>
      <c r="B86" s="21" t="s">
        <v>204</v>
      </c>
      <c r="C86" s="21" t="s">
        <v>876</v>
      </c>
      <c r="D86" s="23" t="s">
        <v>42</v>
      </c>
      <c r="E86" s="23" t="s">
        <v>78</v>
      </c>
      <c r="F86" s="23" t="s">
        <v>78</v>
      </c>
      <c r="G86" s="23" t="s">
        <v>78</v>
      </c>
      <c r="H86" s="23" t="s">
        <v>78</v>
      </c>
      <c r="I86" s="23" t="s">
        <v>78</v>
      </c>
      <c r="J86" s="23" t="s">
        <v>42</v>
      </c>
      <c r="K86" s="23" t="s">
        <v>42</v>
      </c>
      <c r="L86" s="23" t="s">
        <v>42</v>
      </c>
      <c r="M86" s="23" t="s">
        <v>42</v>
      </c>
      <c r="N86" s="23" t="s">
        <v>78</v>
      </c>
      <c r="O86" s="23" t="s">
        <v>78</v>
      </c>
      <c r="P86" s="23" t="s">
        <v>78</v>
      </c>
      <c r="Q86" s="23" t="s">
        <v>78</v>
      </c>
      <c r="R86" s="24"/>
      <c r="S86" s="23"/>
      <c r="T86" s="23"/>
      <c r="U86" s="23"/>
      <c r="V86" s="23"/>
      <c r="W86" s="23"/>
      <c r="X86" s="23"/>
      <c r="Y86" s="15"/>
      <c r="Z86" s="15"/>
      <c r="AA86" s="15"/>
      <c r="AB86" s="15"/>
      <c r="AC86" s="15"/>
      <c r="AD86" s="15"/>
      <c r="AE86" s="15"/>
      <c r="AG86" s="25"/>
      <c r="AK86" t="s">
        <v>722</v>
      </c>
    </row>
    <row r="87" spans="1:37" x14ac:dyDescent="0.25">
      <c r="A87" s="18" t="s">
        <v>205</v>
      </c>
      <c r="B87" s="19" t="s">
        <v>206</v>
      </c>
      <c r="D87" s="14"/>
      <c r="E87" s="14"/>
      <c r="F87" s="14"/>
      <c r="G87" s="15"/>
      <c r="H87" s="14"/>
      <c r="I87" s="14"/>
      <c r="J87" s="14"/>
      <c r="K87" s="14"/>
      <c r="L87" s="14"/>
      <c r="M87" s="14"/>
      <c r="R87" s="16"/>
      <c r="S87" s="23"/>
      <c r="T87" s="23"/>
      <c r="U87" s="23"/>
      <c r="V87" s="23"/>
      <c r="W87" s="23"/>
      <c r="X87" s="23"/>
      <c r="Y87" s="15"/>
      <c r="Z87" s="15"/>
      <c r="AA87" s="15"/>
      <c r="AB87" s="15"/>
      <c r="AC87" s="15"/>
      <c r="AD87" s="15"/>
      <c r="AE87" s="15"/>
    </row>
    <row r="88" spans="1:37" x14ac:dyDescent="0.25">
      <c r="A88" s="20" t="s">
        <v>207</v>
      </c>
      <c r="B88" s="21" t="s">
        <v>208</v>
      </c>
      <c r="D88" s="22" t="s">
        <v>42</v>
      </c>
      <c r="E88" s="22" t="s">
        <v>42</v>
      </c>
      <c r="F88" s="22" t="s">
        <v>42</v>
      </c>
      <c r="G88" s="23" t="s">
        <v>42</v>
      </c>
      <c r="H88" s="22" t="s">
        <v>42</v>
      </c>
      <c r="I88" s="22" t="s">
        <v>42</v>
      </c>
      <c r="J88" s="14"/>
      <c r="K88" s="14"/>
      <c r="L88" s="14"/>
      <c r="M88" s="14"/>
      <c r="R88" s="24"/>
      <c r="S88" s="23" t="s">
        <v>42</v>
      </c>
      <c r="T88" s="23" t="s">
        <v>42</v>
      </c>
      <c r="U88" s="23" t="s">
        <v>42</v>
      </c>
      <c r="V88" s="23" t="s">
        <v>42</v>
      </c>
      <c r="W88" s="23" t="s">
        <v>42</v>
      </c>
      <c r="X88" s="23" t="s">
        <v>42</v>
      </c>
      <c r="Y88" s="15"/>
      <c r="Z88" s="15"/>
      <c r="AA88" s="15"/>
      <c r="AB88" s="15"/>
      <c r="AC88" s="15"/>
      <c r="AD88" s="15"/>
      <c r="AE88" s="15"/>
      <c r="AG88" s="25"/>
      <c r="AH88" s="26"/>
      <c r="AI88" s="26"/>
      <c r="AK88" t="s">
        <v>714</v>
      </c>
    </row>
    <row r="89" spans="1:37" x14ac:dyDescent="0.25">
      <c r="A89" s="20" t="s">
        <v>209</v>
      </c>
      <c r="B89" s="21" t="s">
        <v>210</v>
      </c>
      <c r="D89" s="22" t="s">
        <v>42</v>
      </c>
      <c r="E89" s="22" t="s">
        <v>42</v>
      </c>
      <c r="F89" s="22" t="s">
        <v>42</v>
      </c>
      <c r="G89" s="23" t="s">
        <v>42</v>
      </c>
      <c r="H89" s="22" t="s">
        <v>42</v>
      </c>
      <c r="I89" s="22" t="s">
        <v>42</v>
      </c>
      <c r="J89" s="14"/>
      <c r="K89" s="14"/>
      <c r="L89" s="14"/>
      <c r="M89" s="14"/>
      <c r="R89" s="24"/>
      <c r="S89" s="23"/>
      <c r="T89" s="23"/>
      <c r="U89" s="23"/>
      <c r="V89" s="23"/>
      <c r="W89" s="23"/>
      <c r="X89" s="23"/>
      <c r="Y89" s="15"/>
      <c r="Z89" s="15"/>
      <c r="AA89" s="15"/>
      <c r="AB89" s="15"/>
      <c r="AC89" s="15"/>
      <c r="AD89" s="15"/>
      <c r="AE89" s="15"/>
      <c r="AG89" s="25"/>
      <c r="AH89" s="26"/>
      <c r="AI89" s="26"/>
      <c r="AK89" t="s">
        <v>715</v>
      </c>
    </row>
    <row r="90" spans="1:37" x14ac:dyDescent="0.25">
      <c r="A90" s="20" t="s">
        <v>211</v>
      </c>
      <c r="B90" s="21" t="s">
        <v>212</v>
      </c>
      <c r="D90" s="22"/>
      <c r="E90" s="22"/>
      <c r="F90" s="22"/>
      <c r="G90" s="23"/>
      <c r="H90" s="22"/>
      <c r="I90" s="22"/>
      <c r="J90" s="14"/>
      <c r="K90" s="14"/>
      <c r="L90" s="14"/>
      <c r="M90" s="14"/>
      <c r="R90" s="24"/>
      <c r="S90" s="23" t="s">
        <v>42</v>
      </c>
      <c r="T90" s="23" t="s">
        <v>42</v>
      </c>
      <c r="U90" s="23" t="s">
        <v>42</v>
      </c>
      <c r="V90" s="23" t="s">
        <v>42</v>
      </c>
      <c r="W90" s="23" t="s">
        <v>42</v>
      </c>
      <c r="X90" s="23" t="s">
        <v>42</v>
      </c>
      <c r="Y90" s="15"/>
      <c r="Z90" s="15"/>
      <c r="AA90" s="15"/>
      <c r="AB90" s="15"/>
      <c r="AC90" s="15"/>
      <c r="AD90" s="15"/>
      <c r="AE90" s="15"/>
      <c r="AG90" s="25"/>
      <c r="AH90" s="26"/>
      <c r="AI90" s="26"/>
      <c r="AK90" t="s">
        <v>716</v>
      </c>
    </row>
    <row r="91" spans="1:37" x14ac:dyDescent="0.25">
      <c r="A91" s="20" t="s">
        <v>213</v>
      </c>
      <c r="B91" s="21" t="s">
        <v>214</v>
      </c>
      <c r="D91" s="22" t="s">
        <v>42</v>
      </c>
      <c r="E91" s="22" t="s">
        <v>42</v>
      </c>
      <c r="F91" s="22" t="s">
        <v>42</v>
      </c>
      <c r="G91" s="23" t="s">
        <v>42</v>
      </c>
      <c r="H91" s="22" t="s">
        <v>42</v>
      </c>
      <c r="I91" s="22" t="s">
        <v>42</v>
      </c>
      <c r="J91" s="14"/>
      <c r="K91" s="14"/>
      <c r="L91" s="14"/>
      <c r="M91" s="14"/>
      <c r="R91" s="24"/>
      <c r="S91" s="23"/>
      <c r="T91" s="23"/>
      <c r="U91" s="23"/>
      <c r="V91" s="23"/>
      <c r="W91" s="23"/>
      <c r="X91" s="23"/>
      <c r="Y91" s="23" t="s">
        <v>78</v>
      </c>
      <c r="Z91" s="23" t="s">
        <v>78</v>
      </c>
      <c r="AA91" s="23" t="s">
        <v>78</v>
      </c>
      <c r="AB91" s="23" t="s">
        <v>78</v>
      </c>
      <c r="AC91" s="23" t="s">
        <v>78</v>
      </c>
      <c r="AD91" s="23" t="s">
        <v>78</v>
      </c>
      <c r="AE91" s="23" t="s">
        <v>78</v>
      </c>
      <c r="AF91" s="23" t="s">
        <v>78</v>
      </c>
      <c r="AG91" s="25"/>
      <c r="AH91" s="26"/>
      <c r="AI91" s="26"/>
      <c r="AK91" t="s">
        <v>717</v>
      </c>
    </row>
    <row r="92" spans="1:37" x14ac:dyDescent="0.25">
      <c r="A92" t="s">
        <v>881</v>
      </c>
      <c r="B92" t="s">
        <v>215</v>
      </c>
      <c r="D92" s="22" t="s">
        <v>78</v>
      </c>
      <c r="E92" s="22"/>
      <c r="F92" s="22"/>
      <c r="G92" s="23"/>
      <c r="H92" s="22"/>
      <c r="I92" s="22"/>
      <c r="J92" s="14"/>
      <c r="K92" s="14"/>
      <c r="L92" s="14"/>
      <c r="M92" s="14"/>
      <c r="R92" s="24"/>
      <c r="S92" s="23" t="s">
        <v>78</v>
      </c>
      <c r="T92" s="23"/>
      <c r="U92" s="23"/>
      <c r="V92" s="23"/>
      <c r="W92" s="23"/>
      <c r="X92" s="23"/>
      <c r="Y92" s="23" t="s">
        <v>78</v>
      </c>
      <c r="Z92" s="23" t="s">
        <v>78</v>
      </c>
      <c r="AA92" s="23" t="s">
        <v>78</v>
      </c>
      <c r="AB92" s="23" t="s">
        <v>78</v>
      </c>
      <c r="AC92" s="23" t="s">
        <v>78</v>
      </c>
      <c r="AD92" s="23" t="s">
        <v>78</v>
      </c>
      <c r="AE92" s="23" t="s">
        <v>78</v>
      </c>
      <c r="AF92" s="23" t="s">
        <v>78</v>
      </c>
      <c r="AG92" s="25"/>
      <c r="AH92" s="26"/>
      <c r="AI92" s="26"/>
    </row>
    <row r="93" spans="1:37" x14ac:dyDescent="0.25">
      <c r="A93" t="s">
        <v>882</v>
      </c>
      <c r="B93" t="s">
        <v>216</v>
      </c>
      <c r="D93" s="22" t="s">
        <v>78</v>
      </c>
      <c r="E93" s="22"/>
      <c r="F93" s="22"/>
      <c r="G93" s="23"/>
      <c r="H93" s="22"/>
      <c r="I93" s="22"/>
      <c r="J93" s="14"/>
      <c r="K93" s="14"/>
      <c r="L93" s="14"/>
      <c r="M93" s="14"/>
      <c r="R93" s="24"/>
      <c r="S93" s="23" t="s">
        <v>78</v>
      </c>
      <c r="T93" s="23"/>
      <c r="U93" s="23"/>
      <c r="V93" s="23"/>
      <c r="W93" s="23"/>
      <c r="X93" s="23"/>
      <c r="Y93" s="23" t="s">
        <v>78</v>
      </c>
      <c r="Z93" s="23" t="s">
        <v>78</v>
      </c>
      <c r="AA93" s="23" t="s">
        <v>78</v>
      </c>
      <c r="AB93" s="23" t="s">
        <v>78</v>
      </c>
      <c r="AC93" s="23"/>
      <c r="AD93" s="23"/>
      <c r="AE93" s="23"/>
      <c r="AG93" s="25"/>
      <c r="AH93" s="26"/>
      <c r="AI93" s="26"/>
    </row>
    <row r="94" spans="1:37" x14ac:dyDescent="0.25">
      <c r="A94" t="s">
        <v>883</v>
      </c>
      <c r="B94" t="s">
        <v>217</v>
      </c>
      <c r="C94" t="s">
        <v>218</v>
      </c>
      <c r="D94" s="22"/>
      <c r="E94" s="22" t="s">
        <v>78</v>
      </c>
      <c r="F94" s="22" t="s">
        <v>78</v>
      </c>
      <c r="G94" s="23" t="s">
        <v>78</v>
      </c>
      <c r="H94" s="22" t="s">
        <v>78</v>
      </c>
      <c r="I94" s="22" t="s">
        <v>78</v>
      </c>
      <c r="J94" s="14"/>
      <c r="K94" s="14"/>
      <c r="L94" s="14"/>
      <c r="M94" s="14"/>
      <c r="R94" s="24"/>
      <c r="S94" s="23"/>
      <c r="T94" s="23" t="s">
        <v>78</v>
      </c>
      <c r="U94" s="23" t="s">
        <v>78</v>
      </c>
      <c r="V94" s="23" t="s">
        <v>78</v>
      </c>
      <c r="W94" s="23" t="s">
        <v>78</v>
      </c>
      <c r="X94" s="23" t="s">
        <v>78</v>
      </c>
      <c r="Y94" s="15"/>
      <c r="Z94" s="15"/>
      <c r="AA94" s="15"/>
      <c r="AB94" s="15"/>
      <c r="AC94" s="15"/>
      <c r="AD94" s="15"/>
      <c r="AE94" s="15"/>
      <c r="AG94" s="25"/>
      <c r="AH94" s="26"/>
      <c r="AI94" s="26"/>
    </row>
    <row r="95" spans="1:37" x14ac:dyDescent="0.25">
      <c r="A95" s="18" t="s">
        <v>219</v>
      </c>
      <c r="B95" s="19" t="s">
        <v>848</v>
      </c>
      <c r="C95" s="13" t="s">
        <v>849</v>
      </c>
      <c r="D95" s="22"/>
      <c r="E95" s="22"/>
      <c r="F95" s="22"/>
      <c r="G95" s="23"/>
      <c r="H95" s="22"/>
      <c r="I95" s="22"/>
      <c r="J95" s="22"/>
      <c r="K95" s="22"/>
      <c r="L95" s="22"/>
      <c r="M95" s="22"/>
      <c r="R95" s="24"/>
      <c r="S95" s="23"/>
      <c r="T95" s="23"/>
      <c r="U95" s="23"/>
      <c r="V95" s="23"/>
      <c r="W95" s="23"/>
      <c r="X95" s="23"/>
      <c r="Y95" s="15"/>
      <c r="Z95" s="15"/>
      <c r="AA95" s="15"/>
      <c r="AB95" s="15"/>
      <c r="AC95" s="15"/>
      <c r="AD95" s="15"/>
      <c r="AE95" s="15"/>
      <c r="AG95" s="25"/>
      <c r="AI95" s="26"/>
    </row>
    <row r="96" spans="1:37" x14ac:dyDescent="0.25">
      <c r="A96" s="20" t="s">
        <v>220</v>
      </c>
      <c r="B96" s="21" t="s">
        <v>221</v>
      </c>
      <c r="C96" t="s">
        <v>222</v>
      </c>
      <c r="D96" s="22"/>
      <c r="E96" s="22" t="s">
        <v>78</v>
      </c>
      <c r="F96" s="22" t="s">
        <v>78</v>
      </c>
      <c r="G96" s="23" t="s">
        <v>78</v>
      </c>
      <c r="H96" s="22" t="s">
        <v>78</v>
      </c>
      <c r="I96" s="22" t="s">
        <v>78</v>
      </c>
      <c r="J96" s="22" t="s">
        <v>42</v>
      </c>
      <c r="K96" s="22" t="s">
        <v>42</v>
      </c>
      <c r="L96" s="22" t="s">
        <v>42</v>
      </c>
      <c r="M96" s="22" t="s">
        <v>42</v>
      </c>
      <c r="N96" s="22" t="s">
        <v>78</v>
      </c>
      <c r="O96" s="23" t="s">
        <v>78</v>
      </c>
      <c r="P96" s="22" t="s">
        <v>78</v>
      </c>
      <c r="Q96" s="22" t="s">
        <v>78</v>
      </c>
      <c r="R96" s="24"/>
      <c r="S96" s="23"/>
      <c r="T96" s="23" t="s">
        <v>78</v>
      </c>
      <c r="U96" s="23" t="s">
        <v>78</v>
      </c>
      <c r="V96" s="23" t="s">
        <v>78</v>
      </c>
      <c r="W96" s="23" t="s">
        <v>78</v>
      </c>
      <c r="X96" s="23" t="s">
        <v>78</v>
      </c>
      <c r="Y96" s="23" t="s">
        <v>42</v>
      </c>
      <c r="Z96" s="23" t="s">
        <v>42</v>
      </c>
      <c r="AA96" s="23" t="s">
        <v>42</v>
      </c>
      <c r="AB96" s="23" t="s">
        <v>42</v>
      </c>
      <c r="AC96" s="22" t="s">
        <v>78</v>
      </c>
      <c r="AD96" s="23" t="s">
        <v>78</v>
      </c>
      <c r="AE96" s="22" t="s">
        <v>78</v>
      </c>
      <c r="AF96" s="22" t="s">
        <v>78</v>
      </c>
      <c r="AG96" s="25"/>
      <c r="AI96" s="26"/>
      <c r="AK96" t="s">
        <v>697</v>
      </c>
    </row>
    <row r="97" spans="1:37" x14ac:dyDescent="0.25">
      <c r="A97" s="20" t="s">
        <v>223</v>
      </c>
      <c r="B97" s="21" t="s">
        <v>224</v>
      </c>
      <c r="C97" t="s">
        <v>222</v>
      </c>
      <c r="D97" s="22"/>
      <c r="E97" s="22" t="s">
        <v>78</v>
      </c>
      <c r="F97" s="22" t="s">
        <v>78</v>
      </c>
      <c r="G97" s="23" t="s">
        <v>78</v>
      </c>
      <c r="H97" s="22" t="s">
        <v>78</v>
      </c>
      <c r="I97" s="22" t="s">
        <v>78</v>
      </c>
      <c r="J97" s="22" t="s">
        <v>42</v>
      </c>
      <c r="K97" s="22" t="s">
        <v>42</v>
      </c>
      <c r="L97" s="22" t="s">
        <v>42</v>
      </c>
      <c r="M97" s="22" t="s">
        <v>42</v>
      </c>
      <c r="N97" s="22" t="s">
        <v>78</v>
      </c>
      <c r="O97" s="23" t="s">
        <v>78</v>
      </c>
      <c r="P97" s="22" t="s">
        <v>78</v>
      </c>
      <c r="Q97" s="22" t="s">
        <v>78</v>
      </c>
      <c r="R97" s="24"/>
      <c r="S97" s="23"/>
      <c r="T97" s="23" t="s">
        <v>78</v>
      </c>
      <c r="U97" s="23" t="s">
        <v>78</v>
      </c>
      <c r="V97" s="23" t="s">
        <v>78</v>
      </c>
      <c r="W97" s="23" t="s">
        <v>78</v>
      </c>
      <c r="X97" s="23" t="s">
        <v>78</v>
      </c>
      <c r="Y97" s="23" t="s">
        <v>42</v>
      </c>
      <c r="Z97" s="23" t="s">
        <v>42</v>
      </c>
      <c r="AA97" s="23" t="s">
        <v>42</v>
      </c>
      <c r="AB97" s="23" t="s">
        <v>42</v>
      </c>
      <c r="AC97" s="22" t="s">
        <v>78</v>
      </c>
      <c r="AD97" s="23" t="s">
        <v>78</v>
      </c>
      <c r="AE97" s="22" t="s">
        <v>78</v>
      </c>
      <c r="AF97" s="22" t="s">
        <v>78</v>
      </c>
      <c r="AG97" s="25"/>
      <c r="AI97" s="26"/>
      <c r="AK97" t="s">
        <v>698</v>
      </c>
    </row>
    <row r="98" spans="1:37" x14ac:dyDescent="0.25">
      <c r="A98" s="20" t="s">
        <v>225</v>
      </c>
      <c r="B98" s="36" t="s">
        <v>226</v>
      </c>
      <c r="C98" t="s">
        <v>227</v>
      </c>
      <c r="D98" s="22" t="s">
        <v>78</v>
      </c>
      <c r="E98" s="22" t="s">
        <v>78</v>
      </c>
      <c r="F98" s="22" t="s">
        <v>78</v>
      </c>
      <c r="G98" s="23" t="s">
        <v>78</v>
      </c>
      <c r="H98" s="22" t="s">
        <v>78</v>
      </c>
      <c r="I98" s="22" t="s">
        <v>78</v>
      </c>
      <c r="J98" s="22" t="s">
        <v>42</v>
      </c>
      <c r="K98" s="22" t="s">
        <v>42</v>
      </c>
      <c r="L98" s="22" t="s">
        <v>42</v>
      </c>
      <c r="M98" s="22" t="s">
        <v>42</v>
      </c>
      <c r="N98" s="22" t="s">
        <v>42</v>
      </c>
      <c r="O98" s="23" t="s">
        <v>42</v>
      </c>
      <c r="P98" s="22" t="s">
        <v>42</v>
      </c>
      <c r="Q98" s="22" t="s">
        <v>42</v>
      </c>
      <c r="R98" s="24"/>
      <c r="S98" s="23" t="s">
        <v>78</v>
      </c>
      <c r="T98" s="23" t="s">
        <v>78</v>
      </c>
      <c r="U98" s="23" t="s">
        <v>78</v>
      </c>
      <c r="V98" s="23" t="s">
        <v>78</v>
      </c>
      <c r="W98" s="23" t="s">
        <v>78</v>
      </c>
      <c r="X98" s="23" t="s">
        <v>78</v>
      </c>
      <c r="Y98" s="23" t="s">
        <v>42</v>
      </c>
      <c r="Z98" s="23" t="s">
        <v>42</v>
      </c>
      <c r="AA98" s="23" t="s">
        <v>42</v>
      </c>
      <c r="AB98" s="23" t="s">
        <v>42</v>
      </c>
      <c r="AC98" s="22" t="s">
        <v>42</v>
      </c>
      <c r="AD98" s="23" t="s">
        <v>42</v>
      </c>
      <c r="AE98" s="22" t="s">
        <v>42</v>
      </c>
      <c r="AF98" s="22" t="s">
        <v>42</v>
      </c>
      <c r="AG98" s="25"/>
      <c r="AI98" s="26"/>
      <c r="AK98" t="s">
        <v>699</v>
      </c>
    </row>
    <row r="99" spans="1:37" x14ac:dyDescent="0.25">
      <c r="A99" t="s">
        <v>847</v>
      </c>
      <c r="B99" t="s">
        <v>837</v>
      </c>
      <c r="C99"/>
      <c r="D99" s="17" t="s">
        <v>78</v>
      </c>
      <c r="E99" s="17" t="s">
        <v>78</v>
      </c>
      <c r="F99" s="17" t="s">
        <v>78</v>
      </c>
      <c r="G99" s="17" t="s">
        <v>78</v>
      </c>
      <c r="H99" s="17" t="s">
        <v>78</v>
      </c>
      <c r="I99" s="17" t="s">
        <v>78</v>
      </c>
      <c r="N99" s="17" t="s">
        <v>42</v>
      </c>
      <c r="O99" s="17" t="s">
        <v>42</v>
      </c>
      <c r="P99" s="17" t="s">
        <v>42</v>
      </c>
      <c r="Q99" s="17" t="s">
        <v>42</v>
      </c>
      <c r="R99" s="24"/>
      <c r="S99" s="17" t="s">
        <v>78</v>
      </c>
      <c r="T99" s="17" t="s">
        <v>78</v>
      </c>
      <c r="U99" s="17" t="s">
        <v>78</v>
      </c>
      <c r="V99" s="17" t="s">
        <v>78</v>
      </c>
      <c r="W99" s="17" t="s">
        <v>78</v>
      </c>
      <c r="X99" s="17" t="s">
        <v>78</v>
      </c>
      <c r="Y99" s="17"/>
      <c r="Z99" s="17"/>
      <c r="AA99" s="17"/>
      <c r="AB99" s="17"/>
      <c r="AC99" s="17" t="s">
        <v>42</v>
      </c>
      <c r="AD99" s="17" t="s">
        <v>42</v>
      </c>
      <c r="AE99" s="17" t="s">
        <v>42</v>
      </c>
      <c r="AF99" s="17" t="s">
        <v>42</v>
      </c>
      <c r="AG99" s="25"/>
      <c r="AH99"/>
      <c r="AI99"/>
      <c r="AJ99"/>
    </row>
    <row r="100" spans="1:37" ht="30" x14ac:dyDescent="0.25">
      <c r="A100" s="18" t="s">
        <v>228</v>
      </c>
      <c r="B100" s="19" t="s">
        <v>850</v>
      </c>
      <c r="C100" s="13" t="s">
        <v>230</v>
      </c>
      <c r="D100" s="14"/>
      <c r="E100" s="14"/>
      <c r="F100" s="14"/>
      <c r="G100" s="15"/>
      <c r="H100" s="14"/>
      <c r="I100" s="14"/>
      <c r="J100" s="14"/>
      <c r="K100" s="14"/>
      <c r="L100" s="14"/>
      <c r="M100" s="14"/>
      <c r="R100" s="24"/>
      <c r="S100" s="23"/>
      <c r="T100" s="23"/>
      <c r="U100" s="23"/>
      <c r="V100" s="23"/>
      <c r="W100" s="23"/>
      <c r="X100" s="23"/>
      <c r="Y100" s="15"/>
      <c r="Z100" s="15"/>
      <c r="AA100" s="15"/>
      <c r="AB100" s="15"/>
      <c r="AC100" s="15"/>
      <c r="AD100" s="15"/>
      <c r="AE100" s="15"/>
      <c r="AG100" s="25"/>
      <c r="AI100" s="26"/>
    </row>
    <row r="101" spans="1:37" x14ac:dyDescent="0.25">
      <c r="A101" s="20" t="s">
        <v>231</v>
      </c>
      <c r="B101" s="21" t="s">
        <v>884</v>
      </c>
      <c r="D101" s="23" t="s">
        <v>42</v>
      </c>
      <c r="E101" s="23" t="s">
        <v>42</v>
      </c>
      <c r="F101" s="23" t="s">
        <v>42</v>
      </c>
      <c r="G101" s="23" t="s">
        <v>42</v>
      </c>
      <c r="H101" s="23" t="s">
        <v>42</v>
      </c>
      <c r="I101" s="23" t="s">
        <v>42</v>
      </c>
      <c r="J101" s="23"/>
      <c r="K101" s="23"/>
      <c r="L101" s="23"/>
      <c r="M101" s="23"/>
      <c r="N101" s="23" t="s">
        <v>42</v>
      </c>
      <c r="O101" s="23" t="s">
        <v>42</v>
      </c>
      <c r="P101" s="23" t="s">
        <v>42</v>
      </c>
      <c r="Q101" s="23" t="s">
        <v>42</v>
      </c>
      <c r="R101" s="24"/>
      <c r="S101" s="23"/>
      <c r="T101" s="23"/>
      <c r="U101" s="23"/>
      <c r="V101" s="23"/>
      <c r="W101" s="23"/>
      <c r="X101" s="23"/>
      <c r="Y101" s="15"/>
      <c r="Z101" s="15"/>
      <c r="AA101" s="15"/>
      <c r="AB101" s="15"/>
      <c r="AC101" s="15"/>
      <c r="AD101" s="15"/>
      <c r="AE101" s="15"/>
      <c r="AG101" s="25"/>
      <c r="AK101" t="str">
        <f>CONCATENATE("/VectoCustomerInformation/Data/Results/Summary/CO2[@attribute()='","gCO2/t-km","']")</f>
        <v>/VectoCustomerInformation/Data/Results/Summary/CO2[@attribute()='gCO2/t-km']</v>
      </c>
    </row>
    <row r="102" spans="1:37" x14ac:dyDescent="0.25">
      <c r="A102" s="20" t="s">
        <v>232</v>
      </c>
      <c r="B102" s="21" t="s">
        <v>233</v>
      </c>
      <c r="C102" s="13" t="s">
        <v>234</v>
      </c>
      <c r="D102" s="23"/>
      <c r="E102" s="22" t="s">
        <v>78</v>
      </c>
      <c r="F102" s="22" t="s">
        <v>78</v>
      </c>
      <c r="G102" s="22" t="s">
        <v>78</v>
      </c>
      <c r="H102" s="22" t="s">
        <v>78</v>
      </c>
      <c r="I102" s="22" t="s">
        <v>78</v>
      </c>
      <c r="J102" s="22" t="s">
        <v>42</v>
      </c>
      <c r="K102" s="22" t="s">
        <v>42</v>
      </c>
      <c r="L102" s="22" t="s">
        <v>42</v>
      </c>
      <c r="M102" s="22" t="s">
        <v>42</v>
      </c>
      <c r="N102" s="22" t="s">
        <v>78</v>
      </c>
      <c r="O102" s="22" t="s">
        <v>78</v>
      </c>
      <c r="P102" s="22" t="s">
        <v>78</v>
      </c>
      <c r="Q102" s="22" t="s">
        <v>78</v>
      </c>
      <c r="R102" s="24"/>
      <c r="S102" s="23"/>
      <c r="T102" s="23"/>
      <c r="U102" s="23"/>
      <c r="V102" s="23"/>
      <c r="W102" s="23"/>
      <c r="X102" s="23"/>
      <c r="Y102" s="15"/>
      <c r="Z102" s="15"/>
      <c r="AA102" s="15"/>
      <c r="AB102" s="15"/>
      <c r="AC102" s="15"/>
      <c r="AD102" s="15"/>
      <c r="AE102" s="15"/>
      <c r="AG102" s="25"/>
      <c r="AK102" t="str">
        <f>CONCATENATE("/VectoCustomerInformation/Data/Results/Summary/ElectricEnergy/EnergyConsumption[@attribute()='","kWh/t-km","']")</f>
        <v>/VectoCustomerInformation/Data/Results/Summary/ElectricEnergy/EnergyConsumption[@attribute()='kWh/t-km']</v>
      </c>
    </row>
    <row r="103" spans="1:37" x14ac:dyDescent="0.25">
      <c r="A103" s="20" t="s">
        <v>235</v>
      </c>
      <c r="B103" s="21" t="s">
        <v>236</v>
      </c>
      <c r="D103" s="23" t="s">
        <v>42</v>
      </c>
      <c r="E103" s="23" t="s">
        <v>42</v>
      </c>
      <c r="F103" s="23" t="s">
        <v>42</v>
      </c>
      <c r="G103" s="23" t="s">
        <v>42</v>
      </c>
      <c r="H103" s="23" t="s">
        <v>42</v>
      </c>
      <c r="I103" s="23" t="s">
        <v>42</v>
      </c>
      <c r="J103" s="22" t="s">
        <v>42</v>
      </c>
      <c r="K103" s="22" t="s">
        <v>42</v>
      </c>
      <c r="L103" s="22" t="s">
        <v>42</v>
      </c>
      <c r="M103" s="22" t="s">
        <v>42</v>
      </c>
      <c r="N103" s="23" t="s">
        <v>42</v>
      </c>
      <c r="O103" s="23" t="s">
        <v>42</v>
      </c>
      <c r="P103" s="23" t="s">
        <v>42</v>
      </c>
      <c r="Q103" s="23" t="s">
        <v>42</v>
      </c>
      <c r="R103" s="24"/>
      <c r="S103" s="23"/>
      <c r="T103" s="23"/>
      <c r="U103" s="23"/>
      <c r="V103" s="23"/>
      <c r="W103" s="23"/>
      <c r="X103" s="23"/>
      <c r="Y103" s="15"/>
      <c r="Z103" s="15"/>
      <c r="AA103" s="15"/>
      <c r="AB103" s="15"/>
      <c r="AC103" s="15"/>
      <c r="AD103" s="15"/>
      <c r="AE103" s="15"/>
      <c r="AG103" s="25"/>
      <c r="AK103" t="s">
        <v>701</v>
      </c>
    </row>
    <row r="104" spans="1:37" x14ac:dyDescent="0.25">
      <c r="A104" s="20" t="s">
        <v>237</v>
      </c>
      <c r="B104" s="21" t="s">
        <v>885</v>
      </c>
      <c r="D104" s="22"/>
      <c r="E104" s="22"/>
      <c r="F104" s="22"/>
      <c r="G104" s="23"/>
      <c r="H104" s="22"/>
      <c r="I104" s="22"/>
      <c r="J104" s="22"/>
      <c r="K104" s="22"/>
      <c r="L104" s="22"/>
      <c r="M104" s="22"/>
      <c r="R104" s="24"/>
      <c r="S104" s="22" t="s">
        <v>42</v>
      </c>
      <c r="T104" s="22" t="s">
        <v>42</v>
      </c>
      <c r="U104" s="22" t="s">
        <v>42</v>
      </c>
      <c r="V104" s="23" t="s">
        <v>42</v>
      </c>
      <c r="W104" s="22" t="s">
        <v>42</v>
      </c>
      <c r="X104" s="22" t="s">
        <v>42</v>
      </c>
      <c r="Y104" s="23" t="s">
        <v>42</v>
      </c>
      <c r="Z104" s="22" t="s">
        <v>42</v>
      </c>
      <c r="AA104" s="22" t="s">
        <v>42</v>
      </c>
      <c r="AB104" s="22" t="s">
        <v>42</v>
      </c>
      <c r="AC104" s="22" t="s">
        <v>42</v>
      </c>
      <c r="AD104" s="23" t="s">
        <v>42</v>
      </c>
      <c r="AE104" s="22" t="s">
        <v>42</v>
      </c>
      <c r="AF104" s="22" t="s">
        <v>42</v>
      </c>
      <c r="AG104" s="25"/>
      <c r="AK104" t="str">
        <f>CONCATENATE("/VectoCustomerInformation/Data/Results/Summary/CO2[@attribute()='","gCO2/p-km","']")</f>
        <v>/VectoCustomerInformation/Data/Results/Summary/CO2[@attribute()='gCO2/p-km']</v>
      </c>
    </row>
    <row r="105" spans="1:37" x14ac:dyDescent="0.25">
      <c r="A105" s="20" t="s">
        <v>238</v>
      </c>
      <c r="B105" s="21" t="s">
        <v>239</v>
      </c>
      <c r="C105" s="13" t="s">
        <v>234</v>
      </c>
      <c r="D105" s="22"/>
      <c r="E105" s="22"/>
      <c r="F105" s="22"/>
      <c r="G105" s="23"/>
      <c r="H105" s="22"/>
      <c r="I105" s="22"/>
      <c r="J105" s="22"/>
      <c r="K105" s="22"/>
      <c r="L105" s="22"/>
      <c r="M105" s="22"/>
      <c r="R105" s="24"/>
      <c r="S105" s="22"/>
      <c r="T105" s="22" t="s">
        <v>78</v>
      </c>
      <c r="U105" s="22" t="s">
        <v>78</v>
      </c>
      <c r="V105" s="22" t="s">
        <v>78</v>
      </c>
      <c r="W105" s="22" t="s">
        <v>78</v>
      </c>
      <c r="X105" s="22" t="s">
        <v>78</v>
      </c>
      <c r="Y105" s="23" t="s">
        <v>42</v>
      </c>
      <c r="Z105" s="22" t="s">
        <v>42</v>
      </c>
      <c r="AA105" s="22" t="s">
        <v>42</v>
      </c>
      <c r="AB105" s="22" t="s">
        <v>42</v>
      </c>
      <c r="AC105" s="22" t="s">
        <v>78</v>
      </c>
      <c r="AD105" s="22" t="s">
        <v>78</v>
      </c>
      <c r="AE105" s="22" t="s">
        <v>78</v>
      </c>
      <c r="AF105" s="22" t="s">
        <v>78</v>
      </c>
      <c r="AG105" s="25"/>
      <c r="AK105" t="str">
        <f>CONCATENATE("/VectoCustomerInformation/Data/Results/Summary/ElectricEnergy/EnergyConsumption[@attribute()='","kWh/p-km","']")</f>
        <v>/VectoCustomerInformation/Data/Results/Summary/ElectricEnergy/EnergyConsumption[@attribute()='kWh/p-km']</v>
      </c>
    </row>
    <row r="106" spans="1:37" x14ac:dyDescent="0.25">
      <c r="A106" s="20" t="s">
        <v>240</v>
      </c>
      <c r="B106" s="21" t="s">
        <v>241</v>
      </c>
      <c r="D106" s="22"/>
      <c r="E106" s="22"/>
      <c r="F106" s="22"/>
      <c r="G106" s="23"/>
      <c r="H106" s="22"/>
      <c r="I106" s="22"/>
      <c r="J106" s="22"/>
      <c r="K106" s="22"/>
      <c r="L106" s="22"/>
      <c r="M106" s="22"/>
      <c r="R106" s="24"/>
      <c r="S106" s="22" t="s">
        <v>42</v>
      </c>
      <c r="T106" s="22" t="s">
        <v>42</v>
      </c>
      <c r="U106" s="22" t="s">
        <v>42</v>
      </c>
      <c r="V106" s="23" t="s">
        <v>42</v>
      </c>
      <c r="W106" s="22" t="s">
        <v>42</v>
      </c>
      <c r="X106" s="22" t="s">
        <v>42</v>
      </c>
      <c r="Y106" s="23" t="s">
        <v>42</v>
      </c>
      <c r="Z106" s="22" t="s">
        <v>42</v>
      </c>
      <c r="AA106" s="22" t="s">
        <v>42</v>
      </c>
      <c r="AB106" s="22" t="s">
        <v>42</v>
      </c>
      <c r="AC106" s="22" t="s">
        <v>42</v>
      </c>
      <c r="AD106" s="23" t="s">
        <v>42</v>
      </c>
      <c r="AE106" s="22" t="s">
        <v>42</v>
      </c>
      <c r="AF106" s="22" t="s">
        <v>42</v>
      </c>
      <c r="AG106" s="25"/>
      <c r="AK106" t="s">
        <v>702</v>
      </c>
    </row>
    <row r="107" spans="1:37" x14ac:dyDescent="0.25">
      <c r="A107" s="20" t="s">
        <v>242</v>
      </c>
      <c r="B107" t="s">
        <v>852</v>
      </c>
      <c r="C107" t="s">
        <v>222</v>
      </c>
      <c r="D107" s="22"/>
      <c r="E107" s="22" t="s">
        <v>78</v>
      </c>
      <c r="F107" s="22" t="s">
        <v>78</v>
      </c>
      <c r="G107" s="23" t="s">
        <v>78</v>
      </c>
      <c r="H107" s="22" t="s">
        <v>78</v>
      </c>
      <c r="I107" s="22" t="s">
        <v>78</v>
      </c>
      <c r="J107" s="22" t="s">
        <v>42</v>
      </c>
      <c r="K107" s="22" t="s">
        <v>42</v>
      </c>
      <c r="L107" s="22" t="s">
        <v>42</v>
      </c>
      <c r="M107" s="22" t="s">
        <v>42</v>
      </c>
      <c r="N107" s="22" t="s">
        <v>78</v>
      </c>
      <c r="O107" s="23" t="s">
        <v>78</v>
      </c>
      <c r="P107" s="22" t="s">
        <v>78</v>
      </c>
      <c r="Q107" s="22" t="s">
        <v>78</v>
      </c>
      <c r="R107" s="34"/>
      <c r="S107" s="23"/>
      <c r="T107" s="23" t="s">
        <v>78</v>
      </c>
      <c r="U107" s="23" t="s">
        <v>78</v>
      </c>
      <c r="V107" s="23" t="s">
        <v>78</v>
      </c>
      <c r="W107" s="23" t="s">
        <v>78</v>
      </c>
      <c r="X107" s="23" t="s">
        <v>78</v>
      </c>
      <c r="Y107" s="23" t="s">
        <v>42</v>
      </c>
      <c r="Z107" s="23" t="s">
        <v>42</v>
      </c>
      <c r="AA107" s="23" t="s">
        <v>42</v>
      </c>
      <c r="AB107" s="23" t="s">
        <v>42</v>
      </c>
      <c r="AC107" s="23" t="s">
        <v>78</v>
      </c>
      <c r="AD107" s="23" t="s">
        <v>78</v>
      </c>
      <c r="AE107" s="23" t="s">
        <v>78</v>
      </c>
      <c r="AF107" s="23" t="s">
        <v>78</v>
      </c>
      <c r="AG107" s="35"/>
      <c r="AK107" t="s">
        <v>703</v>
      </c>
    </row>
    <row r="108" spans="1:37" x14ac:dyDescent="0.25">
      <c r="A108" s="20" t="s">
        <v>243</v>
      </c>
      <c r="B108" t="s">
        <v>853</v>
      </c>
      <c r="C108" t="s">
        <v>222</v>
      </c>
      <c r="D108" s="22"/>
      <c r="E108" s="22" t="s">
        <v>78</v>
      </c>
      <c r="F108" s="22" t="s">
        <v>78</v>
      </c>
      <c r="G108" s="23" t="s">
        <v>78</v>
      </c>
      <c r="H108" s="22" t="s">
        <v>78</v>
      </c>
      <c r="I108" s="22" t="s">
        <v>78</v>
      </c>
      <c r="J108" s="22" t="s">
        <v>42</v>
      </c>
      <c r="K108" s="22" t="s">
        <v>42</v>
      </c>
      <c r="L108" s="22" t="s">
        <v>42</v>
      </c>
      <c r="M108" s="22" t="s">
        <v>42</v>
      </c>
      <c r="N108" s="22" t="s">
        <v>78</v>
      </c>
      <c r="O108" s="23" t="s">
        <v>78</v>
      </c>
      <c r="P108" s="22" t="s">
        <v>78</v>
      </c>
      <c r="Q108" s="22" t="s">
        <v>78</v>
      </c>
      <c r="R108" s="34"/>
      <c r="S108" s="23"/>
      <c r="T108" s="23" t="s">
        <v>78</v>
      </c>
      <c r="U108" s="23" t="s">
        <v>78</v>
      </c>
      <c r="V108" s="23" t="s">
        <v>78</v>
      </c>
      <c r="W108" s="23" t="s">
        <v>78</v>
      </c>
      <c r="X108" s="23" t="s">
        <v>78</v>
      </c>
      <c r="Y108" s="23" t="s">
        <v>42</v>
      </c>
      <c r="Z108" s="23" t="s">
        <v>42</v>
      </c>
      <c r="AA108" s="23" t="s">
        <v>42</v>
      </c>
      <c r="AB108" s="23" t="s">
        <v>42</v>
      </c>
      <c r="AC108" s="23" t="s">
        <v>78</v>
      </c>
      <c r="AD108" s="23" t="s">
        <v>78</v>
      </c>
      <c r="AE108" s="23" t="s">
        <v>78</v>
      </c>
      <c r="AF108" s="23" t="s">
        <v>78</v>
      </c>
      <c r="AG108" s="35"/>
      <c r="AK108" t="s">
        <v>704</v>
      </c>
    </row>
    <row r="109" spans="1:37" x14ac:dyDescent="0.25">
      <c r="A109" s="28" t="s">
        <v>244</v>
      </c>
      <c r="B109" t="s">
        <v>854</v>
      </c>
      <c r="C109" t="s">
        <v>227</v>
      </c>
      <c r="D109" s="22" t="s">
        <v>78</v>
      </c>
      <c r="E109" s="22" t="s">
        <v>78</v>
      </c>
      <c r="F109" s="22" t="s">
        <v>78</v>
      </c>
      <c r="G109" s="23" t="s">
        <v>78</v>
      </c>
      <c r="H109" s="22" t="s">
        <v>78</v>
      </c>
      <c r="I109" s="22" t="s">
        <v>78</v>
      </c>
      <c r="J109" s="22" t="s">
        <v>42</v>
      </c>
      <c r="K109" s="22" t="s">
        <v>42</v>
      </c>
      <c r="L109" s="22" t="s">
        <v>42</v>
      </c>
      <c r="M109" s="22" t="s">
        <v>42</v>
      </c>
      <c r="N109" s="22" t="s">
        <v>42</v>
      </c>
      <c r="O109" s="23" t="s">
        <v>42</v>
      </c>
      <c r="P109" s="22" t="s">
        <v>42</v>
      </c>
      <c r="Q109" s="22" t="s">
        <v>42</v>
      </c>
      <c r="R109" s="34"/>
      <c r="S109" s="23" t="s">
        <v>78</v>
      </c>
      <c r="T109" s="23" t="s">
        <v>78</v>
      </c>
      <c r="U109" s="23" t="s">
        <v>78</v>
      </c>
      <c r="V109" s="23" t="s">
        <v>78</v>
      </c>
      <c r="W109" s="23" t="s">
        <v>78</v>
      </c>
      <c r="X109" s="23" t="s">
        <v>78</v>
      </c>
      <c r="Y109" s="23" t="s">
        <v>42</v>
      </c>
      <c r="Z109" s="23" t="s">
        <v>42</v>
      </c>
      <c r="AA109" s="23" t="s">
        <v>42</v>
      </c>
      <c r="AB109" s="23" t="s">
        <v>42</v>
      </c>
      <c r="AC109" s="23" t="s">
        <v>42</v>
      </c>
      <c r="AD109" s="23" t="s">
        <v>42</v>
      </c>
      <c r="AE109" s="23" t="s">
        <v>42</v>
      </c>
      <c r="AF109" s="23" t="s">
        <v>42</v>
      </c>
      <c r="AG109" s="35"/>
      <c r="AK109" t="s">
        <v>705</v>
      </c>
    </row>
    <row r="110" spans="1:37" s="90" customFormat="1" x14ac:dyDescent="0.25">
      <c r="A110" t="s">
        <v>855</v>
      </c>
      <c r="B110" t="s">
        <v>837</v>
      </c>
      <c r="C110" s="17"/>
      <c r="D110" s="17" t="s">
        <v>78</v>
      </c>
      <c r="E110" s="17" t="s">
        <v>78</v>
      </c>
      <c r="F110" s="17" t="s">
        <v>78</v>
      </c>
      <c r="G110" s="17" t="s">
        <v>78</v>
      </c>
      <c r="H110" s="17" t="s">
        <v>78</v>
      </c>
      <c r="I110" s="17" t="s">
        <v>78</v>
      </c>
      <c r="J110" s="17"/>
      <c r="K110" s="17"/>
      <c r="L110" s="17"/>
      <c r="M110" s="17"/>
      <c r="N110" s="17" t="s">
        <v>42</v>
      </c>
      <c r="O110" s="17" t="s">
        <v>42</v>
      </c>
      <c r="P110" s="17" t="s">
        <v>42</v>
      </c>
      <c r="Q110" s="17" t="s">
        <v>42</v>
      </c>
      <c r="R110" s="34"/>
      <c r="S110" s="17" t="s">
        <v>78</v>
      </c>
      <c r="T110" s="17" t="s">
        <v>78</v>
      </c>
      <c r="U110" s="17" t="s">
        <v>78</v>
      </c>
      <c r="V110" s="17" t="s">
        <v>78</v>
      </c>
      <c r="W110" s="17" t="s">
        <v>78</v>
      </c>
      <c r="X110" s="17" t="s">
        <v>78</v>
      </c>
      <c r="Y110" s="17"/>
      <c r="Z110" s="17"/>
      <c r="AA110" s="17"/>
      <c r="AB110" s="17"/>
      <c r="AC110" s="17" t="s">
        <v>42</v>
      </c>
      <c r="AD110" s="17" t="s">
        <v>42</v>
      </c>
      <c r="AE110" s="17" t="s">
        <v>42</v>
      </c>
      <c r="AF110" s="17" t="s">
        <v>42</v>
      </c>
      <c r="AG110" s="35"/>
      <c r="AH110" s="17"/>
      <c r="AI110" s="92"/>
      <c r="AJ110" s="92"/>
    </row>
    <row r="111" spans="1:37" s="37" customFormat="1" x14ac:dyDescent="0.25">
      <c r="A111" t="s">
        <v>856</v>
      </c>
      <c r="B111" t="s">
        <v>208</v>
      </c>
      <c r="D111" s="23" t="s">
        <v>42</v>
      </c>
      <c r="E111" s="23" t="s">
        <v>42</v>
      </c>
      <c r="F111" s="23" t="s">
        <v>42</v>
      </c>
      <c r="G111" s="23" t="s">
        <v>42</v>
      </c>
      <c r="H111" s="23" t="s">
        <v>42</v>
      </c>
      <c r="I111" s="23" t="s">
        <v>42</v>
      </c>
      <c r="J111" s="23"/>
      <c r="K111" s="23"/>
      <c r="L111" s="23"/>
      <c r="M111" s="23"/>
      <c r="R111" s="34"/>
      <c r="S111" s="23" t="s">
        <v>42</v>
      </c>
      <c r="T111" s="23" t="s">
        <v>42</v>
      </c>
      <c r="U111" s="23" t="s">
        <v>42</v>
      </c>
      <c r="V111" s="23" t="s">
        <v>42</v>
      </c>
      <c r="W111" s="23" t="s">
        <v>42</v>
      </c>
      <c r="X111" s="23" t="s">
        <v>42</v>
      </c>
      <c r="Y111" s="23"/>
      <c r="Z111" s="23"/>
      <c r="AA111" s="23"/>
      <c r="AB111" s="23"/>
      <c r="AC111" s="23"/>
      <c r="AD111" s="23"/>
      <c r="AE111" s="23"/>
      <c r="AG111" s="35"/>
      <c r="AH111" s="14"/>
      <c r="AI111" s="14"/>
      <c r="AJ111" s="14"/>
    </row>
    <row r="112" spans="1:37" s="37" customFormat="1" x14ac:dyDescent="0.25">
      <c r="A112" t="s">
        <v>857</v>
      </c>
      <c r="B112" t="s">
        <v>214</v>
      </c>
      <c r="D112" s="23" t="s">
        <v>42</v>
      </c>
      <c r="E112" s="23" t="s">
        <v>42</v>
      </c>
      <c r="F112" s="23" t="s">
        <v>42</v>
      </c>
      <c r="G112" s="23" t="s">
        <v>42</v>
      </c>
      <c r="H112" s="23" t="s">
        <v>42</v>
      </c>
      <c r="I112" s="23" t="s">
        <v>42</v>
      </c>
      <c r="J112" s="23"/>
      <c r="K112" s="23"/>
      <c r="L112" s="23"/>
      <c r="M112" s="23"/>
      <c r="R112" s="34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G112" s="35"/>
      <c r="AH112" s="14"/>
      <c r="AI112" s="14"/>
      <c r="AJ112" s="14"/>
    </row>
    <row r="113" spans="1:37" s="37" customFormat="1" x14ac:dyDescent="0.25">
      <c r="A113" t="s">
        <v>858</v>
      </c>
      <c r="B113" t="s">
        <v>181</v>
      </c>
      <c r="D113" s="23" t="s">
        <v>42</v>
      </c>
      <c r="E113" s="23" t="s">
        <v>42</v>
      </c>
      <c r="F113" s="23" t="s">
        <v>42</v>
      </c>
      <c r="G113" s="23" t="s">
        <v>42</v>
      </c>
      <c r="H113" s="23" t="s">
        <v>42</v>
      </c>
      <c r="I113" s="23" t="s">
        <v>42</v>
      </c>
      <c r="J113" s="22"/>
      <c r="K113" s="22"/>
      <c r="L113" s="22"/>
      <c r="M113" s="22"/>
      <c r="N113" s="23" t="s">
        <v>42</v>
      </c>
      <c r="O113" s="23" t="s">
        <v>42</v>
      </c>
      <c r="P113" s="23" t="s">
        <v>42</v>
      </c>
      <c r="Q113" s="23" t="s">
        <v>42</v>
      </c>
      <c r="R113" s="34"/>
      <c r="S113" s="23" t="s">
        <v>42</v>
      </c>
      <c r="T113" s="23" t="s">
        <v>42</v>
      </c>
      <c r="U113" s="23" t="s">
        <v>42</v>
      </c>
      <c r="V113" s="23" t="s">
        <v>42</v>
      </c>
      <c r="W113" s="23" t="s">
        <v>42</v>
      </c>
      <c r="X113" s="23" t="s">
        <v>42</v>
      </c>
      <c r="Y113" s="23"/>
      <c r="Z113" s="23"/>
      <c r="AA113" s="23"/>
      <c r="AB113" s="23"/>
      <c r="AC113" s="23" t="s">
        <v>42</v>
      </c>
      <c r="AD113" s="23" t="s">
        <v>42</v>
      </c>
      <c r="AE113" s="23" t="s">
        <v>42</v>
      </c>
      <c r="AF113" s="23" t="s">
        <v>42</v>
      </c>
      <c r="AG113" s="35"/>
      <c r="AH113" s="14"/>
      <c r="AI113" s="14"/>
      <c r="AJ113" s="14"/>
    </row>
    <row r="114" spans="1:37" s="37" customFormat="1" x14ac:dyDescent="0.25">
      <c r="A114" t="s">
        <v>859</v>
      </c>
      <c r="B114" t="s">
        <v>183</v>
      </c>
      <c r="D114" s="23" t="s">
        <v>42</v>
      </c>
      <c r="E114" s="23" t="s">
        <v>42</v>
      </c>
      <c r="F114" s="23" t="s">
        <v>42</v>
      </c>
      <c r="G114" s="23" t="s">
        <v>42</v>
      </c>
      <c r="H114" s="23" t="s">
        <v>42</v>
      </c>
      <c r="I114" s="23" t="s">
        <v>42</v>
      </c>
      <c r="J114" s="22"/>
      <c r="K114" s="22"/>
      <c r="L114" s="22"/>
      <c r="M114" s="22"/>
      <c r="N114" s="23" t="s">
        <v>42</v>
      </c>
      <c r="O114" s="23" t="s">
        <v>42</v>
      </c>
      <c r="P114" s="23" t="s">
        <v>42</v>
      </c>
      <c r="Q114" s="23" t="s">
        <v>42</v>
      </c>
      <c r="R114" s="34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34"/>
      <c r="AH114" s="14"/>
      <c r="AI114" s="14"/>
      <c r="AJ114" s="14"/>
    </row>
    <row r="115" spans="1:37" s="37" customFormat="1" x14ac:dyDescent="0.25">
      <c r="A115" t="s">
        <v>860</v>
      </c>
      <c r="B115" t="s">
        <v>185</v>
      </c>
      <c r="D115" s="22"/>
      <c r="E115" s="22"/>
      <c r="F115" s="22"/>
      <c r="G115" s="23"/>
      <c r="H115" s="22"/>
      <c r="I115" s="22"/>
      <c r="J115" s="22"/>
      <c r="K115" s="22"/>
      <c r="L115" s="22"/>
      <c r="M115" s="22"/>
      <c r="N115" s="22"/>
      <c r="O115" s="23"/>
      <c r="P115" s="22"/>
      <c r="Q115" s="22"/>
      <c r="R115" s="34"/>
      <c r="S115" s="23" t="s">
        <v>42</v>
      </c>
      <c r="T115" s="23" t="s">
        <v>42</v>
      </c>
      <c r="U115" s="23" t="s">
        <v>42</v>
      </c>
      <c r="V115" s="23" t="s">
        <v>42</v>
      </c>
      <c r="W115" s="23" t="s">
        <v>42</v>
      </c>
      <c r="X115" s="23" t="s">
        <v>42</v>
      </c>
      <c r="Y115" s="23"/>
      <c r="Z115" s="23"/>
      <c r="AA115" s="23"/>
      <c r="AB115" s="23"/>
      <c r="AC115" s="23" t="s">
        <v>42</v>
      </c>
      <c r="AD115" s="23" t="s">
        <v>42</v>
      </c>
      <c r="AE115" s="23" t="s">
        <v>42</v>
      </c>
      <c r="AF115" s="23" t="s">
        <v>42</v>
      </c>
      <c r="AG115" s="34"/>
      <c r="AH115" s="14"/>
      <c r="AI115" s="14"/>
      <c r="AJ115" s="14"/>
    </row>
    <row r="116" spans="1:37" s="37" customFormat="1" x14ac:dyDescent="0.25">
      <c r="A116" t="s">
        <v>861</v>
      </c>
      <c r="B116" t="s">
        <v>187</v>
      </c>
      <c r="D116" s="23" t="s">
        <v>42</v>
      </c>
      <c r="E116" s="23" t="s">
        <v>42</v>
      </c>
      <c r="F116" s="23" t="s">
        <v>42</v>
      </c>
      <c r="G116" s="23" t="s">
        <v>42</v>
      </c>
      <c r="H116" s="23" t="s">
        <v>42</v>
      </c>
      <c r="I116" s="23" t="s">
        <v>42</v>
      </c>
      <c r="J116" s="22"/>
      <c r="K116" s="22"/>
      <c r="L116" s="22"/>
      <c r="M116" s="22"/>
      <c r="N116" s="23" t="s">
        <v>42</v>
      </c>
      <c r="O116" s="23" t="s">
        <v>42</v>
      </c>
      <c r="P116" s="23" t="s">
        <v>42</v>
      </c>
      <c r="Q116" s="23" t="s">
        <v>42</v>
      </c>
      <c r="R116" s="34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34"/>
      <c r="AH116" s="14"/>
      <c r="AI116" s="14"/>
      <c r="AJ116" s="14"/>
    </row>
    <row r="117" spans="1:37" s="37" customFormat="1" x14ac:dyDescent="0.25">
      <c r="A117" t="s">
        <v>868</v>
      </c>
      <c r="B117" t="s">
        <v>189</v>
      </c>
      <c r="C117" s="21" t="s">
        <v>190</v>
      </c>
      <c r="D117" s="23" t="s">
        <v>42</v>
      </c>
      <c r="E117" s="23" t="s">
        <v>42</v>
      </c>
      <c r="F117" s="23" t="s">
        <v>42</v>
      </c>
      <c r="G117" s="23" t="s">
        <v>42</v>
      </c>
      <c r="H117" s="23" t="s">
        <v>42</v>
      </c>
      <c r="I117" s="23" t="s">
        <v>42</v>
      </c>
      <c r="J117" s="22"/>
      <c r="K117" s="22"/>
      <c r="L117" s="22"/>
      <c r="M117" s="22"/>
      <c r="R117" s="34"/>
      <c r="S117" s="23" t="s">
        <v>42</v>
      </c>
      <c r="T117" s="23" t="s">
        <v>42</v>
      </c>
      <c r="U117" s="23" t="s">
        <v>42</v>
      </c>
      <c r="V117" s="23" t="s">
        <v>42</v>
      </c>
      <c r="W117" s="23" t="s">
        <v>42</v>
      </c>
      <c r="X117" s="23" t="s">
        <v>42</v>
      </c>
      <c r="Y117" s="23"/>
      <c r="Z117" s="23"/>
      <c r="AA117" s="23"/>
      <c r="AB117" s="23"/>
      <c r="AC117" s="23"/>
      <c r="AD117" s="23"/>
      <c r="AE117" s="23"/>
      <c r="AG117" s="34"/>
      <c r="AH117" s="14"/>
      <c r="AI117" s="14"/>
      <c r="AJ117" s="14"/>
    </row>
    <row r="118" spans="1:37" s="37" customFormat="1" x14ac:dyDescent="0.25">
      <c r="A118" t="s">
        <v>862</v>
      </c>
      <c r="B118" t="s">
        <v>192</v>
      </c>
      <c r="C118" s="21" t="s">
        <v>190</v>
      </c>
      <c r="D118" s="23" t="s">
        <v>42</v>
      </c>
      <c r="E118" s="23" t="s">
        <v>42</v>
      </c>
      <c r="F118" s="23" t="s">
        <v>42</v>
      </c>
      <c r="G118" s="23" t="s">
        <v>42</v>
      </c>
      <c r="H118" s="23" t="s">
        <v>42</v>
      </c>
      <c r="I118" s="23" t="s">
        <v>42</v>
      </c>
      <c r="J118" s="22"/>
      <c r="K118" s="22"/>
      <c r="L118" s="22"/>
      <c r="M118" s="22"/>
      <c r="R118" s="34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G118" s="34"/>
      <c r="AH118" s="14"/>
      <c r="AI118" s="14"/>
      <c r="AJ118" s="14"/>
    </row>
    <row r="119" spans="1:37" s="37" customFormat="1" x14ac:dyDescent="0.25">
      <c r="A119" t="s">
        <v>863</v>
      </c>
      <c r="B119" t="s">
        <v>194</v>
      </c>
      <c r="C119" s="21" t="s">
        <v>190</v>
      </c>
      <c r="D119" s="22"/>
      <c r="E119" s="22"/>
      <c r="F119" s="22"/>
      <c r="G119" s="23"/>
      <c r="H119" s="22"/>
      <c r="I119" s="22"/>
      <c r="J119" s="22"/>
      <c r="K119" s="22"/>
      <c r="L119" s="22"/>
      <c r="M119" s="22"/>
      <c r="R119" s="34"/>
      <c r="S119" s="23" t="s">
        <v>42</v>
      </c>
      <c r="T119" s="23" t="s">
        <v>42</v>
      </c>
      <c r="U119" s="23" t="s">
        <v>42</v>
      </c>
      <c r="V119" s="23" t="s">
        <v>42</v>
      </c>
      <c r="W119" s="23" t="s">
        <v>42</v>
      </c>
      <c r="X119" s="23" t="s">
        <v>42</v>
      </c>
      <c r="Y119" s="23"/>
      <c r="Z119" s="23"/>
      <c r="AA119" s="23"/>
      <c r="AB119" s="23"/>
      <c r="AC119" s="23"/>
      <c r="AD119" s="23"/>
      <c r="AE119" s="23"/>
      <c r="AG119" s="34"/>
      <c r="AH119" s="14"/>
      <c r="AI119" s="14"/>
      <c r="AJ119" s="14"/>
    </row>
    <row r="120" spans="1:37" s="37" customFormat="1" x14ac:dyDescent="0.25">
      <c r="A120" t="s">
        <v>864</v>
      </c>
      <c r="B120" t="s">
        <v>196</v>
      </c>
      <c r="C120" s="21" t="s">
        <v>190</v>
      </c>
      <c r="D120" s="23" t="s">
        <v>42</v>
      </c>
      <c r="E120" s="23" t="s">
        <v>42</v>
      </c>
      <c r="F120" s="23" t="s">
        <v>42</v>
      </c>
      <c r="G120" s="23" t="s">
        <v>42</v>
      </c>
      <c r="H120" s="23" t="s">
        <v>42</v>
      </c>
      <c r="I120" s="23" t="s">
        <v>42</v>
      </c>
      <c r="J120" s="22"/>
      <c r="K120" s="22"/>
      <c r="L120" s="22"/>
      <c r="M120" s="22"/>
      <c r="R120" s="34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G120" s="34"/>
      <c r="AH120" s="14"/>
      <c r="AI120" s="14"/>
      <c r="AJ120" s="14"/>
    </row>
    <row r="121" spans="1:37" s="37" customFormat="1" x14ac:dyDescent="0.25">
      <c r="A121" t="s">
        <v>865</v>
      </c>
      <c r="B121" t="s">
        <v>870</v>
      </c>
      <c r="C121" s="13" t="s">
        <v>234</v>
      </c>
      <c r="D121" s="23"/>
      <c r="E121" s="22" t="s">
        <v>78</v>
      </c>
      <c r="F121" s="22" t="s">
        <v>78</v>
      </c>
      <c r="G121" s="23" t="s">
        <v>78</v>
      </c>
      <c r="H121" s="22" t="s">
        <v>78</v>
      </c>
      <c r="I121" s="22" t="s">
        <v>78</v>
      </c>
      <c r="J121" s="22" t="s">
        <v>42</v>
      </c>
      <c r="K121" s="22" t="s">
        <v>42</v>
      </c>
      <c r="L121" s="22" t="s">
        <v>42</v>
      </c>
      <c r="M121" s="22" t="s">
        <v>42</v>
      </c>
      <c r="N121" s="22" t="s">
        <v>78</v>
      </c>
      <c r="O121" s="23" t="s">
        <v>78</v>
      </c>
      <c r="P121" s="22" t="s">
        <v>78</v>
      </c>
      <c r="Q121" s="22" t="s">
        <v>78</v>
      </c>
      <c r="R121" s="34"/>
      <c r="S121" s="23"/>
      <c r="T121" s="22" t="s">
        <v>78</v>
      </c>
      <c r="U121" s="22" t="s">
        <v>78</v>
      </c>
      <c r="V121" s="23" t="s">
        <v>78</v>
      </c>
      <c r="W121" s="22" t="s">
        <v>78</v>
      </c>
      <c r="X121" s="22" t="s">
        <v>78</v>
      </c>
      <c r="Y121" s="23" t="s">
        <v>42</v>
      </c>
      <c r="Z121" s="22" t="s">
        <v>42</v>
      </c>
      <c r="AA121" s="22" t="s">
        <v>42</v>
      </c>
      <c r="AB121" s="22" t="s">
        <v>42</v>
      </c>
      <c r="AC121" s="22" t="s">
        <v>78</v>
      </c>
      <c r="AD121" s="23" t="s">
        <v>78</v>
      </c>
      <c r="AE121" s="22" t="s">
        <v>78</v>
      </c>
      <c r="AF121" s="22" t="s">
        <v>78</v>
      </c>
      <c r="AG121" s="34"/>
      <c r="AH121" s="14"/>
      <c r="AI121" s="14"/>
      <c r="AJ121" s="14"/>
    </row>
    <row r="122" spans="1:37" s="37" customFormat="1" x14ac:dyDescent="0.25">
      <c r="A122" t="s">
        <v>866</v>
      </c>
      <c r="B122" t="s">
        <v>871</v>
      </c>
      <c r="C122" s="13" t="s">
        <v>234</v>
      </c>
      <c r="D122" s="23"/>
      <c r="E122" s="22" t="s">
        <v>78</v>
      </c>
      <c r="F122" s="22" t="s">
        <v>78</v>
      </c>
      <c r="G122" s="23" t="s">
        <v>78</v>
      </c>
      <c r="H122" s="22" t="s">
        <v>78</v>
      </c>
      <c r="I122" s="22" t="s">
        <v>78</v>
      </c>
      <c r="J122" s="22" t="s">
        <v>42</v>
      </c>
      <c r="K122" s="22" t="s">
        <v>42</v>
      </c>
      <c r="L122" s="22" t="s">
        <v>42</v>
      </c>
      <c r="M122" s="22" t="s">
        <v>42</v>
      </c>
      <c r="N122" s="22" t="s">
        <v>78</v>
      </c>
      <c r="O122" s="23" t="s">
        <v>78</v>
      </c>
      <c r="P122" s="22" t="s">
        <v>78</v>
      </c>
      <c r="Q122" s="22" t="s">
        <v>78</v>
      </c>
      <c r="R122" s="34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34"/>
      <c r="AH122" s="14"/>
      <c r="AI122" s="14"/>
      <c r="AJ122" s="14"/>
    </row>
    <row r="123" spans="1:37" s="37" customFormat="1" x14ac:dyDescent="0.25">
      <c r="A123" t="s">
        <v>867</v>
      </c>
      <c r="B123" t="s">
        <v>872</v>
      </c>
      <c r="C123" s="13" t="s">
        <v>234</v>
      </c>
      <c r="D123" s="23"/>
      <c r="E123" s="23"/>
      <c r="F123" s="23"/>
      <c r="G123" s="23"/>
      <c r="H123" s="23"/>
      <c r="I123" s="23"/>
      <c r="J123" s="22"/>
      <c r="K123" s="22"/>
      <c r="L123" s="22"/>
      <c r="M123" s="22"/>
      <c r="N123" s="23"/>
      <c r="O123" s="23"/>
      <c r="P123" s="23"/>
      <c r="Q123" s="23"/>
      <c r="R123" s="34"/>
      <c r="S123" s="23"/>
      <c r="T123" s="22" t="s">
        <v>78</v>
      </c>
      <c r="U123" s="22" t="s">
        <v>78</v>
      </c>
      <c r="V123" s="23" t="s">
        <v>78</v>
      </c>
      <c r="W123" s="22" t="s">
        <v>78</v>
      </c>
      <c r="X123" s="22" t="s">
        <v>78</v>
      </c>
      <c r="Y123" s="23" t="s">
        <v>42</v>
      </c>
      <c r="Z123" s="22" t="s">
        <v>42</v>
      </c>
      <c r="AA123" s="22" t="s">
        <v>42</v>
      </c>
      <c r="AB123" s="22" t="s">
        <v>42</v>
      </c>
      <c r="AC123" s="22" t="s">
        <v>78</v>
      </c>
      <c r="AD123" s="23" t="s">
        <v>78</v>
      </c>
      <c r="AE123" s="22" t="s">
        <v>78</v>
      </c>
      <c r="AF123" s="22" t="s">
        <v>78</v>
      </c>
      <c r="AG123" s="34"/>
      <c r="AH123" s="14"/>
      <c r="AI123" s="14"/>
      <c r="AJ123" s="14"/>
    </row>
    <row r="124" spans="1:37" s="37" customFormat="1" x14ac:dyDescent="0.25">
      <c r="A124" t="s">
        <v>869</v>
      </c>
      <c r="B124" t="s">
        <v>873</v>
      </c>
      <c r="C124" s="13" t="s">
        <v>234</v>
      </c>
      <c r="D124" s="23"/>
      <c r="E124" s="22" t="s">
        <v>78</v>
      </c>
      <c r="F124" s="22" t="s">
        <v>78</v>
      </c>
      <c r="G124" s="23" t="s">
        <v>78</v>
      </c>
      <c r="H124" s="22" t="s">
        <v>78</v>
      </c>
      <c r="I124" s="22" t="s">
        <v>78</v>
      </c>
      <c r="J124" s="22" t="s">
        <v>42</v>
      </c>
      <c r="K124" s="22" t="s">
        <v>42</v>
      </c>
      <c r="L124" s="22" t="s">
        <v>42</v>
      </c>
      <c r="M124" s="22" t="s">
        <v>42</v>
      </c>
      <c r="N124" s="22" t="s">
        <v>78</v>
      </c>
      <c r="O124" s="23" t="s">
        <v>78</v>
      </c>
      <c r="P124" s="22" t="s">
        <v>78</v>
      </c>
      <c r="Q124" s="22" t="s">
        <v>78</v>
      </c>
      <c r="R124" s="34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34"/>
      <c r="AH124" s="14"/>
      <c r="AI124" s="14"/>
      <c r="AJ124" s="14"/>
    </row>
    <row r="125" spans="1:37" x14ac:dyDescent="0.25">
      <c r="A125" s="11">
        <v>3</v>
      </c>
      <c r="B125" s="12" t="s">
        <v>245</v>
      </c>
      <c r="D125" s="14"/>
      <c r="E125" s="14"/>
      <c r="F125" s="14"/>
      <c r="G125" s="15"/>
      <c r="H125" s="14"/>
      <c r="I125" s="14"/>
      <c r="J125" s="14"/>
      <c r="K125" s="14"/>
      <c r="L125" s="14"/>
      <c r="M125" s="14"/>
      <c r="R125" s="16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7" x14ac:dyDescent="0.25">
      <c r="A126" s="20" t="s">
        <v>246</v>
      </c>
      <c r="B126" s="21" t="s">
        <v>247</v>
      </c>
      <c r="C126" s="21"/>
      <c r="D126" s="22" t="s">
        <v>42</v>
      </c>
      <c r="E126" s="22" t="s">
        <v>42</v>
      </c>
      <c r="F126" s="22" t="s">
        <v>42</v>
      </c>
      <c r="G126" s="23" t="s">
        <v>42</v>
      </c>
      <c r="H126" s="22" t="s">
        <v>42</v>
      </c>
      <c r="I126" s="22" t="s">
        <v>42</v>
      </c>
      <c r="J126" s="22" t="s">
        <v>42</v>
      </c>
      <c r="K126" s="22" t="s">
        <v>42</v>
      </c>
      <c r="L126" s="22" t="s">
        <v>42</v>
      </c>
      <c r="M126" s="22" t="s">
        <v>42</v>
      </c>
      <c r="N126" s="22" t="s">
        <v>42</v>
      </c>
      <c r="O126" s="23" t="s">
        <v>42</v>
      </c>
      <c r="P126" s="22" t="s">
        <v>42</v>
      </c>
      <c r="Q126" s="22" t="s">
        <v>42</v>
      </c>
      <c r="R126" s="24"/>
      <c r="S126" s="23" t="s">
        <v>42</v>
      </c>
      <c r="T126" s="23" t="s">
        <v>42</v>
      </c>
      <c r="U126" s="23" t="s">
        <v>42</v>
      </c>
      <c r="V126" s="23" t="s">
        <v>42</v>
      </c>
      <c r="W126" s="23" t="s">
        <v>42</v>
      </c>
      <c r="X126" s="23" t="s">
        <v>42</v>
      </c>
      <c r="Y126" s="23" t="s">
        <v>42</v>
      </c>
      <c r="Z126" s="23" t="s">
        <v>42</v>
      </c>
      <c r="AA126" s="23" t="s">
        <v>42</v>
      </c>
      <c r="AB126" s="23" t="s">
        <v>42</v>
      </c>
      <c r="AC126" s="23" t="s">
        <v>42</v>
      </c>
      <c r="AD126" s="23" t="s">
        <v>42</v>
      </c>
      <c r="AE126" s="23" t="s">
        <v>42</v>
      </c>
      <c r="AF126" s="23" t="s">
        <v>42</v>
      </c>
      <c r="AG126" s="25"/>
      <c r="AH126" s="26" t="s">
        <v>42</v>
      </c>
      <c r="AI126" s="26" t="s">
        <v>42</v>
      </c>
      <c r="AK126" t="s">
        <v>771</v>
      </c>
    </row>
    <row r="127" spans="1:37" x14ac:dyDescent="0.25">
      <c r="A127" s="20" t="s">
        <v>248</v>
      </c>
      <c r="B127" s="21" t="s">
        <v>249</v>
      </c>
      <c r="C127" s="21"/>
      <c r="D127" s="22" t="s">
        <v>42</v>
      </c>
      <c r="E127" s="22" t="s">
        <v>42</v>
      </c>
      <c r="F127" s="22" t="s">
        <v>42</v>
      </c>
      <c r="G127" s="23" t="s">
        <v>42</v>
      </c>
      <c r="H127" s="22" t="s">
        <v>42</v>
      </c>
      <c r="I127" s="22" t="s">
        <v>42</v>
      </c>
      <c r="J127" s="22" t="s">
        <v>42</v>
      </c>
      <c r="K127" s="22" t="s">
        <v>42</v>
      </c>
      <c r="L127" s="22" t="s">
        <v>42</v>
      </c>
      <c r="M127" s="22" t="s">
        <v>42</v>
      </c>
      <c r="N127" s="22" t="s">
        <v>42</v>
      </c>
      <c r="O127" s="23" t="s">
        <v>42</v>
      </c>
      <c r="P127" s="22" t="s">
        <v>42</v>
      </c>
      <c r="Q127" s="22" t="s">
        <v>42</v>
      </c>
      <c r="R127" s="24"/>
      <c r="S127" s="23" t="s">
        <v>42</v>
      </c>
      <c r="T127" s="23" t="s">
        <v>42</v>
      </c>
      <c r="U127" s="23" t="s">
        <v>42</v>
      </c>
      <c r="V127" s="23" t="s">
        <v>42</v>
      </c>
      <c r="W127" s="23" t="s">
        <v>42</v>
      </c>
      <c r="X127" s="23" t="s">
        <v>42</v>
      </c>
      <c r="Y127" s="23" t="s">
        <v>42</v>
      </c>
      <c r="Z127" s="23" t="s">
        <v>42</v>
      </c>
      <c r="AA127" s="23" t="s">
        <v>42</v>
      </c>
      <c r="AB127" s="23" t="s">
        <v>42</v>
      </c>
      <c r="AC127" s="23" t="s">
        <v>42</v>
      </c>
      <c r="AD127" s="23" t="s">
        <v>42</v>
      </c>
      <c r="AE127" s="23" t="s">
        <v>42</v>
      </c>
      <c r="AF127" s="23" t="s">
        <v>42</v>
      </c>
      <c r="AG127" s="25"/>
      <c r="AH127" s="26" t="s">
        <v>42</v>
      </c>
      <c r="AI127" s="26" t="s">
        <v>42</v>
      </c>
      <c r="AK127" t="s">
        <v>772</v>
      </c>
    </row>
    <row r="128" spans="1:37" ht="30" x14ac:dyDescent="0.25">
      <c r="A128" s="20" t="s">
        <v>250</v>
      </c>
      <c r="B128" s="21" t="s">
        <v>251</v>
      </c>
      <c r="C128" s="21"/>
      <c r="D128" s="22"/>
      <c r="E128" s="22"/>
      <c r="F128" s="22"/>
      <c r="G128" s="23"/>
      <c r="H128" s="22"/>
      <c r="I128" s="22"/>
      <c r="J128" s="22"/>
      <c r="K128" s="22"/>
      <c r="L128" s="22"/>
      <c r="M128" s="22"/>
      <c r="N128" s="22"/>
      <c r="O128" s="23"/>
      <c r="P128" s="22"/>
      <c r="Q128" s="22"/>
      <c r="R128" s="24"/>
      <c r="S128" s="23" t="s">
        <v>42</v>
      </c>
      <c r="T128" s="23" t="s">
        <v>42</v>
      </c>
      <c r="U128" s="23" t="s">
        <v>42</v>
      </c>
      <c r="V128" s="23" t="s">
        <v>42</v>
      </c>
      <c r="W128" s="23" t="s">
        <v>42</v>
      </c>
      <c r="X128" s="23" t="s">
        <v>42</v>
      </c>
      <c r="Y128" s="23" t="s">
        <v>42</v>
      </c>
      <c r="Z128" s="23" t="s">
        <v>42</v>
      </c>
      <c r="AA128" s="23" t="s">
        <v>42</v>
      </c>
      <c r="AB128" s="23" t="s">
        <v>42</v>
      </c>
      <c r="AC128" s="23" t="s">
        <v>42</v>
      </c>
      <c r="AD128" s="23" t="s">
        <v>42</v>
      </c>
      <c r="AE128" s="23" t="s">
        <v>42</v>
      </c>
      <c r="AF128" s="23" t="s">
        <v>42</v>
      </c>
      <c r="AG128" s="25"/>
      <c r="AH128" s="26"/>
      <c r="AI128" s="26" t="s">
        <v>42</v>
      </c>
      <c r="AK128" t="s">
        <v>773</v>
      </c>
    </row>
    <row r="129" spans="1:37" ht="30" x14ac:dyDescent="0.25">
      <c r="A129" s="20" t="s">
        <v>252</v>
      </c>
      <c r="B129" s="21" t="s">
        <v>253</v>
      </c>
      <c r="C129" s="21"/>
      <c r="D129" s="22"/>
      <c r="E129" s="22"/>
      <c r="F129" s="22"/>
      <c r="G129" s="23"/>
      <c r="H129" s="22"/>
      <c r="I129" s="22"/>
      <c r="J129" s="22"/>
      <c r="K129" s="22"/>
      <c r="L129" s="22"/>
      <c r="M129" s="22"/>
      <c r="N129" s="22"/>
      <c r="O129" s="23"/>
      <c r="P129" s="22"/>
      <c r="Q129" s="22"/>
      <c r="R129" s="24"/>
      <c r="S129" s="23" t="s">
        <v>42</v>
      </c>
      <c r="T129" s="23" t="s">
        <v>42</v>
      </c>
      <c r="U129" s="23" t="s">
        <v>42</v>
      </c>
      <c r="V129" s="23" t="s">
        <v>42</v>
      </c>
      <c r="W129" s="23" t="s">
        <v>42</v>
      </c>
      <c r="X129" s="23" t="s">
        <v>42</v>
      </c>
      <c r="Y129" s="23" t="s">
        <v>42</v>
      </c>
      <c r="Z129" s="23" t="s">
        <v>42</v>
      </c>
      <c r="AA129" s="23" t="s">
        <v>42</v>
      </c>
      <c r="AB129" s="23" t="s">
        <v>42</v>
      </c>
      <c r="AC129" s="23" t="s">
        <v>42</v>
      </c>
      <c r="AD129" s="23" t="s">
        <v>42</v>
      </c>
      <c r="AE129" s="23" t="s">
        <v>42</v>
      </c>
      <c r="AF129" s="23" t="s">
        <v>42</v>
      </c>
      <c r="AG129" s="25"/>
      <c r="AH129" s="26"/>
      <c r="AI129" s="26" t="s">
        <v>42</v>
      </c>
      <c r="AK129" t="s">
        <v>774</v>
      </c>
    </row>
    <row r="130" spans="1:37" ht="30" x14ac:dyDescent="0.25">
      <c r="A130" s="20" t="s">
        <v>254</v>
      </c>
      <c r="B130" s="21" t="s">
        <v>255</v>
      </c>
      <c r="C130" s="21"/>
      <c r="D130" s="22" t="s">
        <v>42</v>
      </c>
      <c r="E130" s="22" t="s">
        <v>42</v>
      </c>
      <c r="F130" s="22" t="s">
        <v>42</v>
      </c>
      <c r="G130" s="23" t="s">
        <v>42</v>
      </c>
      <c r="H130" s="22" t="s">
        <v>42</v>
      </c>
      <c r="I130" s="22" t="s">
        <v>42</v>
      </c>
      <c r="J130" s="22" t="s">
        <v>42</v>
      </c>
      <c r="K130" s="22" t="s">
        <v>42</v>
      </c>
      <c r="L130" s="22" t="s">
        <v>42</v>
      </c>
      <c r="M130" s="22" t="s">
        <v>42</v>
      </c>
      <c r="N130" s="22" t="s">
        <v>42</v>
      </c>
      <c r="O130" s="23" t="s">
        <v>42</v>
      </c>
      <c r="P130" s="22" t="s">
        <v>42</v>
      </c>
      <c r="Q130" s="22" t="s">
        <v>42</v>
      </c>
      <c r="R130" s="24"/>
      <c r="S130" s="23" t="s">
        <v>42</v>
      </c>
      <c r="T130" s="23" t="s">
        <v>42</v>
      </c>
      <c r="U130" s="23" t="s">
        <v>42</v>
      </c>
      <c r="V130" s="23" t="s">
        <v>42</v>
      </c>
      <c r="W130" s="23" t="s">
        <v>42</v>
      </c>
      <c r="X130" s="23" t="s">
        <v>42</v>
      </c>
      <c r="Y130" s="23" t="s">
        <v>42</v>
      </c>
      <c r="Z130" s="23" t="s">
        <v>42</v>
      </c>
      <c r="AA130" s="23" t="s">
        <v>42</v>
      </c>
      <c r="AB130" s="23" t="s">
        <v>42</v>
      </c>
      <c r="AC130" s="23" t="s">
        <v>42</v>
      </c>
      <c r="AD130" s="23" t="s">
        <v>42</v>
      </c>
      <c r="AE130" s="23" t="s">
        <v>42</v>
      </c>
      <c r="AF130" s="23" t="s">
        <v>42</v>
      </c>
      <c r="AG130" s="25"/>
      <c r="AH130" s="26" t="s">
        <v>42</v>
      </c>
      <c r="AI130" s="23" t="s">
        <v>42</v>
      </c>
      <c r="AK130" t="s">
        <v>775</v>
      </c>
    </row>
    <row r="131" spans="1:37" ht="30" x14ac:dyDescent="0.25">
      <c r="A131" s="20" t="s">
        <v>256</v>
      </c>
      <c r="B131" s="21" t="s">
        <v>257</v>
      </c>
      <c r="D131" s="14" t="s">
        <v>42</v>
      </c>
      <c r="E131" s="14" t="s">
        <v>42</v>
      </c>
      <c r="F131" s="14" t="s">
        <v>42</v>
      </c>
      <c r="G131" s="15" t="s">
        <v>42</v>
      </c>
      <c r="H131" s="14" t="s">
        <v>42</v>
      </c>
      <c r="I131" s="14" t="s">
        <v>42</v>
      </c>
      <c r="J131" s="14" t="s">
        <v>42</v>
      </c>
      <c r="K131" s="14" t="s">
        <v>42</v>
      </c>
      <c r="L131" s="14" t="s">
        <v>42</v>
      </c>
      <c r="M131" s="14" t="s">
        <v>42</v>
      </c>
      <c r="N131" s="14" t="s">
        <v>42</v>
      </c>
      <c r="O131" s="15" t="s">
        <v>42</v>
      </c>
      <c r="P131" s="14" t="s">
        <v>42</v>
      </c>
      <c r="Q131" s="14" t="s">
        <v>42</v>
      </c>
      <c r="R131" s="16"/>
      <c r="S131" s="15" t="s">
        <v>42</v>
      </c>
      <c r="T131" s="15" t="s">
        <v>42</v>
      </c>
      <c r="U131" s="15" t="s">
        <v>42</v>
      </c>
      <c r="V131" s="15" t="s">
        <v>42</v>
      </c>
      <c r="W131" s="15" t="s">
        <v>42</v>
      </c>
      <c r="X131" s="15" t="s">
        <v>42</v>
      </c>
      <c r="Y131" s="15" t="s">
        <v>42</v>
      </c>
      <c r="Z131" s="15" t="s">
        <v>42</v>
      </c>
      <c r="AA131" s="15" t="s">
        <v>42</v>
      </c>
      <c r="AB131" s="15" t="s">
        <v>42</v>
      </c>
      <c r="AC131" s="15" t="s">
        <v>42</v>
      </c>
      <c r="AD131" s="15" t="s">
        <v>42</v>
      </c>
      <c r="AE131" s="15" t="s">
        <v>42</v>
      </c>
      <c r="AF131" s="15" t="s">
        <v>42</v>
      </c>
      <c r="AH131" s="17" t="s">
        <v>42</v>
      </c>
      <c r="AI131" s="17" t="s">
        <v>42</v>
      </c>
      <c r="AK131" t="s">
        <v>776</v>
      </c>
    </row>
    <row r="132" spans="1:37" x14ac:dyDescent="0.25">
      <c r="A132" s="20" t="s">
        <v>258</v>
      </c>
      <c r="B132" s="21" t="s">
        <v>259</v>
      </c>
      <c r="C132" s="21"/>
      <c r="D132" s="22" t="s">
        <v>42</v>
      </c>
      <c r="E132" s="22" t="s">
        <v>42</v>
      </c>
      <c r="F132" s="22" t="s">
        <v>42</v>
      </c>
      <c r="G132" s="23" t="s">
        <v>42</v>
      </c>
      <c r="H132" s="22" t="s">
        <v>42</v>
      </c>
      <c r="I132" s="22" t="s">
        <v>42</v>
      </c>
      <c r="J132" s="22" t="s">
        <v>42</v>
      </c>
      <c r="K132" s="22" t="s">
        <v>42</v>
      </c>
      <c r="L132" s="22" t="s">
        <v>42</v>
      </c>
      <c r="M132" s="22" t="s">
        <v>42</v>
      </c>
      <c r="N132" s="22" t="s">
        <v>42</v>
      </c>
      <c r="O132" s="23" t="s">
        <v>42</v>
      </c>
      <c r="P132" s="22" t="s">
        <v>42</v>
      </c>
      <c r="Q132" s="22" t="s">
        <v>42</v>
      </c>
      <c r="R132" s="24"/>
      <c r="S132" s="23" t="s">
        <v>42</v>
      </c>
      <c r="T132" s="23" t="s">
        <v>42</v>
      </c>
      <c r="U132" s="23" t="s">
        <v>42</v>
      </c>
      <c r="V132" s="23" t="s">
        <v>42</v>
      </c>
      <c r="W132" s="23" t="s">
        <v>42</v>
      </c>
      <c r="X132" s="23" t="s">
        <v>42</v>
      </c>
      <c r="Y132" s="23" t="s">
        <v>42</v>
      </c>
      <c r="Z132" s="23" t="s">
        <v>42</v>
      </c>
      <c r="AA132" s="23" t="s">
        <v>42</v>
      </c>
      <c r="AB132" s="23" t="s">
        <v>42</v>
      </c>
      <c r="AC132" s="23" t="s">
        <v>42</v>
      </c>
      <c r="AD132" s="23" t="s">
        <v>42</v>
      </c>
      <c r="AE132" s="23" t="s">
        <v>42</v>
      </c>
      <c r="AF132" s="23" t="s">
        <v>42</v>
      </c>
      <c r="AG132" s="25"/>
      <c r="AH132" s="26" t="s">
        <v>42</v>
      </c>
      <c r="AI132" s="26" t="s">
        <v>42</v>
      </c>
      <c r="AK132" t="s">
        <v>777</v>
      </c>
    </row>
    <row r="133" spans="1:37" x14ac:dyDescent="0.25">
      <c r="D133" s="14"/>
      <c r="E133" s="14"/>
      <c r="F133" s="14"/>
      <c r="G133" s="15"/>
      <c r="H133" s="14"/>
      <c r="I133" s="14"/>
      <c r="J133" s="14"/>
      <c r="K133" s="14"/>
      <c r="L133" s="14"/>
      <c r="M133" s="14"/>
      <c r="R133" s="16"/>
      <c r="S133" s="14"/>
      <c r="T133" s="14"/>
      <c r="U133" s="14"/>
      <c r="V133" s="15"/>
      <c r="W133" s="14"/>
      <c r="X133" s="14"/>
      <c r="Y133" s="15"/>
      <c r="Z133" s="14"/>
      <c r="AA133" s="14"/>
      <c r="AB133" s="14"/>
      <c r="AC133" s="14"/>
      <c r="AD133" s="14"/>
      <c r="AE133" s="14"/>
    </row>
    <row r="134" spans="1:37" x14ac:dyDescent="0.25">
      <c r="D134" s="14"/>
      <c r="E134" s="14"/>
      <c r="F134" s="14"/>
      <c r="G134" s="15"/>
      <c r="H134" s="14"/>
      <c r="I134" s="14"/>
      <c r="J134" s="14"/>
      <c r="K134" s="14"/>
      <c r="L134" s="14"/>
      <c r="M134" s="14"/>
      <c r="R134" s="16"/>
      <c r="S134" s="14"/>
      <c r="T134" s="14"/>
      <c r="U134" s="14"/>
      <c r="V134" s="15"/>
      <c r="W134" s="14"/>
      <c r="X134" s="14"/>
      <c r="Y134" s="15"/>
      <c r="Z134" s="14"/>
      <c r="AA134" s="14"/>
      <c r="AB134" s="14"/>
      <c r="AC134" s="14"/>
      <c r="AD134" s="14"/>
      <c r="AE134" s="14"/>
    </row>
    <row r="135" spans="1:37" x14ac:dyDescent="0.25">
      <c r="D135" s="14"/>
      <c r="E135" s="14"/>
      <c r="F135" s="14"/>
      <c r="G135" s="15"/>
      <c r="H135" s="14"/>
      <c r="I135" s="14"/>
      <c r="J135" s="14"/>
      <c r="K135" s="14"/>
      <c r="L135" s="14"/>
      <c r="M135" s="14"/>
      <c r="R135" s="16"/>
      <c r="S135" s="14"/>
      <c r="T135" s="14"/>
      <c r="U135" s="14"/>
      <c r="V135" s="15"/>
      <c r="W135" s="14"/>
      <c r="X135" s="14"/>
      <c r="Y135" s="15"/>
      <c r="Z135" s="14"/>
      <c r="AA135" s="14"/>
      <c r="AB135" s="14"/>
      <c r="AC135" s="14"/>
      <c r="AD135" s="14"/>
      <c r="AE135" s="14"/>
      <c r="AF135" s="14"/>
    </row>
    <row r="136" spans="1:37" x14ac:dyDescent="0.25">
      <c r="D136" s="14"/>
      <c r="E136" s="14"/>
      <c r="F136" s="14"/>
      <c r="G136" s="15"/>
      <c r="H136" s="14"/>
      <c r="I136" s="14"/>
      <c r="J136" s="14"/>
      <c r="K136" s="14"/>
      <c r="L136" s="14"/>
      <c r="M136" s="14"/>
      <c r="R136" s="16"/>
      <c r="S136" s="14"/>
      <c r="T136" s="14"/>
      <c r="U136" s="14"/>
      <c r="V136" s="15"/>
      <c r="W136" s="14"/>
      <c r="X136" s="14"/>
      <c r="Y136" s="15"/>
      <c r="Z136" s="14"/>
      <c r="AA136" s="14"/>
      <c r="AB136" s="14"/>
      <c r="AC136" s="14"/>
      <c r="AD136" s="14"/>
      <c r="AE136" s="14"/>
      <c r="AF136" s="14"/>
    </row>
    <row r="137" spans="1:37" x14ac:dyDescent="0.25">
      <c r="D137" s="14"/>
      <c r="E137" s="14"/>
      <c r="F137" s="14"/>
      <c r="G137" s="15"/>
      <c r="H137" s="14"/>
      <c r="I137" s="14"/>
      <c r="J137" s="14"/>
      <c r="K137" s="14"/>
      <c r="L137" s="14"/>
      <c r="M137" s="14"/>
      <c r="R137" s="16"/>
      <c r="S137" s="14"/>
      <c r="T137" s="14"/>
      <c r="U137" s="14"/>
      <c r="V137" s="15"/>
      <c r="W137" s="14"/>
      <c r="X137" s="14"/>
      <c r="Y137" s="15"/>
      <c r="Z137" s="14"/>
      <c r="AA137" s="14"/>
      <c r="AB137" s="14"/>
      <c r="AC137" s="14"/>
      <c r="AD137" s="14"/>
      <c r="AE137" s="14"/>
      <c r="AF137" s="14"/>
    </row>
    <row r="138" spans="1:37" x14ac:dyDescent="0.25">
      <c r="D138" s="14"/>
      <c r="E138" s="14"/>
      <c r="F138" s="14"/>
      <c r="G138" s="15"/>
      <c r="H138" s="14"/>
      <c r="I138" s="14"/>
      <c r="J138" s="14"/>
      <c r="K138" s="14"/>
      <c r="L138" s="14"/>
      <c r="M138" s="14"/>
      <c r="R138" s="16"/>
      <c r="S138" s="14"/>
      <c r="T138" s="14"/>
      <c r="U138" s="14"/>
      <c r="V138" s="15"/>
      <c r="W138" s="14"/>
      <c r="X138" s="14"/>
      <c r="Y138" s="15"/>
      <c r="Z138" s="14"/>
      <c r="AA138" s="14"/>
      <c r="AB138" s="14"/>
      <c r="AC138" s="14"/>
      <c r="AD138" s="14"/>
      <c r="AE138" s="14"/>
      <c r="AF138" s="14"/>
    </row>
    <row r="139" spans="1:37" x14ac:dyDescent="0.25">
      <c r="D139" s="14"/>
      <c r="E139" s="14"/>
      <c r="F139" s="14"/>
      <c r="G139" s="15"/>
      <c r="H139" s="14"/>
      <c r="I139" s="14"/>
      <c r="J139" s="14"/>
      <c r="K139" s="14"/>
      <c r="L139" s="14"/>
      <c r="M139" s="14"/>
      <c r="R139" s="16"/>
      <c r="S139" s="14"/>
      <c r="T139" s="14"/>
      <c r="U139" s="14"/>
      <c r="V139" s="15"/>
      <c r="W139" s="14"/>
      <c r="X139" s="14"/>
      <c r="Y139" s="15"/>
      <c r="Z139" s="14"/>
      <c r="AA139" s="14"/>
      <c r="AB139" s="14"/>
      <c r="AC139" s="14"/>
      <c r="AD139" s="14"/>
      <c r="AE139" s="14"/>
      <c r="AF139" s="14"/>
    </row>
    <row r="140" spans="1:37" x14ac:dyDescent="0.25">
      <c r="D140" s="14"/>
      <c r="E140" s="14"/>
      <c r="F140" s="14"/>
      <c r="G140" s="15"/>
      <c r="H140" s="14"/>
      <c r="I140" s="14"/>
      <c r="J140" s="14"/>
      <c r="K140" s="14"/>
      <c r="L140" s="14"/>
      <c r="M140" s="14"/>
      <c r="R140" s="16"/>
      <c r="S140" s="14"/>
      <c r="T140" s="14"/>
      <c r="U140" s="14"/>
      <c r="V140" s="15"/>
      <c r="W140" s="14"/>
      <c r="X140" s="14"/>
      <c r="Y140" s="15"/>
      <c r="Z140" s="14"/>
      <c r="AA140" s="14"/>
      <c r="AB140" s="14"/>
      <c r="AC140" s="14"/>
      <c r="AD140" s="14"/>
      <c r="AE140" s="14"/>
      <c r="AF140" s="14"/>
    </row>
    <row r="141" spans="1:37" x14ac:dyDescent="0.25">
      <c r="D141" s="14"/>
      <c r="E141" s="14"/>
      <c r="F141" s="14"/>
      <c r="G141" s="15"/>
      <c r="H141" s="14"/>
      <c r="I141" s="14"/>
      <c r="J141" s="14"/>
      <c r="K141" s="14"/>
      <c r="L141" s="14"/>
      <c r="M141" s="14"/>
      <c r="R141" s="16"/>
      <c r="S141" s="14"/>
      <c r="T141" s="14"/>
      <c r="U141" s="14"/>
      <c r="V141" s="15"/>
      <c r="W141" s="14"/>
      <c r="X141" s="14"/>
      <c r="Y141" s="15"/>
      <c r="Z141" s="14"/>
      <c r="AA141" s="14"/>
      <c r="AB141" s="14"/>
      <c r="AC141" s="14"/>
      <c r="AD141" s="14"/>
      <c r="AE141" s="14"/>
      <c r="AF141" s="14"/>
    </row>
  </sheetData>
  <customSheetViews>
    <customSheetView guid="{638E9BBB-9DE1-4C03-99E5-6DF442C45AE3}" showPageBreaks="1">
      <pane xSplit="2" ySplit="1" topLeftCell="C47" activePane="bottomRight" state="frozen"/>
      <selection pane="bottomRight" activeCell="AC115" sqref="AC115"/>
      <pageMargins left="0.7" right="0.7" top="0.78740157499999996" bottom="0.78740157499999996" header="0.3" footer="0.3"/>
    </customSheetView>
  </customSheetViews>
  <mergeCells count="1">
    <mergeCell ref="A1:B1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BA434"/>
  <sheetViews>
    <sheetView zoomScaleNormal="100" workbookViewId="0">
      <pane xSplit="2" ySplit="1" topLeftCell="C202" activePane="bottomRight" state="frozen"/>
      <selection activeCell="C46" sqref="C46"/>
      <selection pane="topRight" activeCell="C46" sqref="C46"/>
      <selection pane="bottomLeft" activeCell="C46" sqref="C46"/>
      <selection pane="bottomRight" activeCell="W8" sqref="W8"/>
    </sheetView>
  </sheetViews>
  <sheetFormatPr baseColWidth="10" defaultColWidth="10.85546875" defaultRowHeight="15" outlineLevelRow="2" x14ac:dyDescent="0.25"/>
  <cols>
    <col min="1" max="1" width="10.85546875" style="20" bestFit="1" customWidth="1"/>
    <col min="2" max="2" width="46.85546875" style="21" customWidth="1"/>
    <col min="3" max="3" width="29.28515625" customWidth="1"/>
    <col min="4" max="6" width="6.85546875" style="26" customWidth="1"/>
    <col min="7" max="7" width="6.85546875" style="60" customWidth="1"/>
    <col min="8" max="12" width="6.85546875" style="26" customWidth="1"/>
    <col min="13" max="13" width="6.85546875" style="60" customWidth="1"/>
    <col min="14" max="16" width="6.85546875" style="26" customWidth="1"/>
    <col min="17" max="17" width="7" customWidth="1"/>
    <col min="18" max="18" width="1.28515625" style="59" customWidth="1"/>
    <col min="19" max="31" width="6.85546875" customWidth="1"/>
    <col min="32" max="32" width="8.140625" customWidth="1"/>
    <col min="33" max="33" width="1.28515625" style="59" customWidth="1"/>
    <col min="34" max="36" width="6.85546875" customWidth="1"/>
    <col min="37" max="37" width="6.5703125" customWidth="1"/>
    <col min="38" max="38" width="1.85546875" style="59" customWidth="1"/>
    <col min="39" max="41" width="6.85546875" customWidth="1"/>
  </cols>
  <sheetData>
    <row r="1" spans="1:53" s="4" customFormat="1" ht="84" customHeight="1" x14ac:dyDescent="0.25">
      <c r="A1" s="113" t="s">
        <v>12</v>
      </c>
      <c r="B1" s="113"/>
      <c r="C1" s="4" t="s">
        <v>13</v>
      </c>
      <c r="D1" s="10" t="s">
        <v>14</v>
      </c>
      <c r="E1" s="10" t="s">
        <v>15</v>
      </c>
      <c r="F1" s="10" t="s">
        <v>16</v>
      </c>
      <c r="G1" s="74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74" t="s">
        <v>23</v>
      </c>
      <c r="N1" s="10" t="s">
        <v>804</v>
      </c>
      <c r="O1" s="10" t="s">
        <v>805</v>
      </c>
      <c r="P1" s="10" t="s">
        <v>806</v>
      </c>
      <c r="Q1" s="10" t="s">
        <v>807</v>
      </c>
      <c r="R1" s="59"/>
      <c r="S1" s="10" t="s">
        <v>688</v>
      </c>
      <c r="T1" s="10" t="s">
        <v>687</v>
      </c>
      <c r="U1" s="10" t="s">
        <v>686</v>
      </c>
      <c r="V1" s="10" t="s">
        <v>685</v>
      </c>
      <c r="W1" s="10" t="s">
        <v>684</v>
      </c>
      <c r="X1" s="10" t="s">
        <v>683</v>
      </c>
      <c r="Y1" s="10" t="s">
        <v>682</v>
      </c>
      <c r="Z1" s="10" t="s">
        <v>681</v>
      </c>
      <c r="AA1" s="10" t="s">
        <v>680</v>
      </c>
      <c r="AB1" s="10" t="s">
        <v>679</v>
      </c>
      <c r="AC1" s="10" t="s">
        <v>809</v>
      </c>
      <c r="AD1" s="10" t="s">
        <v>810</v>
      </c>
      <c r="AE1" s="10" t="s">
        <v>811</v>
      </c>
      <c r="AF1" s="10" t="s">
        <v>812</v>
      </c>
      <c r="AG1" s="59"/>
      <c r="AH1" s="10" t="s">
        <v>24</v>
      </c>
      <c r="AI1" s="10" t="s">
        <v>678</v>
      </c>
      <c r="AJ1" s="10" t="s">
        <v>677</v>
      </c>
      <c r="AK1" s="10" t="s">
        <v>875</v>
      </c>
      <c r="AL1" s="59"/>
      <c r="AM1" s="10" t="s">
        <v>34</v>
      </c>
      <c r="AN1" s="10" t="s">
        <v>676</v>
      </c>
      <c r="AO1" s="10" t="s">
        <v>35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ht="30" x14ac:dyDescent="0.25">
      <c r="A2" s="11">
        <v>1</v>
      </c>
      <c r="B2" s="12" t="s">
        <v>37</v>
      </c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H2" s="26"/>
      <c r="AI2" s="26"/>
      <c r="AJ2" s="26"/>
      <c r="AM2" s="26"/>
      <c r="AN2" s="26"/>
      <c r="AO2" s="26"/>
      <c r="AP2" s="26"/>
      <c r="AQ2" s="26"/>
      <c r="AR2" s="26"/>
    </row>
    <row r="3" spans="1:53" x14ac:dyDescent="0.25">
      <c r="A3" s="18" t="s">
        <v>38</v>
      </c>
      <c r="B3" s="19" t="s">
        <v>39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D3" s="26"/>
      <c r="AE3" s="26"/>
      <c r="AH3" s="26"/>
      <c r="AI3" s="26"/>
      <c r="AJ3" s="26"/>
      <c r="AM3" s="26"/>
      <c r="AN3" s="26"/>
      <c r="AO3" s="26"/>
      <c r="AP3" s="26"/>
      <c r="AQ3" s="26"/>
      <c r="AR3" s="26"/>
    </row>
    <row r="4" spans="1:53" ht="20.25" customHeight="1" outlineLevel="1" x14ac:dyDescent="0.25">
      <c r="A4" s="20" t="s">
        <v>40</v>
      </c>
      <c r="B4" s="21" t="s">
        <v>675</v>
      </c>
      <c r="D4" s="26" t="s">
        <v>42</v>
      </c>
      <c r="E4" s="26" t="s">
        <v>42</v>
      </c>
      <c r="F4" s="26" t="s">
        <v>42</v>
      </c>
      <c r="G4" s="60" t="s">
        <v>42</v>
      </c>
      <c r="H4" s="26" t="s">
        <v>42</v>
      </c>
      <c r="I4" s="26" t="s">
        <v>42</v>
      </c>
      <c r="J4" s="26" t="s">
        <v>42</v>
      </c>
      <c r="K4" s="26" t="s">
        <v>42</v>
      </c>
      <c r="L4" s="26" t="s">
        <v>42</v>
      </c>
      <c r="M4" s="60" t="s">
        <v>42</v>
      </c>
      <c r="N4" s="26" t="s">
        <v>42</v>
      </c>
      <c r="O4" s="60" t="s">
        <v>42</v>
      </c>
      <c r="P4" s="26" t="s">
        <v>42</v>
      </c>
      <c r="Q4" s="26" t="s">
        <v>42</v>
      </c>
      <c r="S4" s="26" t="s">
        <v>42</v>
      </c>
      <c r="T4" s="26" t="s">
        <v>42</v>
      </c>
      <c r="U4" s="26" t="s">
        <v>42</v>
      </c>
      <c r="V4" s="26" t="s">
        <v>42</v>
      </c>
      <c r="W4" s="26" t="s">
        <v>42</v>
      </c>
      <c r="X4" s="26" t="s">
        <v>42</v>
      </c>
      <c r="Y4" s="26" t="s">
        <v>42</v>
      </c>
      <c r="Z4" s="26" t="s">
        <v>42</v>
      </c>
      <c r="AA4" s="26" t="s">
        <v>42</v>
      </c>
      <c r="AB4" s="26" t="s">
        <v>42</v>
      </c>
      <c r="AC4" s="26" t="s">
        <v>42</v>
      </c>
      <c r="AD4" s="26" t="s">
        <v>42</v>
      </c>
      <c r="AE4" s="26" t="s">
        <v>42</v>
      </c>
      <c r="AF4" s="26" t="s">
        <v>42</v>
      </c>
      <c r="AH4" s="26" t="s">
        <v>42</v>
      </c>
      <c r="AI4" s="26" t="s">
        <v>42</v>
      </c>
      <c r="AJ4" s="26" t="s">
        <v>42</v>
      </c>
      <c r="AK4" s="26" t="s">
        <v>42</v>
      </c>
      <c r="AM4" s="26" t="s">
        <v>42</v>
      </c>
      <c r="AN4" s="26" t="s">
        <v>42</v>
      </c>
      <c r="AO4" s="26" t="s">
        <v>42</v>
      </c>
      <c r="AP4" s="26"/>
      <c r="AQ4" s="26"/>
      <c r="AR4" s="26"/>
    </row>
    <row r="5" spans="1:53" outlineLevel="2" x14ac:dyDescent="0.25">
      <c r="A5" s="20" t="s">
        <v>43</v>
      </c>
      <c r="B5" s="27" t="s">
        <v>674</v>
      </c>
      <c r="D5" s="26" t="s">
        <v>42</v>
      </c>
      <c r="E5" s="26" t="s">
        <v>42</v>
      </c>
      <c r="F5" s="26" t="s">
        <v>42</v>
      </c>
      <c r="G5" s="60" t="s">
        <v>42</v>
      </c>
      <c r="H5" s="26" t="s">
        <v>42</v>
      </c>
      <c r="I5" s="26" t="s">
        <v>42</v>
      </c>
      <c r="J5" s="26" t="s">
        <v>42</v>
      </c>
      <c r="K5" s="26" t="s">
        <v>42</v>
      </c>
      <c r="L5" s="26" t="s">
        <v>42</v>
      </c>
      <c r="M5" s="60" t="s">
        <v>42</v>
      </c>
      <c r="N5" s="26" t="s">
        <v>42</v>
      </c>
      <c r="O5" s="60" t="s">
        <v>42</v>
      </c>
      <c r="P5" s="26" t="s">
        <v>42</v>
      </c>
      <c r="Q5" s="26" t="s">
        <v>42</v>
      </c>
      <c r="S5" s="26" t="s">
        <v>42</v>
      </c>
      <c r="T5" s="26" t="s">
        <v>42</v>
      </c>
      <c r="U5" s="26" t="s">
        <v>42</v>
      </c>
      <c r="V5" s="26" t="s">
        <v>42</v>
      </c>
      <c r="W5" s="26" t="s">
        <v>42</v>
      </c>
      <c r="X5" s="26" t="s">
        <v>42</v>
      </c>
      <c r="Y5" s="26" t="s">
        <v>42</v>
      </c>
      <c r="Z5" s="26" t="s">
        <v>42</v>
      </c>
      <c r="AA5" s="26" t="s">
        <v>42</v>
      </c>
      <c r="AB5" s="26" t="s">
        <v>42</v>
      </c>
      <c r="AC5" s="26" t="s">
        <v>42</v>
      </c>
      <c r="AD5" s="26" t="s">
        <v>42</v>
      </c>
      <c r="AE5" s="26" t="s">
        <v>42</v>
      </c>
      <c r="AF5" s="26" t="s">
        <v>42</v>
      </c>
      <c r="AH5" s="26" t="s">
        <v>42</v>
      </c>
      <c r="AI5" s="26" t="s">
        <v>42</v>
      </c>
      <c r="AJ5" s="26" t="s">
        <v>42</v>
      </c>
      <c r="AK5" s="26" t="s">
        <v>42</v>
      </c>
      <c r="AM5" s="26" t="s">
        <v>42</v>
      </c>
      <c r="AN5" s="26" t="s">
        <v>42</v>
      </c>
      <c r="AO5" s="26" t="s">
        <v>42</v>
      </c>
      <c r="AP5" s="26"/>
      <c r="AQ5" s="26"/>
      <c r="AR5" s="26"/>
    </row>
    <row r="6" spans="1:53" outlineLevel="2" x14ac:dyDescent="0.25">
      <c r="A6" s="20" t="s">
        <v>45</v>
      </c>
      <c r="B6" s="21" t="s">
        <v>673</v>
      </c>
      <c r="D6" s="26" t="s">
        <v>42</v>
      </c>
      <c r="E6" s="26" t="s">
        <v>42</v>
      </c>
      <c r="F6" s="26" t="s">
        <v>42</v>
      </c>
      <c r="G6" s="60" t="s">
        <v>42</v>
      </c>
      <c r="H6" s="26" t="s">
        <v>42</v>
      </c>
      <c r="I6" s="26" t="s">
        <v>42</v>
      </c>
      <c r="J6" s="26" t="s">
        <v>42</v>
      </c>
      <c r="K6" s="26" t="s">
        <v>42</v>
      </c>
      <c r="L6" s="26" t="s">
        <v>42</v>
      </c>
      <c r="M6" s="60" t="s">
        <v>42</v>
      </c>
      <c r="N6" s="26" t="s">
        <v>42</v>
      </c>
      <c r="O6" s="60" t="s">
        <v>42</v>
      </c>
      <c r="P6" s="26" t="s">
        <v>42</v>
      </c>
      <c r="Q6" s="26" t="s">
        <v>42</v>
      </c>
      <c r="S6" s="26" t="s">
        <v>42</v>
      </c>
      <c r="T6" s="26" t="s">
        <v>42</v>
      </c>
      <c r="U6" s="26" t="s">
        <v>42</v>
      </c>
      <c r="V6" s="26" t="s">
        <v>42</v>
      </c>
      <c r="W6" s="26" t="s">
        <v>42</v>
      </c>
      <c r="X6" s="26" t="s">
        <v>42</v>
      </c>
      <c r="Y6" s="26" t="s">
        <v>42</v>
      </c>
      <c r="Z6" s="26" t="s">
        <v>42</v>
      </c>
      <c r="AA6" s="26" t="s">
        <v>42</v>
      </c>
      <c r="AB6" s="26" t="s">
        <v>42</v>
      </c>
      <c r="AC6" s="26" t="s">
        <v>42</v>
      </c>
      <c r="AD6" s="26" t="s">
        <v>42</v>
      </c>
      <c r="AE6" s="26" t="s">
        <v>42</v>
      </c>
      <c r="AF6" s="26" t="s">
        <v>42</v>
      </c>
      <c r="AH6" s="26" t="s">
        <v>42</v>
      </c>
      <c r="AI6" s="26" t="s">
        <v>42</v>
      </c>
      <c r="AJ6" s="26" t="s">
        <v>42</v>
      </c>
      <c r="AK6" s="26" t="s">
        <v>42</v>
      </c>
      <c r="AM6" s="26" t="s">
        <v>42</v>
      </c>
      <c r="AN6" s="26" t="s">
        <v>42</v>
      </c>
      <c r="AO6" s="26" t="s">
        <v>42</v>
      </c>
      <c r="AP6" s="26"/>
      <c r="AQ6" s="26"/>
      <c r="AR6" s="26"/>
    </row>
    <row r="7" spans="1:53" outlineLevel="2" x14ac:dyDescent="0.25">
      <c r="A7" s="20" t="s">
        <v>47</v>
      </c>
      <c r="B7" s="21" t="s">
        <v>44</v>
      </c>
      <c r="D7" s="26" t="s">
        <v>42</v>
      </c>
      <c r="E7" s="26" t="s">
        <v>42</v>
      </c>
      <c r="F7" s="26" t="s">
        <v>42</v>
      </c>
      <c r="G7" s="60" t="s">
        <v>42</v>
      </c>
      <c r="H7" s="26" t="s">
        <v>42</v>
      </c>
      <c r="I7" s="26" t="s">
        <v>42</v>
      </c>
      <c r="J7" s="26" t="s">
        <v>42</v>
      </c>
      <c r="K7" s="26" t="s">
        <v>42</v>
      </c>
      <c r="L7" s="26" t="s">
        <v>42</v>
      </c>
      <c r="M7" s="60" t="s">
        <v>42</v>
      </c>
      <c r="N7" s="26" t="s">
        <v>42</v>
      </c>
      <c r="O7" s="60" t="s">
        <v>42</v>
      </c>
      <c r="P7" s="26" t="s">
        <v>42</v>
      </c>
      <c r="Q7" s="26" t="s">
        <v>42</v>
      </c>
      <c r="S7" s="26" t="s">
        <v>42</v>
      </c>
      <c r="T7" s="26" t="s">
        <v>42</v>
      </c>
      <c r="U7" s="26" t="s">
        <v>42</v>
      </c>
      <c r="V7" s="26" t="s">
        <v>42</v>
      </c>
      <c r="W7" s="26" t="s">
        <v>42</v>
      </c>
      <c r="X7" s="26" t="s">
        <v>42</v>
      </c>
      <c r="Y7" s="26" t="s">
        <v>42</v>
      </c>
      <c r="Z7" s="26" t="s">
        <v>42</v>
      </c>
      <c r="AA7" s="26" t="s">
        <v>42</v>
      </c>
      <c r="AB7" s="26" t="s">
        <v>42</v>
      </c>
      <c r="AC7" s="26" t="s">
        <v>42</v>
      </c>
      <c r="AD7" s="26" t="s">
        <v>42</v>
      </c>
      <c r="AE7" s="26" t="s">
        <v>42</v>
      </c>
      <c r="AF7" s="26" t="s">
        <v>42</v>
      </c>
      <c r="AH7" s="26" t="s">
        <v>42</v>
      </c>
      <c r="AI7" s="26" t="s">
        <v>42</v>
      </c>
      <c r="AJ7" s="26" t="s">
        <v>42</v>
      </c>
      <c r="AK7" s="26" t="s">
        <v>42</v>
      </c>
      <c r="AM7" s="26" t="s">
        <v>42</v>
      </c>
      <c r="AN7" s="26" t="s">
        <v>42</v>
      </c>
      <c r="AO7" s="26" t="s">
        <v>42</v>
      </c>
      <c r="AP7" s="26"/>
      <c r="AQ7" s="26"/>
      <c r="AR7" s="26"/>
    </row>
    <row r="8" spans="1:53" outlineLevel="2" x14ac:dyDescent="0.25">
      <c r="A8" s="20" t="s">
        <v>49</v>
      </c>
      <c r="B8" s="21" t="s">
        <v>672</v>
      </c>
      <c r="D8" s="26" t="s">
        <v>42</v>
      </c>
      <c r="E8" s="26" t="s">
        <v>42</v>
      </c>
      <c r="F8" s="26" t="s">
        <v>42</v>
      </c>
      <c r="G8" s="60" t="s">
        <v>42</v>
      </c>
      <c r="H8" s="26" t="s">
        <v>42</v>
      </c>
      <c r="I8" s="26" t="s">
        <v>42</v>
      </c>
      <c r="J8" s="26" t="s">
        <v>42</v>
      </c>
      <c r="K8" s="26" t="s">
        <v>42</v>
      </c>
      <c r="L8" s="26" t="s">
        <v>42</v>
      </c>
      <c r="M8" s="60" t="s">
        <v>42</v>
      </c>
      <c r="N8" s="26" t="s">
        <v>42</v>
      </c>
      <c r="O8" s="60" t="s">
        <v>42</v>
      </c>
      <c r="P8" s="26" t="s">
        <v>42</v>
      </c>
      <c r="Q8" s="26" t="s">
        <v>42</v>
      </c>
      <c r="S8" s="26" t="s">
        <v>42</v>
      </c>
      <c r="T8" s="26" t="s">
        <v>42</v>
      </c>
      <c r="U8" s="26" t="s">
        <v>42</v>
      </c>
      <c r="V8" s="26" t="s">
        <v>42</v>
      </c>
      <c r="W8" s="26" t="s">
        <v>42</v>
      </c>
      <c r="X8" s="26" t="s">
        <v>42</v>
      </c>
      <c r="Y8" s="26" t="s">
        <v>42</v>
      </c>
      <c r="Z8" s="26" t="s">
        <v>42</v>
      </c>
      <c r="AA8" s="26" t="s">
        <v>42</v>
      </c>
      <c r="AB8" s="26" t="s">
        <v>42</v>
      </c>
      <c r="AC8" s="26" t="s">
        <v>42</v>
      </c>
      <c r="AD8" s="26" t="s">
        <v>42</v>
      </c>
      <c r="AE8" s="26" t="s">
        <v>42</v>
      </c>
      <c r="AF8" s="26" t="s">
        <v>42</v>
      </c>
      <c r="AH8" s="26" t="s">
        <v>42</v>
      </c>
      <c r="AI8" s="26" t="s">
        <v>42</v>
      </c>
      <c r="AJ8" s="26" t="s">
        <v>42</v>
      </c>
      <c r="AK8" s="26" t="s">
        <v>42</v>
      </c>
      <c r="AM8" s="26" t="s">
        <v>42</v>
      </c>
      <c r="AN8" s="26" t="s">
        <v>42</v>
      </c>
      <c r="AO8" s="26" t="s">
        <v>42</v>
      </c>
      <c r="AP8" s="26"/>
      <c r="AQ8" s="26"/>
      <c r="AR8" s="26"/>
    </row>
    <row r="9" spans="1:53" ht="30" outlineLevel="2" x14ac:dyDescent="0.25">
      <c r="A9" s="20" t="s">
        <v>54</v>
      </c>
      <c r="B9" s="21" t="s">
        <v>671</v>
      </c>
      <c r="D9" s="26" t="s">
        <v>42</v>
      </c>
      <c r="E9" s="26" t="s">
        <v>42</v>
      </c>
      <c r="F9" s="26" t="s">
        <v>42</v>
      </c>
      <c r="G9" s="60" t="s">
        <v>42</v>
      </c>
      <c r="H9" s="26" t="s">
        <v>42</v>
      </c>
      <c r="I9" s="26" t="s">
        <v>42</v>
      </c>
      <c r="J9" s="26" t="s">
        <v>42</v>
      </c>
      <c r="K9" s="26" t="s">
        <v>42</v>
      </c>
      <c r="L9" s="26" t="s">
        <v>42</v>
      </c>
      <c r="M9" s="60" t="s">
        <v>42</v>
      </c>
      <c r="N9" s="26" t="s">
        <v>42</v>
      </c>
      <c r="O9" s="60" t="s">
        <v>42</v>
      </c>
      <c r="P9" s="26" t="s">
        <v>42</v>
      </c>
      <c r="Q9" s="26" t="s">
        <v>42</v>
      </c>
      <c r="S9" s="26" t="s">
        <v>42</v>
      </c>
      <c r="T9" s="26" t="s">
        <v>42</v>
      </c>
      <c r="U9" s="26" t="s">
        <v>42</v>
      </c>
      <c r="V9" s="26" t="s">
        <v>42</v>
      </c>
      <c r="W9" s="26" t="s">
        <v>42</v>
      </c>
      <c r="X9" s="26" t="s">
        <v>42</v>
      </c>
      <c r="Y9" s="26" t="s">
        <v>42</v>
      </c>
      <c r="Z9" s="26" t="s">
        <v>42</v>
      </c>
      <c r="AA9" s="26" t="s">
        <v>42</v>
      </c>
      <c r="AB9" s="26" t="s">
        <v>42</v>
      </c>
      <c r="AC9" s="26" t="s">
        <v>42</v>
      </c>
      <c r="AD9" s="26" t="s">
        <v>42</v>
      </c>
      <c r="AE9" s="26" t="s">
        <v>42</v>
      </c>
      <c r="AF9" s="26" t="s">
        <v>42</v>
      </c>
      <c r="AH9" s="26" t="s">
        <v>42</v>
      </c>
      <c r="AI9" s="26" t="s">
        <v>42</v>
      </c>
      <c r="AJ9" s="26" t="s">
        <v>42</v>
      </c>
      <c r="AK9" s="26" t="s">
        <v>42</v>
      </c>
      <c r="AM9" s="26" t="s">
        <v>42</v>
      </c>
      <c r="AN9" s="26" t="s">
        <v>42</v>
      </c>
      <c r="AO9" s="26" t="s">
        <v>42</v>
      </c>
      <c r="AP9" s="26"/>
      <c r="AQ9" s="26"/>
      <c r="AR9" s="26"/>
    </row>
    <row r="10" spans="1:53" outlineLevel="2" x14ac:dyDescent="0.25">
      <c r="A10" s="20" t="s">
        <v>56</v>
      </c>
      <c r="B10" s="21" t="s">
        <v>670</v>
      </c>
      <c r="D10" s="26" t="s">
        <v>42</v>
      </c>
      <c r="E10" s="26" t="s">
        <v>42</v>
      </c>
      <c r="F10" s="26" t="s">
        <v>42</v>
      </c>
      <c r="G10" s="60" t="s">
        <v>42</v>
      </c>
      <c r="H10" s="26" t="s">
        <v>42</v>
      </c>
      <c r="I10" s="26" t="s">
        <v>42</v>
      </c>
      <c r="J10" s="26" t="s">
        <v>42</v>
      </c>
      <c r="K10" s="26" t="s">
        <v>42</v>
      </c>
      <c r="L10" s="26" t="s">
        <v>42</v>
      </c>
      <c r="M10" s="60" t="s">
        <v>42</v>
      </c>
      <c r="N10" s="26" t="s">
        <v>42</v>
      </c>
      <c r="O10" s="60" t="s">
        <v>42</v>
      </c>
      <c r="P10" s="26" t="s">
        <v>42</v>
      </c>
      <c r="Q10" s="26" t="s">
        <v>42</v>
      </c>
      <c r="S10" s="26" t="s">
        <v>42</v>
      </c>
      <c r="T10" s="26" t="s">
        <v>42</v>
      </c>
      <c r="U10" s="26" t="s">
        <v>42</v>
      </c>
      <c r="V10" s="26" t="s">
        <v>42</v>
      </c>
      <c r="W10" s="26" t="s">
        <v>42</v>
      </c>
      <c r="X10" s="26" t="s">
        <v>42</v>
      </c>
      <c r="Y10" s="26" t="s">
        <v>42</v>
      </c>
      <c r="Z10" s="26" t="s">
        <v>42</v>
      </c>
      <c r="AA10" s="26" t="s">
        <v>42</v>
      </c>
      <c r="AB10" s="26" t="s">
        <v>42</v>
      </c>
      <c r="AC10" s="26" t="s">
        <v>42</v>
      </c>
      <c r="AD10" s="26" t="s">
        <v>42</v>
      </c>
      <c r="AE10" s="26" t="s">
        <v>42</v>
      </c>
      <c r="AF10" s="26" t="s">
        <v>42</v>
      </c>
      <c r="AH10" s="26" t="s">
        <v>42</v>
      </c>
      <c r="AI10" s="26" t="s">
        <v>42</v>
      </c>
      <c r="AJ10" s="26" t="s">
        <v>42</v>
      </c>
      <c r="AK10" s="26" t="s">
        <v>42</v>
      </c>
      <c r="AM10" s="26" t="s">
        <v>42</v>
      </c>
      <c r="AN10" s="26" t="s">
        <v>42</v>
      </c>
      <c r="AO10" s="26" t="s">
        <v>42</v>
      </c>
      <c r="AP10" s="26"/>
      <c r="AQ10" s="26"/>
      <c r="AR10" s="26"/>
    </row>
    <row r="11" spans="1:53" outlineLevel="2" x14ac:dyDescent="0.25">
      <c r="A11" s="20" t="s">
        <v>669</v>
      </c>
      <c r="B11" s="21" t="s">
        <v>668</v>
      </c>
      <c r="C11" t="s">
        <v>667</v>
      </c>
      <c r="D11" s="26" t="s">
        <v>42</v>
      </c>
      <c r="E11" s="26" t="s">
        <v>42</v>
      </c>
      <c r="F11" s="26" t="s">
        <v>42</v>
      </c>
      <c r="G11" s="60" t="s">
        <v>42</v>
      </c>
      <c r="H11" s="26" t="s">
        <v>42</v>
      </c>
      <c r="I11" s="26" t="s">
        <v>42</v>
      </c>
      <c r="J11" s="26" t="s">
        <v>42</v>
      </c>
      <c r="K11" s="26" t="s">
        <v>42</v>
      </c>
      <c r="L11" s="26" t="s">
        <v>42</v>
      </c>
      <c r="M11" s="60" t="s">
        <v>42</v>
      </c>
      <c r="N11" s="26" t="s">
        <v>42</v>
      </c>
      <c r="O11" s="60" t="s">
        <v>42</v>
      </c>
      <c r="P11" s="26" t="s">
        <v>42</v>
      </c>
      <c r="Q11" s="26" t="s">
        <v>42</v>
      </c>
      <c r="S11" s="60" t="s">
        <v>42</v>
      </c>
      <c r="T11" s="60" t="s">
        <v>42</v>
      </c>
      <c r="U11" s="60" t="s">
        <v>42</v>
      </c>
      <c r="V11" s="60" t="s">
        <v>42</v>
      </c>
      <c r="W11" s="60" t="s">
        <v>42</v>
      </c>
      <c r="X11" s="60" t="s">
        <v>42</v>
      </c>
      <c r="Y11" s="60" t="s">
        <v>42</v>
      </c>
      <c r="Z11" s="60" t="s">
        <v>42</v>
      </c>
      <c r="AA11" s="60" t="s">
        <v>42</v>
      </c>
      <c r="AB11" s="60" t="s">
        <v>42</v>
      </c>
      <c r="AC11" s="60" t="s">
        <v>42</v>
      </c>
      <c r="AD11" s="60" t="s">
        <v>42</v>
      </c>
      <c r="AE11" s="60" t="s">
        <v>42</v>
      </c>
      <c r="AF11" s="60" t="s">
        <v>42</v>
      </c>
      <c r="AH11" s="60" t="s">
        <v>42</v>
      </c>
      <c r="AI11" s="60" t="s">
        <v>42</v>
      </c>
      <c r="AJ11" s="60" t="s">
        <v>42</v>
      </c>
      <c r="AK11" s="60" t="s">
        <v>42</v>
      </c>
      <c r="AM11" s="26" t="s">
        <v>42</v>
      </c>
      <c r="AN11" s="60" t="s">
        <v>42</v>
      </c>
      <c r="AO11" s="60" t="s">
        <v>42</v>
      </c>
      <c r="AP11" s="26"/>
      <c r="AQ11" s="26"/>
      <c r="AR11" s="26"/>
    </row>
    <row r="12" spans="1:53" outlineLevel="2" x14ac:dyDescent="0.25">
      <c r="A12" s="20" t="s">
        <v>58</v>
      </c>
      <c r="B12" s="21" t="s">
        <v>666</v>
      </c>
      <c r="D12" s="26" t="s">
        <v>42</v>
      </c>
      <c r="E12" s="26" t="s">
        <v>42</v>
      </c>
      <c r="F12" s="26" t="s">
        <v>42</v>
      </c>
      <c r="G12" s="60" t="s">
        <v>42</v>
      </c>
      <c r="H12" s="26" t="s">
        <v>42</v>
      </c>
      <c r="I12" s="26" t="s">
        <v>42</v>
      </c>
      <c r="J12" s="26" t="s">
        <v>42</v>
      </c>
      <c r="K12" s="26" t="s">
        <v>42</v>
      </c>
      <c r="L12" s="26" t="s">
        <v>42</v>
      </c>
      <c r="M12" s="60" t="s">
        <v>42</v>
      </c>
      <c r="N12" s="26" t="s">
        <v>42</v>
      </c>
      <c r="O12" s="60" t="s">
        <v>42</v>
      </c>
      <c r="P12" s="26" t="s">
        <v>42</v>
      </c>
      <c r="Q12" s="26" t="s">
        <v>42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H12" s="26" t="s">
        <v>42</v>
      </c>
      <c r="AI12" s="26" t="s">
        <v>42</v>
      </c>
      <c r="AJ12" s="26" t="s">
        <v>42</v>
      </c>
      <c r="AK12" s="26" t="s">
        <v>42</v>
      </c>
      <c r="AM12" s="26" t="s">
        <v>42</v>
      </c>
      <c r="AN12" s="26"/>
      <c r="AO12" s="26" t="s">
        <v>42</v>
      </c>
      <c r="AP12" s="26"/>
      <c r="AQ12" s="26"/>
      <c r="AR12" s="26"/>
    </row>
    <row r="13" spans="1:53" ht="30" outlineLevel="2" x14ac:dyDescent="0.25">
      <c r="A13" s="20" t="s">
        <v>60</v>
      </c>
      <c r="B13" s="21" t="s">
        <v>61</v>
      </c>
      <c r="D13" s="26" t="s">
        <v>42</v>
      </c>
      <c r="E13" s="26" t="s">
        <v>42</v>
      </c>
      <c r="F13" s="26" t="s">
        <v>42</v>
      </c>
      <c r="G13" s="60" t="s">
        <v>42</v>
      </c>
      <c r="H13" s="26" t="s">
        <v>42</v>
      </c>
      <c r="I13" s="26" t="s">
        <v>42</v>
      </c>
      <c r="J13" s="26" t="s">
        <v>42</v>
      </c>
      <c r="K13" s="26" t="s">
        <v>42</v>
      </c>
      <c r="L13" s="26" t="s">
        <v>42</v>
      </c>
      <c r="M13" s="60" t="s">
        <v>42</v>
      </c>
      <c r="N13" s="26" t="s">
        <v>42</v>
      </c>
      <c r="O13" s="60" t="s">
        <v>42</v>
      </c>
      <c r="P13" s="26" t="s">
        <v>42</v>
      </c>
      <c r="Q13" s="26" t="s">
        <v>42</v>
      </c>
      <c r="S13" s="26" t="s">
        <v>42</v>
      </c>
      <c r="T13" s="26" t="s">
        <v>42</v>
      </c>
      <c r="U13" s="26" t="s">
        <v>42</v>
      </c>
      <c r="V13" s="26" t="s">
        <v>42</v>
      </c>
      <c r="W13" s="26" t="s">
        <v>42</v>
      </c>
      <c r="X13" s="26" t="s">
        <v>42</v>
      </c>
      <c r="Y13" s="26" t="s">
        <v>42</v>
      </c>
      <c r="Z13" s="26" t="s">
        <v>42</v>
      </c>
      <c r="AA13" s="26" t="s">
        <v>42</v>
      </c>
      <c r="AB13" s="26" t="s">
        <v>42</v>
      </c>
      <c r="AC13" s="26" t="s">
        <v>42</v>
      </c>
      <c r="AD13" s="26" t="s">
        <v>42</v>
      </c>
      <c r="AE13" s="26" t="s">
        <v>42</v>
      </c>
      <c r="AF13" s="26" t="s">
        <v>42</v>
      </c>
      <c r="AH13" s="26" t="s">
        <v>42</v>
      </c>
      <c r="AI13" s="26" t="s">
        <v>42</v>
      </c>
      <c r="AJ13" s="26" t="s">
        <v>42</v>
      </c>
      <c r="AK13" s="26" t="s">
        <v>42</v>
      </c>
      <c r="AM13" s="26" t="s">
        <v>42</v>
      </c>
      <c r="AN13" s="26" t="s">
        <v>42</v>
      </c>
      <c r="AO13" s="26" t="s">
        <v>42</v>
      </c>
      <c r="AP13" s="26"/>
      <c r="AQ13" s="26"/>
      <c r="AR13" s="26"/>
    </row>
    <row r="14" spans="1:53" ht="30" outlineLevel="2" x14ac:dyDescent="0.25">
      <c r="A14" s="73" t="s">
        <v>665</v>
      </c>
      <c r="B14" s="21" t="s">
        <v>63</v>
      </c>
      <c r="D14" s="26" t="s">
        <v>42</v>
      </c>
      <c r="E14" s="26" t="s">
        <v>42</v>
      </c>
      <c r="F14" s="26" t="s">
        <v>42</v>
      </c>
      <c r="G14" s="60" t="s">
        <v>42</v>
      </c>
      <c r="H14" s="26" t="s">
        <v>42</v>
      </c>
      <c r="I14" s="26" t="s">
        <v>42</v>
      </c>
      <c r="J14" s="26" t="s">
        <v>42</v>
      </c>
      <c r="K14" s="26" t="s">
        <v>42</v>
      </c>
      <c r="L14" s="26" t="s">
        <v>42</v>
      </c>
      <c r="M14" s="60" t="s">
        <v>42</v>
      </c>
      <c r="N14" s="26" t="s">
        <v>42</v>
      </c>
      <c r="O14" s="60" t="s">
        <v>42</v>
      </c>
      <c r="P14" s="26" t="s">
        <v>42</v>
      </c>
      <c r="Q14" s="26" t="s">
        <v>42</v>
      </c>
      <c r="S14" s="26" t="s">
        <v>42</v>
      </c>
      <c r="T14" s="26" t="s">
        <v>42</v>
      </c>
      <c r="U14" s="26" t="s">
        <v>42</v>
      </c>
      <c r="V14" s="26" t="s">
        <v>42</v>
      </c>
      <c r="W14" s="26" t="s">
        <v>42</v>
      </c>
      <c r="X14" s="26" t="s">
        <v>42</v>
      </c>
      <c r="Y14" s="26" t="s">
        <v>42</v>
      </c>
      <c r="Z14" s="26" t="s">
        <v>42</v>
      </c>
      <c r="AA14" s="26" t="s">
        <v>42</v>
      </c>
      <c r="AB14" s="26" t="s">
        <v>42</v>
      </c>
      <c r="AC14" s="26" t="s">
        <v>42</v>
      </c>
      <c r="AD14" s="26" t="s">
        <v>42</v>
      </c>
      <c r="AE14" s="26" t="s">
        <v>42</v>
      </c>
      <c r="AF14" s="26" t="s">
        <v>42</v>
      </c>
      <c r="AH14" s="26" t="s">
        <v>42</v>
      </c>
      <c r="AI14" s="26" t="s">
        <v>42</v>
      </c>
      <c r="AJ14" s="26" t="s">
        <v>42</v>
      </c>
      <c r="AK14" s="26" t="s">
        <v>42</v>
      </c>
      <c r="AM14" s="26"/>
      <c r="AN14" s="26"/>
      <c r="AO14" s="26"/>
      <c r="AP14" s="26"/>
      <c r="AQ14" s="26"/>
      <c r="AR14" s="26"/>
    </row>
    <row r="15" spans="1:53" ht="30" outlineLevel="1" x14ac:dyDescent="0.25">
      <c r="A15" s="73" t="s">
        <v>664</v>
      </c>
      <c r="B15" s="21" t="s">
        <v>65</v>
      </c>
      <c r="D15" s="26" t="s">
        <v>42</v>
      </c>
      <c r="E15" s="26" t="s">
        <v>42</v>
      </c>
      <c r="F15" s="26" t="s">
        <v>42</v>
      </c>
      <c r="G15" s="60" t="s">
        <v>42</v>
      </c>
      <c r="H15" s="26" t="s">
        <v>42</v>
      </c>
      <c r="I15" s="26" t="s">
        <v>42</v>
      </c>
      <c r="S15" s="26" t="s">
        <v>42</v>
      </c>
      <c r="T15" s="26" t="s">
        <v>42</v>
      </c>
      <c r="U15" s="26" t="s">
        <v>42</v>
      </c>
      <c r="V15" s="26" t="s">
        <v>42</v>
      </c>
      <c r="W15" s="26" t="s">
        <v>42</v>
      </c>
      <c r="X15" s="26" t="s">
        <v>42</v>
      </c>
      <c r="Y15" s="26"/>
      <c r="Z15" s="26"/>
      <c r="AA15" s="26"/>
      <c r="AB15" s="26"/>
      <c r="AC15" s="26"/>
      <c r="AD15" s="26"/>
      <c r="AE15" s="26"/>
      <c r="AH15" s="26"/>
      <c r="AI15" s="26"/>
      <c r="AJ15" s="26"/>
      <c r="AM15" s="26"/>
      <c r="AN15" s="26"/>
      <c r="AO15" s="26"/>
      <c r="AP15" s="26"/>
      <c r="AQ15" s="26"/>
      <c r="AR15" s="26"/>
    </row>
    <row r="16" spans="1:53" outlineLevel="1" x14ac:dyDescent="0.25">
      <c r="A16" s="20" t="s">
        <v>68</v>
      </c>
      <c r="B16" s="21" t="s">
        <v>663</v>
      </c>
      <c r="D16" s="26" t="s">
        <v>42</v>
      </c>
      <c r="E16" s="26" t="s">
        <v>42</v>
      </c>
      <c r="F16" s="26" t="s">
        <v>42</v>
      </c>
      <c r="G16" s="60" t="s">
        <v>42</v>
      </c>
      <c r="H16" s="26" t="s">
        <v>42</v>
      </c>
      <c r="I16" s="26" t="s">
        <v>42</v>
      </c>
      <c r="J16" s="26" t="s">
        <v>42</v>
      </c>
      <c r="K16" s="26" t="s">
        <v>42</v>
      </c>
      <c r="L16" s="26" t="s">
        <v>42</v>
      </c>
      <c r="M16" s="60" t="s">
        <v>42</v>
      </c>
      <c r="N16" s="26" t="s">
        <v>42</v>
      </c>
      <c r="O16" s="26" t="s">
        <v>42</v>
      </c>
      <c r="P16" s="26" t="s">
        <v>42</v>
      </c>
      <c r="Q16" s="60" t="s">
        <v>42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H16" s="26"/>
      <c r="AI16" s="26"/>
      <c r="AJ16" s="26"/>
      <c r="AM16" s="26" t="s">
        <v>42</v>
      </c>
      <c r="AN16" s="26"/>
      <c r="AO16" s="26"/>
      <c r="AP16" s="26"/>
      <c r="AQ16" s="26"/>
      <c r="AR16" s="26"/>
    </row>
    <row r="17" spans="1:44" outlineLevel="1" x14ac:dyDescent="0.25">
      <c r="A17" s="73" t="s">
        <v>70</v>
      </c>
      <c r="B17" s="21" t="s">
        <v>71</v>
      </c>
      <c r="E17" s="26" t="s">
        <v>42</v>
      </c>
      <c r="F17" s="26" t="s">
        <v>42</v>
      </c>
      <c r="G17" s="60" t="s">
        <v>42</v>
      </c>
      <c r="H17" s="26" t="s">
        <v>42</v>
      </c>
      <c r="I17" s="26" t="s">
        <v>42</v>
      </c>
      <c r="S17" s="26"/>
      <c r="T17" s="26" t="s">
        <v>42</v>
      </c>
      <c r="U17" s="26" t="s">
        <v>42</v>
      </c>
      <c r="V17" s="26" t="s">
        <v>42</v>
      </c>
      <c r="W17" s="26" t="s">
        <v>42</v>
      </c>
      <c r="X17" s="26" t="s">
        <v>42</v>
      </c>
      <c r="Y17" s="26"/>
      <c r="Z17" s="26"/>
      <c r="AA17" s="26"/>
      <c r="AB17" s="26"/>
      <c r="AC17" s="26"/>
      <c r="AD17" s="26"/>
      <c r="AE17" s="26"/>
      <c r="AH17" s="26"/>
      <c r="AI17" s="26"/>
      <c r="AJ17" s="26"/>
      <c r="AM17" s="26"/>
      <c r="AN17" s="26"/>
      <c r="AO17" s="26"/>
      <c r="AP17" s="26"/>
      <c r="AQ17" s="26"/>
      <c r="AR17" s="26"/>
    </row>
    <row r="18" spans="1:44" outlineLevel="1" x14ac:dyDescent="0.25">
      <c r="A18" s="20" t="s">
        <v>72</v>
      </c>
      <c r="B18" s="21" t="s">
        <v>73</v>
      </c>
      <c r="J18" s="26" t="s">
        <v>42</v>
      </c>
      <c r="K18" s="26" t="s">
        <v>42</v>
      </c>
      <c r="L18" s="26" t="s">
        <v>42</v>
      </c>
      <c r="M18" s="60" t="s">
        <v>42</v>
      </c>
      <c r="S18" s="26"/>
      <c r="T18" s="26"/>
      <c r="U18" s="26"/>
      <c r="V18" s="26"/>
      <c r="W18" s="26"/>
      <c r="X18" s="26"/>
      <c r="Y18" s="26" t="s">
        <v>42</v>
      </c>
      <c r="Z18" s="26" t="s">
        <v>42</v>
      </c>
      <c r="AA18" s="26" t="s">
        <v>42</v>
      </c>
      <c r="AB18" s="26" t="s">
        <v>42</v>
      </c>
      <c r="AC18" s="26"/>
      <c r="AD18" s="26"/>
      <c r="AE18" s="26"/>
      <c r="AH18" s="26"/>
      <c r="AI18" s="26"/>
      <c r="AJ18" s="26"/>
      <c r="AM18" s="26"/>
      <c r="AN18" s="26"/>
      <c r="AO18" s="26"/>
      <c r="AP18" s="26"/>
      <c r="AQ18" s="26"/>
      <c r="AR18" s="26"/>
    </row>
    <row r="19" spans="1:44" outlineLevel="1" x14ac:dyDescent="0.25">
      <c r="A19" t="s">
        <v>802</v>
      </c>
      <c r="B19" t="s">
        <v>803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 t="s">
        <v>42</v>
      </c>
      <c r="O19" s="17" t="s">
        <v>42</v>
      </c>
      <c r="P19" s="17" t="s">
        <v>42</v>
      </c>
      <c r="Q19" s="17" t="s">
        <v>42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 t="s">
        <v>42</v>
      </c>
      <c r="AD19" s="17" t="s">
        <v>42</v>
      </c>
      <c r="AE19" s="17" t="s">
        <v>42</v>
      </c>
      <c r="AF19" s="17" t="s">
        <v>42</v>
      </c>
      <c r="AH19" s="17"/>
      <c r="AI19" s="17"/>
      <c r="AJ19" s="17"/>
      <c r="AK19" s="17"/>
      <c r="AM19" s="17"/>
      <c r="AN19" s="17"/>
      <c r="AO19" s="17"/>
    </row>
    <row r="20" spans="1:44" outlineLevel="1" x14ac:dyDescent="0.25">
      <c r="A20" s="20" t="s">
        <v>74</v>
      </c>
      <c r="B20" s="21" t="s">
        <v>75</v>
      </c>
      <c r="E20" s="26" t="s">
        <v>42</v>
      </c>
      <c r="F20" s="26" t="s">
        <v>42</v>
      </c>
      <c r="G20" s="60" t="s">
        <v>42</v>
      </c>
      <c r="H20" s="26" t="s">
        <v>42</v>
      </c>
      <c r="I20" s="26" t="s">
        <v>42</v>
      </c>
      <c r="J20" s="22" t="s">
        <v>42</v>
      </c>
      <c r="K20" s="22" t="s">
        <v>42</v>
      </c>
      <c r="L20" s="22" t="s">
        <v>42</v>
      </c>
      <c r="M20" s="22" t="s">
        <v>42</v>
      </c>
      <c r="N20" s="26" t="s">
        <v>42</v>
      </c>
      <c r="O20" s="26" t="s">
        <v>42</v>
      </c>
      <c r="P20" s="60" t="s">
        <v>42</v>
      </c>
      <c r="Q20" s="26" t="s">
        <v>42</v>
      </c>
      <c r="S20" s="26"/>
      <c r="T20" s="26" t="s">
        <v>42</v>
      </c>
      <c r="U20" s="26" t="s">
        <v>42</v>
      </c>
      <c r="V20" s="26" t="s">
        <v>42</v>
      </c>
      <c r="W20" s="26" t="s">
        <v>42</v>
      </c>
      <c r="X20" s="26" t="s">
        <v>42</v>
      </c>
      <c r="Y20" s="22" t="s">
        <v>42</v>
      </c>
      <c r="Z20" s="22" t="s">
        <v>42</v>
      </c>
      <c r="AA20" s="22" t="s">
        <v>42</v>
      </c>
      <c r="AB20" s="22" t="s">
        <v>42</v>
      </c>
      <c r="AC20" s="26" t="s">
        <v>42</v>
      </c>
      <c r="AD20" s="26" t="s">
        <v>42</v>
      </c>
      <c r="AE20" s="26" t="s">
        <v>42</v>
      </c>
      <c r="AF20" s="26" t="s">
        <v>42</v>
      </c>
      <c r="AH20" s="26"/>
      <c r="AI20" s="26"/>
      <c r="AJ20" s="26"/>
      <c r="AM20" s="26"/>
      <c r="AN20" s="26"/>
      <c r="AO20" s="26"/>
      <c r="AP20" s="26"/>
      <c r="AQ20" s="26"/>
      <c r="AR20" s="26"/>
    </row>
    <row r="21" spans="1:44" outlineLevel="1" x14ac:dyDescent="0.25">
      <c r="A21" s="31" t="s">
        <v>85</v>
      </c>
      <c r="B21" t="s">
        <v>851</v>
      </c>
      <c r="E21" s="26" t="s">
        <v>42</v>
      </c>
      <c r="F21" s="26" t="s">
        <v>42</v>
      </c>
      <c r="G21" s="60" t="s">
        <v>42</v>
      </c>
      <c r="H21" s="26" t="s">
        <v>42</v>
      </c>
      <c r="I21" s="26" t="s">
        <v>42</v>
      </c>
      <c r="J21" s="26" t="s">
        <v>42</v>
      </c>
      <c r="K21" s="26" t="s">
        <v>42</v>
      </c>
      <c r="L21" s="26" t="s">
        <v>42</v>
      </c>
      <c r="M21" s="60" t="s">
        <v>42</v>
      </c>
      <c r="N21" s="26" t="s">
        <v>42</v>
      </c>
      <c r="O21" s="26" t="s">
        <v>42</v>
      </c>
      <c r="P21" s="26" t="s">
        <v>42</v>
      </c>
      <c r="Q21" s="26" t="s">
        <v>42</v>
      </c>
      <c r="S21" s="26"/>
      <c r="T21" s="26" t="s">
        <v>42</v>
      </c>
      <c r="U21" s="26" t="s">
        <v>42</v>
      </c>
      <c r="V21" s="26" t="s">
        <v>42</v>
      </c>
      <c r="W21" s="26" t="s">
        <v>42</v>
      </c>
      <c r="X21" s="26" t="s">
        <v>42</v>
      </c>
      <c r="Y21" s="26" t="s">
        <v>42</v>
      </c>
      <c r="Z21" s="26" t="s">
        <v>42</v>
      </c>
      <c r="AA21" s="26" t="s">
        <v>42</v>
      </c>
      <c r="AB21" s="26" t="s">
        <v>42</v>
      </c>
      <c r="AC21" s="26" t="s">
        <v>42</v>
      </c>
      <c r="AD21" s="26" t="s">
        <v>42</v>
      </c>
      <c r="AE21" s="26" t="s">
        <v>42</v>
      </c>
      <c r="AF21" s="26" t="s">
        <v>42</v>
      </c>
      <c r="AH21" s="26"/>
      <c r="AI21" s="26"/>
      <c r="AJ21" s="26"/>
      <c r="AM21" s="26"/>
      <c r="AN21" s="26"/>
      <c r="AO21" s="26"/>
      <c r="AP21" s="26"/>
      <c r="AQ21" s="26"/>
      <c r="AR21" s="26"/>
    </row>
    <row r="22" spans="1:44" outlineLevel="1" x14ac:dyDescent="0.25">
      <c r="A22" s="20" t="s">
        <v>79</v>
      </c>
      <c r="B22" s="27" t="s">
        <v>662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H22" s="26"/>
      <c r="AI22" s="26"/>
      <c r="AJ22" s="26"/>
      <c r="AM22" s="26" t="s">
        <v>42</v>
      </c>
      <c r="AN22" s="26" t="s">
        <v>42</v>
      </c>
      <c r="AO22" s="26"/>
      <c r="AP22" s="26"/>
      <c r="AQ22" s="26"/>
      <c r="AR22" s="26"/>
    </row>
    <row r="23" spans="1:44" outlineLevel="1" x14ac:dyDescent="0.25">
      <c r="A23" s="20" t="s">
        <v>81</v>
      </c>
      <c r="B23" s="21" t="s">
        <v>661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H23" s="26" t="s">
        <v>42</v>
      </c>
      <c r="AI23" s="26" t="s">
        <v>42</v>
      </c>
      <c r="AJ23" s="26" t="s">
        <v>42</v>
      </c>
      <c r="AK23" s="26" t="s">
        <v>42</v>
      </c>
      <c r="AM23" s="26"/>
      <c r="AN23" s="26"/>
      <c r="AO23" s="26" t="s">
        <v>42</v>
      </c>
      <c r="AP23" s="26"/>
      <c r="AQ23" s="26"/>
      <c r="AR23" s="26"/>
    </row>
    <row r="24" spans="1:44" outlineLevel="2" x14ac:dyDescent="0.25">
      <c r="A24" s="20" t="s">
        <v>83</v>
      </c>
      <c r="B24" s="21" t="s">
        <v>660</v>
      </c>
      <c r="C24" t="s">
        <v>657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H24" s="26" t="s">
        <v>42</v>
      </c>
      <c r="AI24" s="26" t="s">
        <v>42</v>
      </c>
      <c r="AJ24" s="26" t="s">
        <v>42</v>
      </c>
      <c r="AK24" s="26" t="s">
        <v>42</v>
      </c>
      <c r="AM24" s="26"/>
      <c r="AN24" s="26"/>
      <c r="AO24" s="26" t="s">
        <v>42</v>
      </c>
      <c r="AP24" s="26"/>
      <c r="AQ24" s="26"/>
      <c r="AR24" s="26"/>
    </row>
    <row r="25" spans="1:44" outlineLevel="2" x14ac:dyDescent="0.25">
      <c r="A25" s="20" t="s">
        <v>659</v>
      </c>
      <c r="B25" s="21" t="s">
        <v>658</v>
      </c>
      <c r="C25" t="s">
        <v>657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H25" s="26" t="s">
        <v>42</v>
      </c>
      <c r="AI25" s="26" t="s">
        <v>42</v>
      </c>
      <c r="AJ25" s="26" t="s">
        <v>42</v>
      </c>
      <c r="AK25" s="26" t="s">
        <v>42</v>
      </c>
      <c r="AM25" s="26"/>
      <c r="AN25" s="26"/>
      <c r="AO25" s="26" t="s">
        <v>42</v>
      </c>
      <c r="AP25" s="26"/>
      <c r="AQ25" s="26"/>
      <c r="AR25" s="26"/>
    </row>
    <row r="26" spans="1:44" outlineLevel="2" x14ac:dyDescent="0.25">
      <c r="A26" s="20" t="s">
        <v>656</v>
      </c>
      <c r="B26" s="21" t="s">
        <v>655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H26" s="26" t="s">
        <v>42</v>
      </c>
      <c r="AI26" s="26" t="s">
        <v>42</v>
      </c>
      <c r="AJ26" s="26" t="s">
        <v>42</v>
      </c>
      <c r="AK26" s="26" t="s">
        <v>42</v>
      </c>
      <c r="AM26" s="26"/>
      <c r="AN26" s="26"/>
      <c r="AO26" s="26" t="s">
        <v>42</v>
      </c>
      <c r="AP26" s="26"/>
      <c r="AQ26" s="26"/>
      <c r="AR26" s="26"/>
    </row>
    <row r="27" spans="1:44" outlineLevel="2" x14ac:dyDescent="0.25">
      <c r="A27" s="20" t="s">
        <v>654</v>
      </c>
      <c r="B27" s="21" t="s">
        <v>653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H27" s="26" t="s">
        <v>42</v>
      </c>
      <c r="AI27" s="26" t="s">
        <v>42</v>
      </c>
      <c r="AJ27" s="26" t="s">
        <v>42</v>
      </c>
      <c r="AK27" s="26" t="s">
        <v>42</v>
      </c>
      <c r="AM27" s="26"/>
      <c r="AN27" s="26"/>
      <c r="AO27" s="26" t="s">
        <v>42</v>
      </c>
      <c r="AP27" s="26"/>
      <c r="AQ27" s="26"/>
      <c r="AR27" s="26"/>
    </row>
    <row r="28" spans="1:44" outlineLevel="2" x14ac:dyDescent="0.25">
      <c r="A28" s="20" t="s">
        <v>652</v>
      </c>
      <c r="B28" s="21" t="s">
        <v>651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H28" s="26" t="s">
        <v>42</v>
      </c>
      <c r="AI28" s="26" t="s">
        <v>42</v>
      </c>
      <c r="AJ28" s="26" t="s">
        <v>42</v>
      </c>
      <c r="AK28" s="26" t="s">
        <v>42</v>
      </c>
      <c r="AM28" s="26"/>
      <c r="AN28" s="26"/>
      <c r="AO28" s="26"/>
      <c r="AP28" s="26"/>
      <c r="AQ28" s="26"/>
      <c r="AR28" s="26"/>
    </row>
    <row r="29" spans="1:44" outlineLevel="2" x14ac:dyDescent="0.25">
      <c r="A29" s="20" t="s">
        <v>650</v>
      </c>
      <c r="B29" s="21" t="s">
        <v>649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H29" s="26" t="s">
        <v>42</v>
      </c>
      <c r="AI29" s="26" t="s">
        <v>42</v>
      </c>
      <c r="AJ29" s="26" t="s">
        <v>42</v>
      </c>
      <c r="AK29" s="26" t="s">
        <v>42</v>
      </c>
      <c r="AM29" s="26"/>
      <c r="AN29" s="26"/>
      <c r="AO29" s="26"/>
      <c r="AP29" s="26"/>
      <c r="AQ29" s="26"/>
      <c r="AR29" s="26"/>
    </row>
    <row r="30" spans="1:44" outlineLevel="2" x14ac:dyDescent="0.25">
      <c r="A30" s="20" t="s">
        <v>648</v>
      </c>
      <c r="B30" s="21" t="s">
        <v>647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H30" s="26" t="s">
        <v>42</v>
      </c>
      <c r="AI30" s="26" t="s">
        <v>42</v>
      </c>
      <c r="AJ30" s="26" t="s">
        <v>42</v>
      </c>
      <c r="AK30" s="26" t="s">
        <v>42</v>
      </c>
      <c r="AM30" s="26"/>
      <c r="AN30" s="26"/>
      <c r="AO30" s="26"/>
      <c r="AP30" s="26"/>
      <c r="AQ30" s="26"/>
      <c r="AR30" s="26"/>
    </row>
    <row r="31" spans="1:44" outlineLevel="2" x14ac:dyDescent="0.25">
      <c r="A31" s="20" t="s">
        <v>646</v>
      </c>
      <c r="B31" s="21" t="s">
        <v>645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H31" s="26" t="s">
        <v>42</v>
      </c>
      <c r="AI31" s="26" t="s">
        <v>42</v>
      </c>
      <c r="AJ31" s="26" t="s">
        <v>42</v>
      </c>
      <c r="AK31" s="26" t="s">
        <v>42</v>
      </c>
      <c r="AM31" s="26"/>
      <c r="AN31" s="26"/>
      <c r="AO31" s="26"/>
      <c r="AP31" s="26"/>
      <c r="AQ31" s="26"/>
      <c r="AR31" s="26"/>
    </row>
    <row r="32" spans="1:44" outlineLevel="1" x14ac:dyDescent="0.25">
      <c r="A32" s="28" t="s">
        <v>644</v>
      </c>
      <c r="B32" t="s">
        <v>808</v>
      </c>
      <c r="D32" s="26" t="s">
        <v>78</v>
      </c>
      <c r="E32" s="26" t="s">
        <v>78</v>
      </c>
      <c r="F32" s="26" t="s">
        <v>78</v>
      </c>
      <c r="G32" s="60" t="s">
        <v>78</v>
      </c>
      <c r="H32" s="26" t="s">
        <v>78</v>
      </c>
      <c r="I32" s="26" t="s">
        <v>78</v>
      </c>
      <c r="N32" s="26" t="s">
        <v>42</v>
      </c>
      <c r="O32" s="26" t="s">
        <v>42</v>
      </c>
      <c r="P32" s="60" t="s">
        <v>42</v>
      </c>
      <c r="Q32" s="26" t="s">
        <v>42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 t="s">
        <v>42</v>
      </c>
      <c r="AD32" s="26" t="s">
        <v>42</v>
      </c>
      <c r="AE32" s="60" t="s">
        <v>42</v>
      </c>
      <c r="AF32" s="26" t="s">
        <v>42</v>
      </c>
      <c r="AH32" s="26" t="s">
        <v>42</v>
      </c>
      <c r="AI32" s="26" t="s">
        <v>42</v>
      </c>
      <c r="AJ32" s="26"/>
      <c r="AK32" s="26" t="s">
        <v>42</v>
      </c>
      <c r="AM32" s="26"/>
      <c r="AN32" s="26"/>
      <c r="AO32" s="26"/>
      <c r="AP32" s="26"/>
      <c r="AQ32" s="26"/>
      <c r="AR32" s="26"/>
    </row>
    <row r="33" spans="1:44" outlineLevel="1" x14ac:dyDescent="0.25">
      <c r="A33" s="28" t="s">
        <v>643</v>
      </c>
      <c r="B33" s="37" t="s">
        <v>642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H33" s="26"/>
      <c r="AI33" s="26"/>
      <c r="AJ33" s="26"/>
      <c r="AK33" s="26"/>
      <c r="AM33" s="26" t="s">
        <v>42</v>
      </c>
      <c r="AN33" s="26" t="s">
        <v>42</v>
      </c>
      <c r="AO33" s="26"/>
      <c r="AP33" s="26"/>
      <c r="AQ33" s="26"/>
      <c r="AR33" s="26"/>
    </row>
    <row r="34" spans="1:44" outlineLevel="1" x14ac:dyDescent="0.25">
      <c r="A34" s="28" t="s">
        <v>813</v>
      </c>
      <c r="B34" s="37" t="s">
        <v>86</v>
      </c>
      <c r="D34" s="26" t="s">
        <v>78</v>
      </c>
      <c r="E34" s="26" t="s">
        <v>78</v>
      </c>
      <c r="F34" s="26" t="s">
        <v>78</v>
      </c>
      <c r="G34" s="60" t="s">
        <v>78</v>
      </c>
      <c r="H34" s="26" t="s">
        <v>78</v>
      </c>
      <c r="I34" s="26" t="s">
        <v>78</v>
      </c>
      <c r="J34" s="26" t="s">
        <v>78</v>
      </c>
      <c r="K34" s="26" t="s">
        <v>78</v>
      </c>
      <c r="L34" s="26" t="s">
        <v>78</v>
      </c>
      <c r="M34" s="60" t="s">
        <v>78</v>
      </c>
      <c r="N34" s="26" t="s">
        <v>78</v>
      </c>
      <c r="O34" s="26" t="s">
        <v>78</v>
      </c>
      <c r="P34" s="60" t="s">
        <v>78</v>
      </c>
      <c r="Q34" s="26" t="s">
        <v>78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H34" s="26" t="s">
        <v>78</v>
      </c>
      <c r="AI34" s="26" t="s">
        <v>78</v>
      </c>
      <c r="AJ34" s="26" t="s">
        <v>78</v>
      </c>
      <c r="AK34" s="26" t="s">
        <v>78</v>
      </c>
      <c r="AM34" s="26"/>
      <c r="AN34" s="26"/>
      <c r="AO34" s="26"/>
      <c r="AP34" s="26"/>
      <c r="AQ34" s="26"/>
      <c r="AR34" s="26"/>
    </row>
    <row r="35" spans="1:44" outlineLevel="1" x14ac:dyDescent="0.25">
      <c r="A35" t="s">
        <v>814</v>
      </c>
      <c r="B35" t="s">
        <v>815</v>
      </c>
      <c r="D35" s="17" t="s">
        <v>42</v>
      </c>
      <c r="E35" s="17" t="s">
        <v>42</v>
      </c>
      <c r="F35" s="17" t="s">
        <v>42</v>
      </c>
      <c r="G35" s="17" t="s">
        <v>42</v>
      </c>
      <c r="H35" s="17" t="s">
        <v>42</v>
      </c>
      <c r="I35" s="17" t="s">
        <v>42</v>
      </c>
      <c r="J35" s="17" t="s">
        <v>42</v>
      </c>
      <c r="K35" s="17" t="s">
        <v>42</v>
      </c>
      <c r="L35" s="17" t="s">
        <v>42</v>
      </c>
      <c r="M35" s="17" t="s">
        <v>42</v>
      </c>
      <c r="N35" s="17" t="s">
        <v>42</v>
      </c>
      <c r="O35" s="17" t="s">
        <v>42</v>
      </c>
      <c r="P35" s="17" t="s">
        <v>42</v>
      </c>
      <c r="Q35" s="17" t="s">
        <v>42</v>
      </c>
      <c r="S35" s="17" t="s">
        <v>42</v>
      </c>
      <c r="T35" s="17" t="s">
        <v>42</v>
      </c>
      <c r="U35" s="17" t="s">
        <v>42</v>
      </c>
      <c r="V35" s="17" t="s">
        <v>42</v>
      </c>
      <c r="W35" s="17" t="s">
        <v>42</v>
      </c>
      <c r="X35" s="17" t="s">
        <v>42</v>
      </c>
      <c r="Y35" s="17" t="s">
        <v>42</v>
      </c>
      <c r="Z35" s="17" t="s">
        <v>42</v>
      </c>
      <c r="AA35" s="17" t="s">
        <v>42</v>
      </c>
      <c r="AB35" s="17" t="s">
        <v>42</v>
      </c>
      <c r="AC35" s="17" t="s">
        <v>42</v>
      </c>
      <c r="AD35" s="17" t="s">
        <v>42</v>
      </c>
      <c r="AE35" s="17" t="s">
        <v>42</v>
      </c>
      <c r="AF35" s="17" t="s">
        <v>42</v>
      </c>
      <c r="AH35" s="17" t="s">
        <v>42</v>
      </c>
      <c r="AI35" s="17" t="s">
        <v>42</v>
      </c>
      <c r="AJ35" s="17" t="s">
        <v>42</v>
      </c>
      <c r="AK35" s="17" t="s">
        <v>42</v>
      </c>
      <c r="AM35" s="17" t="s">
        <v>42</v>
      </c>
      <c r="AN35" s="17" t="s">
        <v>42</v>
      </c>
      <c r="AO35" s="17" t="s">
        <v>42</v>
      </c>
    </row>
    <row r="36" spans="1:44" x14ac:dyDescent="0.25">
      <c r="A36" s="18" t="s">
        <v>87</v>
      </c>
      <c r="B36" s="19" t="s">
        <v>641</v>
      </c>
      <c r="D36" s="26" t="s">
        <v>42</v>
      </c>
      <c r="E36" s="26" t="s">
        <v>42</v>
      </c>
      <c r="F36" s="26" t="s">
        <v>42</v>
      </c>
      <c r="G36" s="60" t="s">
        <v>42</v>
      </c>
      <c r="H36" s="26" t="s">
        <v>42</v>
      </c>
      <c r="I36" s="26" t="s">
        <v>42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H36" s="26"/>
      <c r="AI36" s="26"/>
      <c r="AJ36" s="26"/>
      <c r="AM36" s="26"/>
      <c r="AN36" s="26"/>
      <c r="AO36" s="26"/>
      <c r="AP36" s="26"/>
      <c r="AQ36" s="26"/>
      <c r="AR36" s="26"/>
    </row>
    <row r="37" spans="1:44" outlineLevel="1" x14ac:dyDescent="0.25">
      <c r="A37" s="20" t="s">
        <v>89</v>
      </c>
      <c r="B37" s="21" t="s">
        <v>640</v>
      </c>
      <c r="D37" s="26" t="s">
        <v>42</v>
      </c>
      <c r="E37" s="26" t="s">
        <v>42</v>
      </c>
      <c r="F37" s="26" t="s">
        <v>42</v>
      </c>
      <c r="G37" s="60" t="s">
        <v>42</v>
      </c>
      <c r="H37" s="26" t="s">
        <v>42</v>
      </c>
      <c r="I37" s="26" t="s">
        <v>42</v>
      </c>
      <c r="S37" s="26" t="s">
        <v>42</v>
      </c>
      <c r="T37" s="26" t="s">
        <v>42</v>
      </c>
      <c r="U37" s="26" t="s">
        <v>42</v>
      </c>
      <c r="V37" s="26" t="s">
        <v>42</v>
      </c>
      <c r="W37" s="26" t="s">
        <v>42</v>
      </c>
      <c r="X37" s="26" t="s">
        <v>42</v>
      </c>
      <c r="Y37" s="26"/>
      <c r="Z37" s="26"/>
      <c r="AA37" s="26"/>
      <c r="AB37" s="26"/>
      <c r="AC37" s="26"/>
      <c r="AD37" s="26"/>
      <c r="AE37" s="26"/>
      <c r="AH37" s="26"/>
      <c r="AI37" s="26"/>
      <c r="AJ37" s="26"/>
      <c r="AM37" s="26"/>
      <c r="AN37" s="26"/>
      <c r="AO37" s="26"/>
      <c r="AP37" s="26"/>
      <c r="AQ37" s="26"/>
      <c r="AR37" s="26"/>
    </row>
    <row r="38" spans="1:44" outlineLevel="1" x14ac:dyDescent="0.25">
      <c r="A38" s="20" t="s">
        <v>91</v>
      </c>
      <c r="B38" s="21" t="s">
        <v>639</v>
      </c>
      <c r="D38" s="26" t="s">
        <v>42</v>
      </c>
      <c r="E38" s="26" t="s">
        <v>42</v>
      </c>
      <c r="F38" s="26" t="s">
        <v>42</v>
      </c>
      <c r="G38" s="60" t="s">
        <v>42</v>
      </c>
      <c r="H38" s="26" t="s">
        <v>42</v>
      </c>
      <c r="I38" s="26" t="s">
        <v>42</v>
      </c>
      <c r="S38" s="26" t="s">
        <v>42</v>
      </c>
      <c r="T38" s="26" t="s">
        <v>42</v>
      </c>
      <c r="U38" s="26" t="s">
        <v>42</v>
      </c>
      <c r="V38" s="26" t="s">
        <v>42</v>
      </c>
      <c r="W38" s="26" t="s">
        <v>42</v>
      </c>
      <c r="X38" s="26" t="s">
        <v>42</v>
      </c>
      <c r="Y38" s="26"/>
      <c r="Z38" s="26"/>
      <c r="AA38" s="26"/>
      <c r="AB38" s="26"/>
      <c r="AC38" s="26"/>
      <c r="AD38" s="26"/>
      <c r="AE38" s="26"/>
      <c r="AH38" s="26"/>
      <c r="AI38" s="26"/>
      <c r="AJ38" s="26"/>
      <c r="AM38" s="26"/>
      <c r="AN38" s="26"/>
      <c r="AO38" s="26"/>
      <c r="AP38" s="26"/>
      <c r="AQ38" s="26"/>
      <c r="AR38" s="26"/>
    </row>
    <row r="39" spans="1:44" outlineLevel="1" x14ac:dyDescent="0.25">
      <c r="A39" s="20" t="s">
        <v>93</v>
      </c>
      <c r="B39" s="21" t="s">
        <v>638</v>
      </c>
      <c r="D39" s="26" t="s">
        <v>42</v>
      </c>
      <c r="E39" s="26" t="s">
        <v>42</v>
      </c>
      <c r="F39" s="26" t="s">
        <v>42</v>
      </c>
      <c r="G39" s="60" t="s">
        <v>42</v>
      </c>
      <c r="H39" s="26" t="s">
        <v>42</v>
      </c>
      <c r="I39" s="26" t="s">
        <v>42</v>
      </c>
      <c r="S39" s="26" t="s">
        <v>42</v>
      </c>
      <c r="T39" s="26" t="s">
        <v>42</v>
      </c>
      <c r="U39" s="26" t="s">
        <v>42</v>
      </c>
      <c r="V39" s="26" t="s">
        <v>42</v>
      </c>
      <c r="W39" s="26" t="s">
        <v>42</v>
      </c>
      <c r="X39" s="26" t="s">
        <v>42</v>
      </c>
      <c r="Y39" s="26"/>
      <c r="Z39" s="26"/>
      <c r="AA39" s="26"/>
      <c r="AB39" s="26"/>
      <c r="AC39" s="26"/>
      <c r="AD39" s="26"/>
      <c r="AE39" s="26"/>
      <c r="AH39" s="26"/>
      <c r="AI39" s="26"/>
      <c r="AJ39" s="26"/>
      <c r="AM39" s="26"/>
      <c r="AN39" s="26"/>
      <c r="AO39" s="26"/>
      <c r="AP39" s="26"/>
      <c r="AQ39" s="26"/>
      <c r="AR39" s="26"/>
    </row>
    <row r="40" spans="1:44" outlineLevel="1" x14ac:dyDescent="0.25">
      <c r="A40" s="20" t="s">
        <v>96</v>
      </c>
      <c r="B40" s="21" t="s">
        <v>637</v>
      </c>
      <c r="D40" s="26" t="s">
        <v>42</v>
      </c>
      <c r="E40" s="26" t="s">
        <v>42</v>
      </c>
      <c r="F40" s="26" t="s">
        <v>42</v>
      </c>
      <c r="G40" s="60" t="s">
        <v>42</v>
      </c>
      <c r="H40" s="26" t="s">
        <v>42</v>
      </c>
      <c r="I40" s="26" t="s">
        <v>42</v>
      </c>
      <c r="S40" s="26" t="s">
        <v>42</v>
      </c>
      <c r="T40" s="26" t="s">
        <v>42</v>
      </c>
      <c r="U40" s="26" t="s">
        <v>42</v>
      </c>
      <c r="V40" s="26" t="s">
        <v>42</v>
      </c>
      <c r="W40" s="26" t="s">
        <v>42</v>
      </c>
      <c r="X40" s="26" t="s">
        <v>42</v>
      </c>
      <c r="Y40" s="26"/>
      <c r="Z40" s="26"/>
      <c r="AA40" s="26"/>
      <c r="AB40" s="26"/>
      <c r="AC40" s="26"/>
      <c r="AD40" s="26"/>
      <c r="AE40" s="26"/>
      <c r="AH40" s="26"/>
      <c r="AI40" s="26"/>
      <c r="AJ40" s="26"/>
      <c r="AM40" s="26"/>
      <c r="AN40" s="26"/>
      <c r="AO40" s="26"/>
      <c r="AP40" s="26"/>
      <c r="AQ40" s="26"/>
      <c r="AR40" s="26"/>
    </row>
    <row r="41" spans="1:44" outlineLevel="1" x14ac:dyDescent="0.25">
      <c r="A41" s="20" t="s">
        <v>98</v>
      </c>
      <c r="B41" s="21" t="s">
        <v>636</v>
      </c>
      <c r="D41" s="26" t="s">
        <v>42</v>
      </c>
      <c r="E41" s="26" t="s">
        <v>42</v>
      </c>
      <c r="F41" s="26" t="s">
        <v>42</v>
      </c>
      <c r="G41" s="60" t="s">
        <v>42</v>
      </c>
      <c r="H41" s="26" t="s">
        <v>42</v>
      </c>
      <c r="I41" s="26" t="s">
        <v>42</v>
      </c>
      <c r="S41" s="26" t="s">
        <v>42</v>
      </c>
      <c r="T41" s="26" t="s">
        <v>42</v>
      </c>
      <c r="U41" s="26" t="s">
        <v>42</v>
      </c>
      <c r="V41" s="26" t="s">
        <v>42</v>
      </c>
      <c r="W41" s="26" t="s">
        <v>42</v>
      </c>
      <c r="X41" s="26" t="s">
        <v>42</v>
      </c>
      <c r="Y41" s="26"/>
      <c r="Z41" s="26"/>
      <c r="AA41" s="26"/>
      <c r="AB41" s="26"/>
      <c r="AC41" s="26"/>
      <c r="AD41" s="26"/>
      <c r="AE41" s="26"/>
      <c r="AH41" s="26"/>
      <c r="AI41" s="26"/>
      <c r="AJ41" s="26"/>
      <c r="AM41" s="26"/>
      <c r="AN41" s="26"/>
      <c r="AO41" s="26"/>
      <c r="AP41" s="26"/>
      <c r="AQ41" s="26"/>
      <c r="AR41" s="26"/>
    </row>
    <row r="42" spans="1:44" outlineLevel="1" x14ac:dyDescent="0.25">
      <c r="A42" s="20" t="s">
        <v>100</v>
      </c>
      <c r="B42" s="21" t="s">
        <v>635</v>
      </c>
      <c r="D42" s="26" t="s">
        <v>42</v>
      </c>
      <c r="E42" s="26" t="s">
        <v>42</v>
      </c>
      <c r="F42" s="26" t="s">
        <v>42</v>
      </c>
      <c r="G42" s="60" t="s">
        <v>42</v>
      </c>
      <c r="H42" s="26" t="s">
        <v>42</v>
      </c>
      <c r="I42" s="26" t="s">
        <v>42</v>
      </c>
      <c r="S42" s="26" t="s">
        <v>42</v>
      </c>
      <c r="T42" s="26" t="s">
        <v>42</v>
      </c>
      <c r="U42" s="26" t="s">
        <v>42</v>
      </c>
      <c r="V42" s="26" t="s">
        <v>42</v>
      </c>
      <c r="W42" s="26" t="s">
        <v>42</v>
      </c>
      <c r="X42" s="26" t="s">
        <v>42</v>
      </c>
      <c r="Y42" s="26"/>
      <c r="Z42" s="26"/>
      <c r="AA42" s="26"/>
      <c r="AB42" s="26"/>
      <c r="AC42" s="26"/>
      <c r="AD42" s="26"/>
      <c r="AE42" s="26"/>
      <c r="AH42" s="26"/>
      <c r="AI42" s="26"/>
      <c r="AJ42" s="26"/>
      <c r="AM42" s="26"/>
      <c r="AN42" s="26"/>
      <c r="AO42" s="26"/>
      <c r="AP42" s="26"/>
      <c r="AQ42" s="26"/>
      <c r="AR42" s="26"/>
    </row>
    <row r="43" spans="1:44" outlineLevel="1" x14ac:dyDescent="0.25">
      <c r="A43" s="20" t="s">
        <v>103</v>
      </c>
      <c r="B43" s="21" t="s">
        <v>634</v>
      </c>
      <c r="C43" t="s">
        <v>95</v>
      </c>
      <c r="D43" s="26" t="s">
        <v>42</v>
      </c>
      <c r="E43" s="26" t="s">
        <v>42</v>
      </c>
      <c r="F43" s="26" t="s">
        <v>42</v>
      </c>
      <c r="G43" s="60" t="s">
        <v>42</v>
      </c>
      <c r="H43" s="26" t="s">
        <v>42</v>
      </c>
      <c r="I43" s="26" t="s">
        <v>42</v>
      </c>
      <c r="S43" s="26" t="s">
        <v>42</v>
      </c>
      <c r="T43" s="26" t="s">
        <v>42</v>
      </c>
      <c r="U43" s="26" t="s">
        <v>42</v>
      </c>
      <c r="V43" s="26" t="s">
        <v>42</v>
      </c>
      <c r="W43" s="26" t="s">
        <v>42</v>
      </c>
      <c r="X43" s="26" t="s">
        <v>42</v>
      </c>
      <c r="Y43" s="26"/>
      <c r="Z43" s="26"/>
      <c r="AA43" s="26"/>
      <c r="AB43" s="26"/>
      <c r="AC43" s="26"/>
      <c r="AD43" s="26"/>
      <c r="AE43" s="26"/>
      <c r="AH43" s="26"/>
      <c r="AI43" s="26"/>
      <c r="AJ43" s="26"/>
      <c r="AM43" s="26"/>
      <c r="AN43" s="26"/>
      <c r="AO43" s="26"/>
      <c r="AP43" s="26"/>
      <c r="AQ43" s="26"/>
      <c r="AR43" s="26"/>
    </row>
    <row r="44" spans="1:44" outlineLevel="1" x14ac:dyDescent="0.25">
      <c r="A44" s="70" t="s">
        <v>633</v>
      </c>
      <c r="B44" s="69" t="s">
        <v>631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H44" s="26"/>
      <c r="AI44" s="26"/>
      <c r="AJ44" s="26"/>
      <c r="AM44" s="26"/>
      <c r="AN44" s="26"/>
      <c r="AO44" s="26"/>
      <c r="AP44" s="26"/>
      <c r="AQ44" s="26"/>
      <c r="AR44" s="26"/>
    </row>
    <row r="45" spans="1:44" ht="30" outlineLevel="1" x14ac:dyDescent="0.25">
      <c r="A45" s="20" t="s">
        <v>105</v>
      </c>
      <c r="B45" s="21" t="s">
        <v>632</v>
      </c>
      <c r="D45" s="26" t="s">
        <v>42</v>
      </c>
      <c r="E45" s="26" t="s">
        <v>42</v>
      </c>
      <c r="F45" s="26" t="s">
        <v>42</v>
      </c>
      <c r="G45" s="60" t="s">
        <v>42</v>
      </c>
      <c r="H45" s="26" t="s">
        <v>42</v>
      </c>
      <c r="I45" s="26" t="s">
        <v>42</v>
      </c>
      <c r="S45" s="26" t="s">
        <v>42</v>
      </c>
      <c r="T45" s="26" t="s">
        <v>42</v>
      </c>
      <c r="U45" s="26" t="s">
        <v>42</v>
      </c>
      <c r="V45" s="26" t="s">
        <v>42</v>
      </c>
      <c r="W45" s="26" t="s">
        <v>42</v>
      </c>
      <c r="X45" s="26" t="s">
        <v>42</v>
      </c>
      <c r="Y45" s="26"/>
      <c r="Z45" s="26"/>
      <c r="AA45" s="26"/>
      <c r="AB45" s="26"/>
      <c r="AC45" s="26"/>
      <c r="AD45" s="26"/>
      <c r="AE45" s="26"/>
      <c r="AH45" s="26"/>
      <c r="AI45" s="26"/>
      <c r="AJ45" s="26"/>
      <c r="AM45" s="26"/>
      <c r="AN45" s="26"/>
      <c r="AO45" s="26"/>
      <c r="AP45" s="26"/>
      <c r="AQ45" s="26"/>
      <c r="AR45" s="26"/>
    </row>
    <row r="46" spans="1:44" outlineLevel="1" x14ac:dyDescent="0.25">
      <c r="A46" s="20" t="s">
        <v>107</v>
      </c>
      <c r="B46" s="21" t="s">
        <v>631</v>
      </c>
      <c r="D46" s="26" t="s">
        <v>42</v>
      </c>
      <c r="E46" s="26" t="s">
        <v>42</v>
      </c>
      <c r="F46" s="26" t="s">
        <v>42</v>
      </c>
      <c r="G46" s="60" t="s">
        <v>42</v>
      </c>
      <c r="H46" s="26" t="s">
        <v>42</v>
      </c>
      <c r="I46" s="26" t="s">
        <v>42</v>
      </c>
      <c r="S46" s="26" t="s">
        <v>42</v>
      </c>
      <c r="T46" s="26" t="s">
        <v>42</v>
      </c>
      <c r="U46" s="26" t="s">
        <v>42</v>
      </c>
      <c r="V46" s="26" t="s">
        <v>42</v>
      </c>
      <c r="W46" s="26" t="s">
        <v>42</v>
      </c>
      <c r="X46" s="26" t="s">
        <v>42</v>
      </c>
      <c r="Y46" s="26"/>
      <c r="Z46" s="26"/>
      <c r="AA46" s="26"/>
      <c r="AB46" s="26"/>
      <c r="AC46" s="26"/>
      <c r="AD46" s="26"/>
      <c r="AE46" s="26"/>
      <c r="AH46" s="26"/>
      <c r="AI46" s="26"/>
      <c r="AJ46" s="26"/>
      <c r="AM46" s="26"/>
      <c r="AN46" s="26"/>
      <c r="AO46" s="26"/>
      <c r="AP46" s="26"/>
      <c r="AQ46" s="26"/>
      <c r="AR46" s="26"/>
    </row>
    <row r="47" spans="1:44" ht="30" outlineLevel="1" x14ac:dyDescent="0.25">
      <c r="A47" s="20" t="s">
        <v>630</v>
      </c>
      <c r="B47" s="21" t="s">
        <v>629</v>
      </c>
      <c r="C47" t="s">
        <v>628</v>
      </c>
      <c r="D47" s="26" t="s">
        <v>78</v>
      </c>
      <c r="E47" s="26" t="s">
        <v>78</v>
      </c>
      <c r="F47" s="26" t="s">
        <v>78</v>
      </c>
      <c r="G47" s="60" t="s">
        <v>78</v>
      </c>
      <c r="H47" s="26" t="s">
        <v>78</v>
      </c>
      <c r="I47" s="26" t="s">
        <v>78</v>
      </c>
      <c r="S47" s="26" t="s">
        <v>78</v>
      </c>
      <c r="T47" s="26" t="s">
        <v>78</v>
      </c>
      <c r="U47" s="26" t="s">
        <v>78</v>
      </c>
      <c r="V47" s="26" t="s">
        <v>78</v>
      </c>
      <c r="W47" s="26" t="s">
        <v>78</v>
      </c>
      <c r="X47" s="26" t="s">
        <v>78</v>
      </c>
      <c r="Y47" s="26"/>
      <c r="Z47" s="26"/>
      <c r="AA47" s="26"/>
      <c r="AB47" s="26"/>
      <c r="AC47" s="26"/>
      <c r="AD47" s="26"/>
      <c r="AE47" s="26"/>
      <c r="AH47" s="26"/>
      <c r="AI47" s="26"/>
      <c r="AJ47" s="26"/>
      <c r="AM47" s="26"/>
      <c r="AN47" s="26"/>
      <c r="AO47" s="26"/>
      <c r="AP47" s="26"/>
      <c r="AQ47" s="26"/>
      <c r="AR47" s="26"/>
    </row>
    <row r="48" spans="1:44" x14ac:dyDescent="0.25">
      <c r="A48" s="18" t="s">
        <v>132</v>
      </c>
      <c r="B48" s="19" t="s">
        <v>627</v>
      </c>
      <c r="D48" s="26" t="s">
        <v>42</v>
      </c>
      <c r="E48" s="26" t="s">
        <v>42</v>
      </c>
      <c r="F48" s="26" t="s">
        <v>42</v>
      </c>
      <c r="J48" s="26" t="s">
        <v>42</v>
      </c>
      <c r="N48" s="26" t="s">
        <v>42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H48" s="26"/>
      <c r="AI48" s="26"/>
      <c r="AJ48" s="26"/>
      <c r="AM48" s="26"/>
      <c r="AN48" s="26"/>
      <c r="AO48" s="26"/>
      <c r="AP48" s="26"/>
      <c r="AQ48" s="26"/>
      <c r="AR48" s="26"/>
    </row>
    <row r="49" spans="1:44" outlineLevel="1" x14ac:dyDescent="0.25">
      <c r="A49" s="20" t="s">
        <v>134</v>
      </c>
      <c r="B49" s="21" t="s">
        <v>626</v>
      </c>
      <c r="D49" s="26" t="s">
        <v>42</v>
      </c>
      <c r="E49" s="26" t="s">
        <v>42</v>
      </c>
      <c r="F49" s="26" t="s">
        <v>42</v>
      </c>
      <c r="J49" s="26" t="s">
        <v>42</v>
      </c>
      <c r="N49" s="26" t="s">
        <v>42</v>
      </c>
      <c r="O49" s="60"/>
      <c r="Q49" s="26"/>
      <c r="S49" s="26" t="s">
        <v>42</v>
      </c>
      <c r="T49" s="26" t="s">
        <v>42</v>
      </c>
      <c r="U49" s="26" t="s">
        <v>42</v>
      </c>
      <c r="V49" s="26"/>
      <c r="W49" s="26"/>
      <c r="X49" s="26"/>
      <c r="Y49" s="26" t="s">
        <v>42</v>
      </c>
      <c r="Z49" s="26"/>
      <c r="AA49" s="26"/>
      <c r="AB49" s="26"/>
      <c r="AC49" s="26" t="s">
        <v>42</v>
      </c>
      <c r="AD49" s="26"/>
      <c r="AE49" s="26"/>
      <c r="AF49" s="26"/>
      <c r="AH49" s="26"/>
      <c r="AI49" s="26"/>
      <c r="AJ49" s="26"/>
      <c r="AM49" s="26"/>
      <c r="AN49" s="26"/>
      <c r="AO49" s="26"/>
      <c r="AP49" s="26"/>
      <c r="AQ49" s="26"/>
      <c r="AR49" s="26"/>
    </row>
    <row r="50" spans="1:44" outlineLevel="1" x14ac:dyDescent="0.25">
      <c r="A50" s="20" t="s">
        <v>136</v>
      </c>
      <c r="B50" s="21" t="s">
        <v>625</v>
      </c>
      <c r="D50" s="26" t="s">
        <v>42</v>
      </c>
      <c r="E50" s="26" t="s">
        <v>42</v>
      </c>
      <c r="F50" s="26" t="s">
        <v>42</v>
      </c>
      <c r="J50" s="26" t="s">
        <v>42</v>
      </c>
      <c r="N50" s="26" t="s">
        <v>42</v>
      </c>
      <c r="O50" s="60"/>
      <c r="Q50" s="26"/>
      <c r="S50" s="26" t="s">
        <v>42</v>
      </c>
      <c r="T50" s="26" t="s">
        <v>42</v>
      </c>
      <c r="U50" s="26" t="s">
        <v>42</v>
      </c>
      <c r="V50" s="26"/>
      <c r="W50" s="26"/>
      <c r="X50" s="26"/>
      <c r="Y50" s="26" t="s">
        <v>42</v>
      </c>
      <c r="Z50" s="26"/>
      <c r="AA50" s="26"/>
      <c r="AB50" s="26"/>
      <c r="AC50" s="26" t="s">
        <v>42</v>
      </c>
      <c r="AD50" s="26"/>
      <c r="AE50" s="26"/>
      <c r="AF50" s="26"/>
      <c r="AH50" s="26"/>
      <c r="AI50" s="26"/>
      <c r="AJ50" s="26"/>
      <c r="AM50" s="26"/>
      <c r="AN50" s="26"/>
      <c r="AO50" s="26"/>
      <c r="AP50" s="26"/>
      <c r="AQ50" s="26"/>
      <c r="AR50" s="26"/>
    </row>
    <row r="51" spans="1:44" ht="45" outlineLevel="1" x14ac:dyDescent="0.25">
      <c r="A51" s="20" t="s">
        <v>144</v>
      </c>
      <c r="B51" s="21" t="s">
        <v>624</v>
      </c>
      <c r="D51" s="26" t="s">
        <v>42</v>
      </c>
      <c r="E51" s="26" t="s">
        <v>42</v>
      </c>
      <c r="F51" s="26" t="s">
        <v>42</v>
      </c>
      <c r="J51" s="26" t="s">
        <v>42</v>
      </c>
      <c r="N51" s="26" t="s">
        <v>42</v>
      </c>
      <c r="O51" s="60"/>
      <c r="Q51" s="26"/>
      <c r="S51" s="26" t="s">
        <v>42</v>
      </c>
      <c r="T51" s="26" t="s">
        <v>42</v>
      </c>
      <c r="U51" s="26" t="s">
        <v>42</v>
      </c>
      <c r="V51" s="26"/>
      <c r="W51" s="26"/>
      <c r="X51" s="26"/>
      <c r="Y51" s="26" t="s">
        <v>42</v>
      </c>
      <c r="Z51" s="26"/>
      <c r="AA51" s="26"/>
      <c r="AB51" s="26"/>
      <c r="AC51" s="26" t="s">
        <v>42</v>
      </c>
      <c r="AD51" s="26"/>
      <c r="AE51" s="26"/>
      <c r="AF51" s="26"/>
      <c r="AH51" s="26"/>
      <c r="AI51" s="26"/>
      <c r="AJ51" s="26"/>
      <c r="AM51" s="26"/>
      <c r="AN51" s="26"/>
      <c r="AO51" s="26"/>
      <c r="AP51" s="26"/>
      <c r="AQ51" s="26"/>
      <c r="AR51" s="26"/>
    </row>
    <row r="52" spans="1:44" ht="30" outlineLevel="1" x14ac:dyDescent="0.25">
      <c r="A52" s="20" t="s">
        <v>150</v>
      </c>
      <c r="B52" s="21" t="s">
        <v>623</v>
      </c>
      <c r="D52" s="26" t="s">
        <v>42</v>
      </c>
      <c r="E52" s="26" t="s">
        <v>42</v>
      </c>
      <c r="F52" s="26" t="s">
        <v>42</v>
      </c>
      <c r="J52" s="26" t="s">
        <v>42</v>
      </c>
      <c r="N52" s="26" t="s">
        <v>42</v>
      </c>
      <c r="O52" s="60"/>
      <c r="Q52" s="26"/>
      <c r="S52" s="26" t="s">
        <v>42</v>
      </c>
      <c r="T52" s="26" t="s">
        <v>42</v>
      </c>
      <c r="U52" s="26" t="s">
        <v>42</v>
      </c>
      <c r="V52" s="26"/>
      <c r="W52" s="26"/>
      <c r="X52" s="26"/>
      <c r="Y52" s="26" t="s">
        <v>42</v>
      </c>
      <c r="Z52" s="26"/>
      <c r="AA52" s="26"/>
      <c r="AB52" s="26"/>
      <c r="AC52" s="26" t="s">
        <v>42</v>
      </c>
      <c r="AD52" s="26"/>
      <c r="AE52" s="26"/>
      <c r="AF52" s="26"/>
      <c r="AH52" s="26"/>
      <c r="AI52" s="26"/>
      <c r="AJ52" s="26"/>
      <c r="AM52" s="26"/>
      <c r="AN52" s="26"/>
      <c r="AO52" s="26"/>
      <c r="AP52" s="26"/>
      <c r="AQ52" s="26"/>
      <c r="AR52" s="26"/>
    </row>
    <row r="53" spans="1:44" outlineLevel="1" x14ac:dyDescent="0.25">
      <c r="A53" s="20" t="s">
        <v>622</v>
      </c>
      <c r="B53" s="27" t="s">
        <v>621</v>
      </c>
      <c r="D53" s="26" t="s">
        <v>42</v>
      </c>
      <c r="E53" s="26" t="s">
        <v>42</v>
      </c>
      <c r="F53" s="26" t="s">
        <v>42</v>
      </c>
      <c r="J53" s="26" t="s">
        <v>42</v>
      </c>
      <c r="N53" s="26" t="s">
        <v>42</v>
      </c>
      <c r="O53" s="60"/>
      <c r="Q53" s="26"/>
      <c r="S53" s="26" t="s">
        <v>42</v>
      </c>
      <c r="T53" s="26" t="s">
        <v>42</v>
      </c>
      <c r="U53" s="26" t="s">
        <v>42</v>
      </c>
      <c r="V53" s="26"/>
      <c r="W53" s="26"/>
      <c r="X53" s="26"/>
      <c r="Y53" s="26" t="s">
        <v>42</v>
      </c>
      <c r="Z53" s="26"/>
      <c r="AA53" s="26"/>
      <c r="AB53" s="26"/>
      <c r="AC53" s="26" t="s">
        <v>42</v>
      </c>
      <c r="AD53" s="26"/>
      <c r="AE53" s="26"/>
      <c r="AF53" s="26"/>
      <c r="AH53" s="26"/>
      <c r="AI53" s="26"/>
      <c r="AJ53" s="26"/>
      <c r="AM53" s="26"/>
      <c r="AN53" s="26"/>
      <c r="AO53" s="26"/>
      <c r="AP53" s="26"/>
      <c r="AQ53" s="26"/>
      <c r="AR53" s="26"/>
    </row>
    <row r="54" spans="1:44" outlineLevel="1" x14ac:dyDescent="0.25">
      <c r="A54" s="20" t="s">
        <v>620</v>
      </c>
      <c r="B54" s="21" t="s">
        <v>619</v>
      </c>
      <c r="D54" s="26" t="s">
        <v>42</v>
      </c>
      <c r="E54" s="26" t="s">
        <v>42</v>
      </c>
      <c r="F54" s="26" t="s">
        <v>42</v>
      </c>
      <c r="J54" s="26" t="s">
        <v>42</v>
      </c>
      <c r="N54" s="26" t="s">
        <v>42</v>
      </c>
      <c r="O54" s="60"/>
      <c r="Q54" s="26"/>
      <c r="S54" s="26" t="s">
        <v>42</v>
      </c>
      <c r="T54" s="26" t="s">
        <v>42</v>
      </c>
      <c r="U54" s="26" t="s">
        <v>42</v>
      </c>
      <c r="V54" s="26"/>
      <c r="W54" s="26"/>
      <c r="X54" s="26"/>
      <c r="Y54" s="26" t="s">
        <v>42</v>
      </c>
      <c r="Z54" s="26"/>
      <c r="AA54" s="26"/>
      <c r="AB54" s="26"/>
      <c r="AC54" s="26" t="s">
        <v>42</v>
      </c>
      <c r="AD54" s="26"/>
      <c r="AE54" s="26"/>
      <c r="AF54" s="26"/>
      <c r="AH54" s="26"/>
      <c r="AI54" s="26"/>
      <c r="AJ54" s="26"/>
      <c r="AM54" s="26"/>
      <c r="AN54" s="26"/>
      <c r="AO54" s="26"/>
      <c r="AP54" s="26"/>
      <c r="AQ54" s="26"/>
      <c r="AR54" s="26"/>
    </row>
    <row r="55" spans="1:44" ht="45" outlineLevel="1" x14ac:dyDescent="0.25">
      <c r="A55" s="72" t="s">
        <v>618</v>
      </c>
      <c r="B55" s="71" t="s">
        <v>602</v>
      </c>
      <c r="C55" s="45" t="s">
        <v>617</v>
      </c>
      <c r="O55" s="60"/>
      <c r="Q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H55" s="26"/>
      <c r="AI55" s="26"/>
      <c r="AJ55" s="26"/>
      <c r="AM55" s="26"/>
      <c r="AN55" s="26"/>
      <c r="AO55" s="26"/>
      <c r="AP55" s="26"/>
      <c r="AQ55" s="26"/>
      <c r="AR55" s="26"/>
    </row>
    <row r="56" spans="1:44" outlineLevel="1" x14ac:dyDescent="0.25">
      <c r="A56" s="20" t="s">
        <v>616</v>
      </c>
      <c r="B56" s="21" t="s">
        <v>615</v>
      </c>
      <c r="D56" s="26" t="s">
        <v>42</v>
      </c>
      <c r="E56" s="26" t="s">
        <v>42</v>
      </c>
      <c r="F56" s="26" t="s">
        <v>42</v>
      </c>
      <c r="J56" s="26" t="s">
        <v>42</v>
      </c>
      <c r="N56" s="26" t="s">
        <v>42</v>
      </c>
      <c r="O56" s="60"/>
      <c r="Q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H56" s="26"/>
      <c r="AI56" s="26"/>
      <c r="AJ56" s="26"/>
      <c r="AM56" s="26"/>
      <c r="AN56" s="26"/>
      <c r="AO56" s="26"/>
      <c r="AP56" s="26"/>
      <c r="AQ56" s="26"/>
      <c r="AR56" s="26"/>
    </row>
    <row r="57" spans="1:44" ht="30" outlineLevel="1" x14ac:dyDescent="0.25">
      <c r="A57" s="20" t="s">
        <v>614</v>
      </c>
      <c r="B57" s="21" t="s">
        <v>613</v>
      </c>
      <c r="D57" s="26" t="s">
        <v>42</v>
      </c>
      <c r="E57" s="26" t="s">
        <v>42</v>
      </c>
      <c r="F57" s="26" t="s">
        <v>42</v>
      </c>
      <c r="J57" s="26" t="s">
        <v>42</v>
      </c>
      <c r="N57" s="26" t="s">
        <v>42</v>
      </c>
      <c r="O57" s="60"/>
      <c r="Q57" s="26"/>
      <c r="S57" s="26" t="s">
        <v>42</v>
      </c>
      <c r="T57" s="26" t="s">
        <v>42</v>
      </c>
      <c r="U57" s="26" t="s">
        <v>42</v>
      </c>
      <c r="V57" s="26"/>
      <c r="W57" s="26"/>
      <c r="X57" s="26"/>
      <c r="Y57" s="26" t="s">
        <v>42</v>
      </c>
      <c r="Z57" s="26"/>
      <c r="AA57" s="26"/>
      <c r="AB57" s="26"/>
      <c r="AC57" s="26" t="s">
        <v>42</v>
      </c>
      <c r="AD57" s="26"/>
      <c r="AE57" s="26"/>
      <c r="AF57" s="26"/>
      <c r="AH57" s="26"/>
      <c r="AI57" s="26"/>
      <c r="AJ57" s="26"/>
      <c r="AM57" s="26"/>
      <c r="AN57" s="26"/>
      <c r="AO57" s="26"/>
      <c r="AP57" s="26"/>
      <c r="AQ57" s="26"/>
      <c r="AR57" s="26"/>
    </row>
    <row r="58" spans="1:44" x14ac:dyDescent="0.25">
      <c r="A58" s="18" t="s">
        <v>612</v>
      </c>
      <c r="B58" s="19" t="s">
        <v>611</v>
      </c>
      <c r="C58" t="s">
        <v>610</v>
      </c>
      <c r="D58" s="26" t="s">
        <v>78</v>
      </c>
      <c r="E58" s="26" t="s">
        <v>78</v>
      </c>
      <c r="F58" s="26" t="s">
        <v>78</v>
      </c>
      <c r="G58" s="60" t="s">
        <v>78</v>
      </c>
      <c r="I58" s="26" t="s">
        <v>78</v>
      </c>
      <c r="J58" s="26" t="s">
        <v>78</v>
      </c>
      <c r="K58" s="26" t="s">
        <v>78</v>
      </c>
      <c r="M58" s="60" t="s">
        <v>78</v>
      </c>
      <c r="N58" s="26" t="s">
        <v>78</v>
      </c>
      <c r="O58" s="60" t="s">
        <v>78</v>
      </c>
      <c r="Q58" s="26" t="s">
        <v>78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H58" s="26"/>
      <c r="AI58" s="26"/>
      <c r="AJ58" s="26"/>
      <c r="AM58" s="26"/>
      <c r="AN58" s="26"/>
      <c r="AO58" s="26"/>
      <c r="AP58" s="26"/>
      <c r="AQ58" s="26"/>
      <c r="AR58" s="26"/>
    </row>
    <row r="59" spans="1:44" outlineLevel="1" x14ac:dyDescent="0.25">
      <c r="A59" s="20" t="s">
        <v>609</v>
      </c>
      <c r="B59" s="21" t="s">
        <v>608</v>
      </c>
      <c r="D59" s="26" t="s">
        <v>78</v>
      </c>
      <c r="E59" s="26" t="s">
        <v>78</v>
      </c>
      <c r="F59" s="26" t="s">
        <v>78</v>
      </c>
      <c r="G59" s="60" t="s">
        <v>78</v>
      </c>
      <c r="I59" s="26" t="s">
        <v>78</v>
      </c>
      <c r="J59" s="26" t="s">
        <v>78</v>
      </c>
      <c r="K59" s="26" t="s">
        <v>78</v>
      </c>
      <c r="M59" s="60" t="s">
        <v>78</v>
      </c>
      <c r="N59" s="26" t="s">
        <v>78</v>
      </c>
      <c r="O59" s="60" t="s">
        <v>78</v>
      </c>
      <c r="Q59" s="26" t="s">
        <v>78</v>
      </c>
      <c r="S59" s="26" t="s">
        <v>78</v>
      </c>
      <c r="T59" s="26" t="s">
        <v>78</v>
      </c>
      <c r="U59" s="26" t="s">
        <v>78</v>
      </c>
      <c r="V59" s="26" t="s">
        <v>78</v>
      </c>
      <c r="W59" s="26"/>
      <c r="X59" s="26" t="s">
        <v>78</v>
      </c>
      <c r="Y59" s="26" t="s">
        <v>78</v>
      </c>
      <c r="Z59" s="26" t="s">
        <v>78</v>
      </c>
      <c r="AA59" s="26"/>
      <c r="AB59" s="26" t="s">
        <v>78</v>
      </c>
      <c r="AC59" s="26" t="s">
        <v>78</v>
      </c>
      <c r="AD59" s="60" t="s">
        <v>78</v>
      </c>
      <c r="AE59" s="26"/>
      <c r="AF59" s="26" t="s">
        <v>78</v>
      </c>
      <c r="AH59" s="26"/>
      <c r="AI59" s="26"/>
      <c r="AJ59" s="26"/>
      <c r="AM59" s="26"/>
      <c r="AN59" s="26"/>
      <c r="AO59" s="26"/>
      <c r="AP59" s="26"/>
      <c r="AQ59" s="26"/>
      <c r="AR59" s="26"/>
    </row>
    <row r="60" spans="1:44" outlineLevel="1" x14ac:dyDescent="0.25">
      <c r="A60" s="20" t="s">
        <v>607</v>
      </c>
      <c r="B60" s="21" t="s">
        <v>606</v>
      </c>
      <c r="D60" s="26" t="s">
        <v>78</v>
      </c>
      <c r="E60" s="26" t="s">
        <v>78</v>
      </c>
      <c r="F60" s="26" t="s">
        <v>78</v>
      </c>
      <c r="G60" s="60" t="s">
        <v>78</v>
      </c>
      <c r="I60" s="26" t="s">
        <v>78</v>
      </c>
      <c r="J60" s="26" t="s">
        <v>78</v>
      </c>
      <c r="K60" s="26" t="s">
        <v>78</v>
      </c>
      <c r="M60" s="60" t="s">
        <v>78</v>
      </c>
      <c r="N60" s="26" t="s">
        <v>78</v>
      </c>
      <c r="O60" s="60" t="s">
        <v>78</v>
      </c>
      <c r="Q60" s="26" t="s">
        <v>78</v>
      </c>
      <c r="S60" s="26" t="s">
        <v>78</v>
      </c>
      <c r="T60" s="26" t="s">
        <v>78</v>
      </c>
      <c r="U60" s="26" t="s">
        <v>78</v>
      </c>
      <c r="V60" s="26" t="s">
        <v>78</v>
      </c>
      <c r="W60" s="26"/>
      <c r="X60" s="26" t="s">
        <v>78</v>
      </c>
      <c r="Y60" s="26" t="s">
        <v>78</v>
      </c>
      <c r="Z60" s="26" t="s">
        <v>78</v>
      </c>
      <c r="AA60" s="26"/>
      <c r="AB60" s="26" t="s">
        <v>78</v>
      </c>
      <c r="AC60" s="26" t="s">
        <v>78</v>
      </c>
      <c r="AD60" s="60" t="s">
        <v>78</v>
      </c>
      <c r="AE60" s="26"/>
      <c r="AF60" s="26" t="s">
        <v>78</v>
      </c>
      <c r="AH60" s="26"/>
      <c r="AI60" s="26"/>
      <c r="AJ60" s="26"/>
      <c r="AM60" s="26"/>
      <c r="AN60" s="26"/>
      <c r="AO60" s="26"/>
      <c r="AP60" s="26"/>
      <c r="AQ60" s="26"/>
      <c r="AR60" s="26"/>
    </row>
    <row r="61" spans="1:44" ht="30" outlineLevel="1" x14ac:dyDescent="0.25">
      <c r="A61" s="20" t="s">
        <v>605</v>
      </c>
      <c r="B61" s="21" t="s">
        <v>593</v>
      </c>
      <c r="D61" s="26" t="s">
        <v>78</v>
      </c>
      <c r="E61" s="26" t="s">
        <v>78</v>
      </c>
      <c r="F61" s="26" t="s">
        <v>78</v>
      </c>
      <c r="G61" s="60" t="s">
        <v>78</v>
      </c>
      <c r="I61" s="26" t="s">
        <v>78</v>
      </c>
      <c r="J61" s="26" t="s">
        <v>78</v>
      </c>
      <c r="K61" s="26" t="s">
        <v>78</v>
      </c>
      <c r="M61" s="60" t="s">
        <v>78</v>
      </c>
      <c r="N61" s="26" t="s">
        <v>78</v>
      </c>
      <c r="O61" s="60" t="s">
        <v>78</v>
      </c>
      <c r="Q61" s="26" t="s">
        <v>78</v>
      </c>
      <c r="S61" s="26" t="s">
        <v>78</v>
      </c>
      <c r="T61" s="26" t="s">
        <v>78</v>
      </c>
      <c r="U61" s="26" t="s">
        <v>78</v>
      </c>
      <c r="V61" s="26" t="s">
        <v>78</v>
      </c>
      <c r="W61" s="26"/>
      <c r="X61" s="26" t="s">
        <v>78</v>
      </c>
      <c r="Y61" s="26" t="s">
        <v>78</v>
      </c>
      <c r="Z61" s="26" t="s">
        <v>78</v>
      </c>
      <c r="AA61" s="26"/>
      <c r="AB61" s="26" t="s">
        <v>78</v>
      </c>
      <c r="AC61" s="26" t="s">
        <v>78</v>
      </c>
      <c r="AD61" s="60" t="s">
        <v>78</v>
      </c>
      <c r="AE61" s="26"/>
      <c r="AF61" s="26" t="s">
        <v>78</v>
      </c>
      <c r="AH61" s="26"/>
      <c r="AI61" s="26"/>
      <c r="AJ61" s="26"/>
      <c r="AM61" s="26"/>
      <c r="AN61" s="26"/>
      <c r="AO61" s="26"/>
      <c r="AP61" s="26"/>
      <c r="AQ61" s="26"/>
      <c r="AR61" s="26"/>
    </row>
    <row r="62" spans="1:44" ht="30" outlineLevel="1" x14ac:dyDescent="0.25">
      <c r="A62" s="20" t="s">
        <v>604</v>
      </c>
      <c r="B62" s="21" t="s">
        <v>603</v>
      </c>
      <c r="D62" s="26" t="s">
        <v>78</v>
      </c>
      <c r="E62" s="26" t="s">
        <v>78</v>
      </c>
      <c r="F62" s="26" t="s">
        <v>78</v>
      </c>
      <c r="G62" s="60" t="s">
        <v>78</v>
      </c>
      <c r="I62" s="26" t="s">
        <v>78</v>
      </c>
      <c r="J62" s="26" t="s">
        <v>78</v>
      </c>
      <c r="K62" s="26" t="s">
        <v>78</v>
      </c>
      <c r="M62" s="60" t="s">
        <v>78</v>
      </c>
      <c r="N62" s="26" t="s">
        <v>78</v>
      </c>
      <c r="O62" s="60" t="s">
        <v>78</v>
      </c>
      <c r="Q62" s="26" t="s">
        <v>78</v>
      </c>
      <c r="S62" s="26" t="s">
        <v>78</v>
      </c>
      <c r="T62" s="26" t="s">
        <v>78</v>
      </c>
      <c r="U62" s="26" t="s">
        <v>78</v>
      </c>
      <c r="V62" s="26" t="s">
        <v>78</v>
      </c>
      <c r="W62" s="26"/>
      <c r="X62" s="26" t="s">
        <v>78</v>
      </c>
      <c r="Y62" s="26" t="s">
        <v>78</v>
      </c>
      <c r="Z62" s="26" t="s">
        <v>78</v>
      </c>
      <c r="AA62" s="26"/>
      <c r="AB62" s="26" t="s">
        <v>78</v>
      </c>
      <c r="AC62" s="26" t="s">
        <v>78</v>
      </c>
      <c r="AD62" s="60" t="s">
        <v>78</v>
      </c>
      <c r="AE62" s="26"/>
      <c r="AF62" s="26" t="s">
        <v>78</v>
      </c>
      <c r="AH62" s="26"/>
      <c r="AI62" s="26"/>
      <c r="AJ62" s="26"/>
      <c r="AM62" s="26"/>
      <c r="AN62" s="26"/>
      <c r="AO62" s="26"/>
      <c r="AP62" s="26"/>
      <c r="AQ62" s="26"/>
      <c r="AR62" s="26"/>
    </row>
    <row r="63" spans="1:44" outlineLevel="1" x14ac:dyDescent="0.25">
      <c r="A63" s="31" t="s">
        <v>85</v>
      </c>
      <c r="B63" s="33" t="s">
        <v>602</v>
      </c>
      <c r="D63" s="26" t="s">
        <v>42</v>
      </c>
      <c r="E63" s="26" t="s">
        <v>42</v>
      </c>
      <c r="F63" s="26" t="s">
        <v>42</v>
      </c>
      <c r="G63" s="60" t="s">
        <v>42</v>
      </c>
      <c r="I63" s="26" t="s">
        <v>42</v>
      </c>
      <c r="J63" s="26" t="s">
        <v>42</v>
      </c>
      <c r="K63" s="26" t="s">
        <v>42</v>
      </c>
      <c r="M63" s="60" t="s">
        <v>42</v>
      </c>
      <c r="N63" s="26" t="s">
        <v>42</v>
      </c>
      <c r="O63" s="60" t="s">
        <v>42</v>
      </c>
      <c r="Q63" s="26" t="s">
        <v>42</v>
      </c>
      <c r="S63" s="26" t="s">
        <v>42</v>
      </c>
      <c r="T63" s="26" t="s">
        <v>42</v>
      </c>
      <c r="U63" s="26" t="s">
        <v>42</v>
      </c>
      <c r="V63" s="26" t="s">
        <v>42</v>
      </c>
      <c r="W63" s="26"/>
      <c r="X63" s="26" t="s">
        <v>42</v>
      </c>
      <c r="Y63" s="26" t="s">
        <v>42</v>
      </c>
      <c r="Z63" s="26" t="s">
        <v>42</v>
      </c>
      <c r="AA63" s="26"/>
      <c r="AB63" s="26" t="s">
        <v>42</v>
      </c>
      <c r="AC63" s="26" t="s">
        <v>42</v>
      </c>
      <c r="AD63" s="60" t="s">
        <v>42</v>
      </c>
      <c r="AE63" s="26"/>
      <c r="AF63" s="26" t="s">
        <v>42</v>
      </c>
      <c r="AH63" s="26"/>
      <c r="AI63" s="26"/>
      <c r="AJ63" s="26"/>
      <c r="AM63" s="26"/>
      <c r="AN63" s="26"/>
      <c r="AO63" s="26"/>
      <c r="AP63" s="26"/>
      <c r="AQ63" s="26"/>
      <c r="AR63" s="26"/>
    </row>
    <row r="64" spans="1:44" x14ac:dyDescent="0.25">
      <c r="A64" s="18" t="s">
        <v>601</v>
      </c>
      <c r="B64" s="19" t="s">
        <v>600</v>
      </c>
      <c r="C64" t="s">
        <v>599</v>
      </c>
      <c r="D64" s="26" t="s">
        <v>78</v>
      </c>
      <c r="E64" s="26" t="s">
        <v>78</v>
      </c>
      <c r="F64" s="26" t="s">
        <v>78</v>
      </c>
      <c r="J64" s="26" t="s">
        <v>78</v>
      </c>
      <c r="N64" s="26" t="s">
        <v>78</v>
      </c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H64" s="26"/>
      <c r="AI64" s="26"/>
      <c r="AJ64" s="26"/>
      <c r="AM64" s="26"/>
      <c r="AN64" s="26"/>
      <c r="AO64" s="26"/>
      <c r="AP64" s="26"/>
      <c r="AQ64" s="26"/>
      <c r="AR64" s="26"/>
    </row>
    <row r="65" spans="1:44" outlineLevel="1" x14ac:dyDescent="0.25">
      <c r="A65" s="20" t="s">
        <v>598</v>
      </c>
      <c r="B65" s="21" t="s">
        <v>597</v>
      </c>
      <c r="D65" s="26" t="s">
        <v>78</v>
      </c>
      <c r="E65" s="26" t="s">
        <v>78</v>
      </c>
      <c r="F65" s="26" t="s">
        <v>78</v>
      </c>
      <c r="J65" s="26" t="s">
        <v>78</v>
      </c>
      <c r="N65" s="26" t="s">
        <v>78</v>
      </c>
      <c r="S65" s="26" t="s">
        <v>78</v>
      </c>
      <c r="T65" s="26" t="s">
        <v>78</v>
      </c>
      <c r="U65" s="26" t="s">
        <v>78</v>
      </c>
      <c r="V65" s="26"/>
      <c r="W65" s="26"/>
      <c r="X65" s="26"/>
      <c r="Y65" s="26" t="s">
        <v>78</v>
      </c>
      <c r="Z65" s="26"/>
      <c r="AA65" s="26"/>
      <c r="AB65" s="26"/>
      <c r="AC65" s="26" t="s">
        <v>78</v>
      </c>
      <c r="AD65" s="26"/>
      <c r="AE65" s="26"/>
      <c r="AH65" s="26"/>
      <c r="AI65" s="26"/>
      <c r="AJ65" s="26"/>
      <c r="AM65" s="26"/>
      <c r="AN65" s="26"/>
      <c r="AO65" s="26"/>
      <c r="AP65" s="26"/>
      <c r="AQ65" s="26"/>
      <c r="AR65" s="26"/>
    </row>
    <row r="66" spans="1:44" outlineLevel="1" x14ac:dyDescent="0.25">
      <c r="A66" s="20" t="s">
        <v>596</v>
      </c>
      <c r="B66" s="21" t="s">
        <v>595</v>
      </c>
      <c r="D66" s="26" t="s">
        <v>78</v>
      </c>
      <c r="E66" s="26" t="s">
        <v>78</v>
      </c>
      <c r="F66" s="26" t="s">
        <v>78</v>
      </c>
      <c r="J66" s="26" t="s">
        <v>78</v>
      </c>
      <c r="N66" s="26" t="s">
        <v>78</v>
      </c>
      <c r="S66" s="26" t="s">
        <v>78</v>
      </c>
      <c r="T66" s="26" t="s">
        <v>78</v>
      </c>
      <c r="U66" s="26" t="s">
        <v>78</v>
      </c>
      <c r="V66" s="26"/>
      <c r="W66" s="26"/>
      <c r="X66" s="26"/>
      <c r="Y66" s="26" t="s">
        <v>78</v>
      </c>
      <c r="Z66" s="26"/>
      <c r="AA66" s="26"/>
      <c r="AB66" s="26"/>
      <c r="AC66" s="26" t="s">
        <v>78</v>
      </c>
      <c r="AD66" s="26"/>
      <c r="AE66" s="26"/>
      <c r="AH66" s="26"/>
      <c r="AI66" s="26"/>
      <c r="AJ66" s="26"/>
      <c r="AM66" s="26"/>
      <c r="AN66" s="26"/>
      <c r="AO66" s="26"/>
      <c r="AP66" s="26"/>
      <c r="AQ66" s="26"/>
      <c r="AR66" s="26"/>
    </row>
    <row r="67" spans="1:44" ht="30" outlineLevel="1" x14ac:dyDescent="0.25">
      <c r="A67" s="20" t="s">
        <v>594</v>
      </c>
      <c r="B67" s="21" t="s">
        <v>593</v>
      </c>
      <c r="D67" s="26" t="s">
        <v>78</v>
      </c>
      <c r="E67" s="26" t="s">
        <v>78</v>
      </c>
      <c r="F67" s="26" t="s">
        <v>78</v>
      </c>
      <c r="J67" s="26" t="s">
        <v>78</v>
      </c>
      <c r="N67" s="26" t="s">
        <v>78</v>
      </c>
      <c r="S67" s="26" t="s">
        <v>78</v>
      </c>
      <c r="T67" s="26" t="s">
        <v>78</v>
      </c>
      <c r="U67" s="26" t="s">
        <v>78</v>
      </c>
      <c r="V67" s="26"/>
      <c r="W67" s="26"/>
      <c r="X67" s="26"/>
      <c r="Y67" s="26" t="s">
        <v>78</v>
      </c>
      <c r="Z67" s="26"/>
      <c r="AA67" s="26"/>
      <c r="AB67" s="26"/>
      <c r="AC67" s="26" t="s">
        <v>78</v>
      </c>
      <c r="AD67" s="26"/>
      <c r="AE67" s="26"/>
      <c r="AH67" s="26"/>
      <c r="AI67" s="26"/>
      <c r="AJ67" s="26"/>
      <c r="AM67" s="26"/>
      <c r="AN67" s="26"/>
      <c r="AO67" s="26"/>
      <c r="AP67" s="26"/>
      <c r="AQ67" s="26"/>
      <c r="AR67" s="26"/>
    </row>
    <row r="68" spans="1:44" ht="30" outlineLevel="1" x14ac:dyDescent="0.25">
      <c r="A68" s="20" t="s">
        <v>592</v>
      </c>
      <c r="B68" s="21" t="s">
        <v>591</v>
      </c>
      <c r="D68" s="26" t="s">
        <v>78</v>
      </c>
      <c r="E68" s="26" t="s">
        <v>78</v>
      </c>
      <c r="F68" s="26" t="s">
        <v>78</v>
      </c>
      <c r="J68" s="26" t="s">
        <v>78</v>
      </c>
      <c r="N68" s="26" t="s">
        <v>78</v>
      </c>
      <c r="S68" s="26" t="s">
        <v>78</v>
      </c>
      <c r="T68" s="26" t="s">
        <v>78</v>
      </c>
      <c r="U68" s="26" t="s">
        <v>78</v>
      </c>
      <c r="V68" s="26"/>
      <c r="W68" s="26"/>
      <c r="X68" s="26"/>
      <c r="Y68" s="26" t="s">
        <v>78</v>
      </c>
      <c r="Z68" s="26"/>
      <c r="AA68" s="26"/>
      <c r="AB68" s="26"/>
      <c r="AC68" s="26" t="s">
        <v>78</v>
      </c>
      <c r="AD68" s="26"/>
      <c r="AE68" s="26"/>
      <c r="AH68" s="26"/>
      <c r="AI68" s="26"/>
      <c r="AJ68" s="26"/>
      <c r="AM68" s="26"/>
      <c r="AN68" s="26"/>
      <c r="AO68" s="26"/>
      <c r="AP68" s="26"/>
      <c r="AQ68" s="26"/>
      <c r="AR68" s="26"/>
    </row>
    <row r="69" spans="1:44" x14ac:dyDescent="0.25">
      <c r="A69" s="18" t="s">
        <v>590</v>
      </c>
      <c r="B69" s="19" t="s">
        <v>589</v>
      </c>
      <c r="C69" t="s">
        <v>563</v>
      </c>
      <c r="D69" s="26" t="s">
        <v>78</v>
      </c>
      <c r="E69" s="26" t="s">
        <v>78</v>
      </c>
      <c r="F69" s="26" t="s">
        <v>78</v>
      </c>
      <c r="N69" s="26" t="s">
        <v>78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H69" s="26"/>
      <c r="AI69" s="26"/>
      <c r="AJ69" s="26"/>
      <c r="AM69" s="26"/>
      <c r="AN69" s="26"/>
      <c r="AO69" s="26"/>
      <c r="AP69" s="26"/>
      <c r="AQ69" s="26"/>
      <c r="AR69" s="26"/>
    </row>
    <row r="70" spans="1:44" outlineLevel="1" x14ac:dyDescent="0.25">
      <c r="A70" s="20" t="s">
        <v>588</v>
      </c>
      <c r="B70" s="21" t="s">
        <v>587</v>
      </c>
      <c r="D70" s="26" t="s">
        <v>78</v>
      </c>
      <c r="E70" s="26" t="s">
        <v>78</v>
      </c>
      <c r="F70" s="26" t="s">
        <v>78</v>
      </c>
      <c r="N70" s="26" t="s">
        <v>78</v>
      </c>
      <c r="S70" s="26" t="s">
        <v>78</v>
      </c>
      <c r="T70" s="26" t="s">
        <v>78</v>
      </c>
      <c r="U70" s="26" t="s">
        <v>78</v>
      </c>
      <c r="V70" s="26"/>
      <c r="W70" s="26"/>
      <c r="X70" s="26"/>
      <c r="Y70" s="26"/>
      <c r="Z70" s="26"/>
      <c r="AA70" s="26"/>
      <c r="AB70" s="26"/>
      <c r="AC70" s="26" t="s">
        <v>78</v>
      </c>
      <c r="AD70" s="26"/>
      <c r="AE70" s="26"/>
      <c r="AH70" s="26"/>
      <c r="AI70" s="26"/>
      <c r="AJ70" s="26"/>
      <c r="AM70" s="26"/>
      <c r="AN70" s="26"/>
      <c r="AO70" s="26"/>
      <c r="AP70" s="26"/>
      <c r="AQ70" s="26"/>
      <c r="AR70" s="26"/>
    </row>
    <row r="71" spans="1:44" outlineLevel="1" x14ac:dyDescent="0.25">
      <c r="A71" s="20" t="s">
        <v>586</v>
      </c>
      <c r="B71" s="21" t="s">
        <v>585</v>
      </c>
      <c r="D71" s="26" t="s">
        <v>78</v>
      </c>
      <c r="E71" s="26" t="s">
        <v>78</v>
      </c>
      <c r="F71" s="26" t="s">
        <v>78</v>
      </c>
      <c r="N71" s="26" t="s">
        <v>78</v>
      </c>
      <c r="S71" s="26" t="s">
        <v>78</v>
      </c>
      <c r="T71" s="26" t="s">
        <v>78</v>
      </c>
      <c r="U71" s="26" t="s">
        <v>78</v>
      </c>
      <c r="V71" s="26"/>
      <c r="W71" s="26"/>
      <c r="X71" s="26"/>
      <c r="Y71" s="26"/>
      <c r="Z71" s="26"/>
      <c r="AA71" s="26"/>
      <c r="AB71" s="26"/>
      <c r="AC71" s="26" t="s">
        <v>78</v>
      </c>
      <c r="AD71" s="26"/>
      <c r="AE71" s="26"/>
      <c r="AH71" s="26"/>
      <c r="AI71" s="26"/>
      <c r="AJ71" s="26"/>
      <c r="AM71" s="26"/>
      <c r="AN71" s="26"/>
      <c r="AO71" s="26"/>
      <c r="AP71" s="26"/>
      <c r="AQ71" s="26"/>
      <c r="AR71" s="26"/>
    </row>
    <row r="72" spans="1:44" ht="30" outlineLevel="1" x14ac:dyDescent="0.25">
      <c r="A72" s="20" t="s">
        <v>584</v>
      </c>
      <c r="B72" s="21" t="s">
        <v>583</v>
      </c>
      <c r="D72" s="26" t="s">
        <v>78</v>
      </c>
      <c r="E72" s="26" t="s">
        <v>78</v>
      </c>
      <c r="F72" s="26" t="s">
        <v>78</v>
      </c>
      <c r="N72" s="26" t="s">
        <v>78</v>
      </c>
      <c r="S72" s="26" t="s">
        <v>78</v>
      </c>
      <c r="T72" s="26" t="s">
        <v>78</v>
      </c>
      <c r="U72" s="26" t="s">
        <v>78</v>
      </c>
      <c r="V72" s="26"/>
      <c r="W72" s="26"/>
      <c r="X72" s="26"/>
      <c r="Y72" s="26"/>
      <c r="Z72" s="26"/>
      <c r="AA72" s="26"/>
      <c r="AB72" s="26"/>
      <c r="AC72" s="26" t="s">
        <v>78</v>
      </c>
      <c r="AD72" s="26"/>
      <c r="AE72" s="26"/>
      <c r="AH72" s="26"/>
      <c r="AI72" s="26"/>
      <c r="AJ72" s="26"/>
      <c r="AM72" s="26"/>
      <c r="AN72" s="26"/>
      <c r="AO72" s="26"/>
      <c r="AP72" s="26"/>
      <c r="AQ72" s="26"/>
      <c r="AR72" s="26"/>
    </row>
    <row r="73" spans="1:44" outlineLevel="1" x14ac:dyDescent="0.25">
      <c r="A73" s="20" t="s">
        <v>582</v>
      </c>
      <c r="B73" s="21" t="s">
        <v>581</v>
      </c>
      <c r="D73" s="26" t="s">
        <v>78</v>
      </c>
      <c r="E73" s="26" t="s">
        <v>78</v>
      </c>
      <c r="F73" s="26" t="s">
        <v>78</v>
      </c>
      <c r="N73" s="26" t="s">
        <v>78</v>
      </c>
      <c r="S73" s="26" t="s">
        <v>78</v>
      </c>
      <c r="T73" s="26" t="s">
        <v>78</v>
      </c>
      <c r="U73" s="26" t="s">
        <v>78</v>
      </c>
      <c r="V73" s="26"/>
      <c r="W73" s="26"/>
      <c r="X73" s="26"/>
      <c r="Y73" s="26"/>
      <c r="Z73" s="26"/>
      <c r="AA73" s="26"/>
      <c r="AB73" s="26"/>
      <c r="AC73" s="26" t="s">
        <v>78</v>
      </c>
      <c r="AD73" s="26"/>
      <c r="AE73" s="26"/>
      <c r="AH73" s="26"/>
      <c r="AI73" s="26"/>
      <c r="AJ73" s="26"/>
      <c r="AM73" s="26"/>
      <c r="AN73" s="26"/>
      <c r="AO73" s="26"/>
      <c r="AP73" s="26"/>
      <c r="AQ73" s="26"/>
      <c r="AR73" s="26"/>
    </row>
    <row r="74" spans="1:44" ht="30" outlineLevel="1" x14ac:dyDescent="0.25">
      <c r="A74" s="20" t="s">
        <v>580</v>
      </c>
      <c r="B74" s="21" t="s">
        <v>404</v>
      </c>
      <c r="D74" s="26" t="s">
        <v>78</v>
      </c>
      <c r="E74" s="26" t="s">
        <v>78</v>
      </c>
      <c r="F74" s="26" t="s">
        <v>78</v>
      </c>
      <c r="N74" s="26" t="s">
        <v>78</v>
      </c>
      <c r="S74" s="26" t="s">
        <v>78</v>
      </c>
      <c r="T74" s="26" t="s">
        <v>78</v>
      </c>
      <c r="U74" s="26" t="s">
        <v>78</v>
      </c>
      <c r="V74" s="26"/>
      <c r="W74" s="26"/>
      <c r="X74" s="26"/>
      <c r="Y74" s="26"/>
      <c r="Z74" s="26"/>
      <c r="AA74" s="26"/>
      <c r="AB74" s="26"/>
      <c r="AC74" s="26" t="s">
        <v>78</v>
      </c>
      <c r="AD74" s="26"/>
      <c r="AE74" s="26"/>
      <c r="AH74" s="26"/>
      <c r="AI74" s="26"/>
      <c r="AJ74" s="26"/>
      <c r="AM74" s="26"/>
      <c r="AN74" s="26"/>
      <c r="AO74" s="26"/>
      <c r="AP74" s="26"/>
      <c r="AQ74" s="26"/>
      <c r="AR74" s="26"/>
    </row>
    <row r="75" spans="1:44" x14ac:dyDescent="0.25">
      <c r="A75" s="18" t="s">
        <v>579</v>
      </c>
      <c r="B75" s="19" t="s">
        <v>578</v>
      </c>
      <c r="D75" s="26" t="s">
        <v>42</v>
      </c>
      <c r="E75" s="26" t="s">
        <v>42</v>
      </c>
      <c r="F75" s="26" t="s">
        <v>42</v>
      </c>
      <c r="G75" s="60" t="s">
        <v>42</v>
      </c>
      <c r="I75" s="26" t="s">
        <v>78</v>
      </c>
      <c r="J75" s="26" t="s">
        <v>42</v>
      </c>
      <c r="K75" s="26" t="s">
        <v>42</v>
      </c>
      <c r="M75" s="60" t="s">
        <v>78</v>
      </c>
      <c r="N75" s="26" t="s">
        <v>42</v>
      </c>
      <c r="O75" s="60" t="s">
        <v>42</v>
      </c>
      <c r="Q75" s="26" t="s">
        <v>78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H75" s="26"/>
      <c r="AI75" s="26"/>
      <c r="AJ75" s="26"/>
      <c r="AM75" s="26"/>
      <c r="AN75" s="26"/>
      <c r="AO75" s="26"/>
      <c r="AP75" s="26"/>
      <c r="AQ75" s="26"/>
      <c r="AR75" s="26"/>
    </row>
    <row r="76" spans="1:44" outlineLevel="1" x14ac:dyDescent="0.25">
      <c r="A76" s="20" t="s">
        <v>577</v>
      </c>
      <c r="B76" s="21" t="s">
        <v>576</v>
      </c>
      <c r="D76" s="26" t="s">
        <v>42</v>
      </c>
      <c r="E76" s="26" t="s">
        <v>42</v>
      </c>
      <c r="F76" s="26" t="s">
        <v>42</v>
      </c>
      <c r="G76" s="60" t="s">
        <v>42</v>
      </c>
      <c r="I76" s="26" t="s">
        <v>78</v>
      </c>
      <c r="J76" s="26" t="s">
        <v>42</v>
      </c>
      <c r="K76" s="26" t="s">
        <v>42</v>
      </c>
      <c r="M76" s="60" t="s">
        <v>78</v>
      </c>
      <c r="N76" s="26" t="s">
        <v>42</v>
      </c>
      <c r="O76" s="60" t="s">
        <v>42</v>
      </c>
      <c r="Q76" s="26" t="s">
        <v>78</v>
      </c>
      <c r="S76" s="26" t="s">
        <v>42</v>
      </c>
      <c r="T76" s="26" t="s">
        <v>42</v>
      </c>
      <c r="U76" s="26" t="s">
        <v>42</v>
      </c>
      <c r="V76" s="26" t="s">
        <v>42</v>
      </c>
      <c r="W76" s="26"/>
      <c r="X76" s="26" t="s">
        <v>78</v>
      </c>
      <c r="Y76" s="26" t="s">
        <v>42</v>
      </c>
      <c r="Z76" s="26" t="s">
        <v>42</v>
      </c>
      <c r="AA76" s="26"/>
      <c r="AB76" s="26" t="s">
        <v>78</v>
      </c>
      <c r="AC76" s="26" t="s">
        <v>42</v>
      </c>
      <c r="AD76" s="26" t="s">
        <v>42</v>
      </c>
      <c r="AE76" s="26"/>
      <c r="AF76" s="26" t="s">
        <v>78</v>
      </c>
      <c r="AH76" s="26"/>
      <c r="AI76" s="26"/>
      <c r="AJ76" s="26"/>
      <c r="AM76" s="26"/>
      <c r="AN76" s="26"/>
      <c r="AO76" s="26"/>
      <c r="AP76" s="26"/>
      <c r="AQ76" s="26"/>
      <c r="AR76" s="26"/>
    </row>
    <row r="77" spans="1:44" outlineLevel="1" x14ac:dyDescent="0.25">
      <c r="A77" s="20" t="s">
        <v>575</v>
      </c>
      <c r="B77" s="21" t="s">
        <v>574</v>
      </c>
      <c r="D77" s="26" t="s">
        <v>42</v>
      </c>
      <c r="E77" s="26" t="s">
        <v>42</v>
      </c>
      <c r="F77" s="26" t="s">
        <v>42</v>
      </c>
      <c r="G77" s="60" t="s">
        <v>42</v>
      </c>
      <c r="I77" s="26" t="s">
        <v>78</v>
      </c>
      <c r="J77" s="26" t="s">
        <v>42</v>
      </c>
      <c r="K77" s="26" t="s">
        <v>42</v>
      </c>
      <c r="M77" s="60" t="s">
        <v>78</v>
      </c>
      <c r="N77" s="26" t="s">
        <v>42</v>
      </c>
      <c r="O77" s="60" t="s">
        <v>42</v>
      </c>
      <c r="Q77" s="26" t="s">
        <v>78</v>
      </c>
      <c r="S77" s="26" t="s">
        <v>42</v>
      </c>
      <c r="T77" s="26" t="s">
        <v>42</v>
      </c>
      <c r="U77" s="26" t="s">
        <v>42</v>
      </c>
      <c r="V77" s="26" t="s">
        <v>42</v>
      </c>
      <c r="W77" s="26"/>
      <c r="X77" s="26" t="s">
        <v>78</v>
      </c>
      <c r="Y77" s="26" t="s">
        <v>42</v>
      </c>
      <c r="Z77" s="26" t="s">
        <v>42</v>
      </c>
      <c r="AA77" s="26"/>
      <c r="AB77" s="26" t="s">
        <v>78</v>
      </c>
      <c r="AC77" s="26" t="s">
        <v>42</v>
      </c>
      <c r="AD77" s="26" t="s">
        <v>42</v>
      </c>
      <c r="AE77" s="26"/>
      <c r="AF77" s="26" t="s">
        <v>78</v>
      </c>
      <c r="AH77" s="26"/>
      <c r="AI77" s="26"/>
      <c r="AJ77" s="26"/>
      <c r="AM77" s="26"/>
      <c r="AN77" s="26"/>
      <c r="AO77" s="26"/>
      <c r="AP77" s="26"/>
      <c r="AQ77" s="26"/>
      <c r="AR77" s="26"/>
    </row>
    <row r="78" spans="1:44" ht="30" outlineLevel="1" x14ac:dyDescent="0.25">
      <c r="A78" s="20" t="s">
        <v>573</v>
      </c>
      <c r="B78" s="21" t="s">
        <v>572</v>
      </c>
      <c r="D78" s="26" t="s">
        <v>42</v>
      </c>
      <c r="E78" s="26" t="s">
        <v>42</v>
      </c>
      <c r="F78" s="26" t="s">
        <v>42</v>
      </c>
      <c r="G78" s="60" t="s">
        <v>42</v>
      </c>
      <c r="I78" s="26" t="s">
        <v>78</v>
      </c>
      <c r="J78" s="26" t="s">
        <v>42</v>
      </c>
      <c r="K78" s="26" t="s">
        <v>42</v>
      </c>
      <c r="M78" s="60" t="s">
        <v>78</v>
      </c>
      <c r="N78" s="26" t="s">
        <v>42</v>
      </c>
      <c r="O78" s="60" t="s">
        <v>42</v>
      </c>
      <c r="Q78" s="26" t="s">
        <v>78</v>
      </c>
      <c r="S78" s="26" t="s">
        <v>42</v>
      </c>
      <c r="T78" s="26" t="s">
        <v>42</v>
      </c>
      <c r="U78" s="26" t="s">
        <v>42</v>
      </c>
      <c r="V78" s="26" t="s">
        <v>42</v>
      </c>
      <c r="W78" s="26"/>
      <c r="X78" s="26" t="s">
        <v>78</v>
      </c>
      <c r="Y78" s="26" t="s">
        <v>42</v>
      </c>
      <c r="Z78" s="26" t="s">
        <v>42</v>
      </c>
      <c r="AA78" s="26"/>
      <c r="AB78" s="26" t="s">
        <v>78</v>
      </c>
      <c r="AC78" s="26" t="s">
        <v>42</v>
      </c>
      <c r="AD78" s="26" t="s">
        <v>42</v>
      </c>
      <c r="AE78" s="26"/>
      <c r="AF78" s="26" t="s">
        <v>78</v>
      </c>
      <c r="AH78" s="26"/>
      <c r="AI78" s="26"/>
      <c r="AJ78" s="26"/>
      <c r="AM78" s="26"/>
      <c r="AN78" s="26"/>
      <c r="AO78" s="26"/>
      <c r="AP78" s="26"/>
      <c r="AQ78" s="26"/>
      <c r="AR78" s="26"/>
    </row>
    <row r="79" spans="1:44" outlineLevel="1" x14ac:dyDescent="0.25">
      <c r="A79" s="20" t="s">
        <v>571</v>
      </c>
      <c r="B79" s="21" t="s">
        <v>570</v>
      </c>
      <c r="D79" s="26" t="s">
        <v>42</v>
      </c>
      <c r="E79" s="26" t="s">
        <v>42</v>
      </c>
      <c r="F79" s="26" t="s">
        <v>42</v>
      </c>
      <c r="G79" s="60" t="s">
        <v>42</v>
      </c>
      <c r="I79" s="26" t="s">
        <v>78</v>
      </c>
      <c r="J79" s="26" t="s">
        <v>42</v>
      </c>
      <c r="K79" s="26" t="s">
        <v>42</v>
      </c>
      <c r="M79" s="60" t="s">
        <v>78</v>
      </c>
      <c r="N79" s="26" t="s">
        <v>42</v>
      </c>
      <c r="O79" s="60" t="s">
        <v>42</v>
      </c>
      <c r="Q79" s="26" t="s">
        <v>78</v>
      </c>
      <c r="S79" s="26" t="s">
        <v>42</v>
      </c>
      <c r="T79" s="26" t="s">
        <v>42</v>
      </c>
      <c r="U79" s="26" t="s">
        <v>42</v>
      </c>
      <c r="V79" s="26" t="s">
        <v>42</v>
      </c>
      <c r="W79" s="26"/>
      <c r="X79" s="26" t="s">
        <v>78</v>
      </c>
      <c r="Y79" s="26" t="s">
        <v>42</v>
      </c>
      <c r="Z79" s="26" t="s">
        <v>42</v>
      </c>
      <c r="AA79" s="26"/>
      <c r="AB79" s="26" t="s">
        <v>78</v>
      </c>
      <c r="AC79" s="26" t="s">
        <v>42</v>
      </c>
      <c r="AD79" s="26" t="s">
        <v>42</v>
      </c>
      <c r="AE79" s="26"/>
      <c r="AF79" s="26" t="s">
        <v>78</v>
      </c>
      <c r="AH79" s="26"/>
      <c r="AI79" s="26"/>
      <c r="AJ79" s="26"/>
      <c r="AM79" s="26"/>
      <c r="AN79" s="26"/>
      <c r="AO79" s="26"/>
      <c r="AP79" s="26"/>
      <c r="AQ79" s="26"/>
      <c r="AR79" s="26"/>
    </row>
    <row r="80" spans="1:44" outlineLevel="1" x14ac:dyDescent="0.25">
      <c r="A80" s="20" t="s">
        <v>569</v>
      </c>
      <c r="B80" s="21" t="s">
        <v>568</v>
      </c>
      <c r="D80" s="26" t="s">
        <v>42</v>
      </c>
      <c r="E80" s="26" t="s">
        <v>42</v>
      </c>
      <c r="F80" s="26" t="s">
        <v>42</v>
      </c>
      <c r="G80" s="60" t="s">
        <v>42</v>
      </c>
      <c r="I80" s="26" t="s">
        <v>78</v>
      </c>
      <c r="J80" s="26" t="s">
        <v>42</v>
      </c>
      <c r="K80" s="26" t="s">
        <v>42</v>
      </c>
      <c r="M80" s="60" t="s">
        <v>78</v>
      </c>
      <c r="N80" s="26" t="s">
        <v>42</v>
      </c>
      <c r="O80" s="60" t="s">
        <v>42</v>
      </c>
      <c r="Q80" s="26" t="s">
        <v>78</v>
      </c>
      <c r="S80" s="26" t="s">
        <v>42</v>
      </c>
      <c r="T80" s="26" t="s">
        <v>42</v>
      </c>
      <c r="U80" s="26" t="s">
        <v>42</v>
      </c>
      <c r="V80" s="26" t="s">
        <v>42</v>
      </c>
      <c r="W80" s="26"/>
      <c r="X80" s="26" t="s">
        <v>78</v>
      </c>
      <c r="Y80" s="26" t="s">
        <v>42</v>
      </c>
      <c r="Z80" s="26" t="s">
        <v>42</v>
      </c>
      <c r="AA80" s="26"/>
      <c r="AB80" s="26" t="s">
        <v>78</v>
      </c>
      <c r="AC80" s="26" t="s">
        <v>42</v>
      </c>
      <c r="AD80" s="26" t="s">
        <v>42</v>
      </c>
      <c r="AE80" s="26"/>
      <c r="AF80" s="26" t="s">
        <v>78</v>
      </c>
      <c r="AH80" s="26"/>
      <c r="AI80" s="26"/>
      <c r="AJ80" s="26"/>
      <c r="AM80" s="26"/>
      <c r="AN80" s="26"/>
      <c r="AO80" s="26"/>
      <c r="AP80" s="26"/>
      <c r="AQ80" s="26"/>
      <c r="AR80" s="26"/>
    </row>
    <row r="81" spans="1:44" ht="30" outlineLevel="1" x14ac:dyDescent="0.25">
      <c r="A81" s="20" t="s">
        <v>567</v>
      </c>
      <c r="B81" s="21" t="s">
        <v>566</v>
      </c>
      <c r="D81" s="26" t="s">
        <v>42</v>
      </c>
      <c r="E81" s="26" t="s">
        <v>42</v>
      </c>
      <c r="F81" s="26" t="s">
        <v>42</v>
      </c>
      <c r="G81" s="60" t="s">
        <v>42</v>
      </c>
      <c r="I81" s="26" t="s">
        <v>78</v>
      </c>
      <c r="J81" s="26" t="s">
        <v>42</v>
      </c>
      <c r="K81" s="26" t="s">
        <v>42</v>
      </c>
      <c r="M81" s="60" t="s">
        <v>78</v>
      </c>
      <c r="N81" s="26" t="s">
        <v>42</v>
      </c>
      <c r="O81" s="60" t="s">
        <v>42</v>
      </c>
      <c r="Q81" s="26" t="s">
        <v>78</v>
      </c>
      <c r="S81" s="26" t="s">
        <v>42</v>
      </c>
      <c r="T81" s="26" t="s">
        <v>42</v>
      </c>
      <c r="U81" s="26" t="s">
        <v>42</v>
      </c>
      <c r="V81" s="26" t="s">
        <v>42</v>
      </c>
      <c r="W81" s="26"/>
      <c r="X81" s="26" t="s">
        <v>78</v>
      </c>
      <c r="Y81" s="26" t="s">
        <v>42</v>
      </c>
      <c r="Z81" s="26" t="s">
        <v>42</v>
      </c>
      <c r="AA81" s="26"/>
      <c r="AB81" s="26" t="s">
        <v>78</v>
      </c>
      <c r="AC81" s="26" t="s">
        <v>42</v>
      </c>
      <c r="AD81" s="26" t="s">
        <v>42</v>
      </c>
      <c r="AE81" s="26"/>
      <c r="AF81" s="26" t="s">
        <v>78</v>
      </c>
      <c r="AH81" s="26"/>
      <c r="AI81" s="26"/>
      <c r="AJ81" s="26"/>
      <c r="AM81" s="26"/>
      <c r="AN81" s="26"/>
      <c r="AO81" s="26"/>
      <c r="AP81" s="26"/>
      <c r="AQ81" s="26"/>
      <c r="AR81" s="26"/>
    </row>
    <row r="82" spans="1:44" x14ac:dyDescent="0.25">
      <c r="A82" s="18" t="s">
        <v>565</v>
      </c>
      <c r="B82" s="19" t="s">
        <v>564</v>
      </c>
      <c r="C82" t="s">
        <v>563</v>
      </c>
      <c r="D82" s="26" t="s">
        <v>42</v>
      </c>
      <c r="E82" s="26" t="s">
        <v>42</v>
      </c>
      <c r="F82" s="26" t="s">
        <v>42</v>
      </c>
      <c r="G82" s="60" t="s">
        <v>42</v>
      </c>
      <c r="H82" s="26" t="s">
        <v>42</v>
      </c>
      <c r="I82" s="26" t="s">
        <v>42</v>
      </c>
      <c r="J82" s="26" t="s">
        <v>42</v>
      </c>
      <c r="K82" s="26" t="s">
        <v>42</v>
      </c>
      <c r="L82" s="26" t="s">
        <v>42</v>
      </c>
      <c r="M82" s="60" t="s">
        <v>42</v>
      </c>
      <c r="N82" s="60" t="s">
        <v>42</v>
      </c>
      <c r="O82" s="60" t="s">
        <v>42</v>
      </c>
      <c r="P82" s="60" t="s">
        <v>42</v>
      </c>
      <c r="Q82" s="60" t="s">
        <v>42</v>
      </c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H82" s="26"/>
      <c r="AI82" s="26"/>
      <c r="AJ82" s="26"/>
      <c r="AM82" s="26"/>
      <c r="AN82" s="26"/>
      <c r="AO82" s="26"/>
      <c r="AP82" s="26"/>
      <c r="AQ82" s="26"/>
      <c r="AR82" s="26"/>
    </row>
    <row r="83" spans="1:44" outlineLevel="1" x14ac:dyDescent="0.25">
      <c r="A83" s="20" t="s">
        <v>562</v>
      </c>
      <c r="B83" s="21" t="s">
        <v>561</v>
      </c>
      <c r="D83" s="26" t="s">
        <v>42</v>
      </c>
      <c r="E83" s="26" t="s">
        <v>42</v>
      </c>
      <c r="F83" s="26" t="s">
        <v>42</v>
      </c>
      <c r="G83" s="60" t="s">
        <v>42</v>
      </c>
      <c r="H83" s="26" t="s">
        <v>42</v>
      </c>
      <c r="I83" s="26" t="s">
        <v>42</v>
      </c>
      <c r="J83" s="26" t="s">
        <v>42</v>
      </c>
      <c r="K83" s="26" t="s">
        <v>42</v>
      </c>
      <c r="L83" s="26" t="s">
        <v>42</v>
      </c>
      <c r="M83" s="60" t="s">
        <v>42</v>
      </c>
      <c r="N83" s="60" t="s">
        <v>42</v>
      </c>
      <c r="O83" s="60" t="s">
        <v>42</v>
      </c>
      <c r="P83" s="60" t="s">
        <v>42</v>
      </c>
      <c r="Q83" s="60" t="s">
        <v>42</v>
      </c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H83" s="26" t="s">
        <v>42</v>
      </c>
      <c r="AI83" s="26" t="s">
        <v>42</v>
      </c>
      <c r="AJ83" s="26" t="s">
        <v>42</v>
      </c>
      <c r="AK83" s="26" t="s">
        <v>42</v>
      </c>
      <c r="AM83" s="26"/>
      <c r="AN83" s="26"/>
      <c r="AO83" s="26"/>
      <c r="AP83" s="26"/>
      <c r="AQ83" s="26"/>
      <c r="AR83" s="26"/>
    </row>
    <row r="84" spans="1:44" ht="30" outlineLevel="1" x14ac:dyDescent="0.25">
      <c r="A84" s="20" t="s">
        <v>560</v>
      </c>
      <c r="B84" s="21" t="s">
        <v>559</v>
      </c>
      <c r="D84" s="26" t="s">
        <v>42</v>
      </c>
      <c r="E84" s="26" t="s">
        <v>42</v>
      </c>
      <c r="F84" s="26" t="s">
        <v>42</v>
      </c>
      <c r="G84" s="60" t="s">
        <v>42</v>
      </c>
      <c r="H84" s="26" t="s">
        <v>42</v>
      </c>
      <c r="I84" s="26" t="s">
        <v>42</v>
      </c>
      <c r="J84" s="26" t="s">
        <v>42</v>
      </c>
      <c r="K84" s="26" t="s">
        <v>42</v>
      </c>
      <c r="L84" s="26" t="s">
        <v>42</v>
      </c>
      <c r="M84" s="60" t="s">
        <v>42</v>
      </c>
      <c r="N84" s="60" t="s">
        <v>42</v>
      </c>
      <c r="O84" s="60" t="s">
        <v>42</v>
      </c>
      <c r="P84" s="60" t="s">
        <v>42</v>
      </c>
      <c r="Q84" s="60" t="s">
        <v>42</v>
      </c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H84" s="26" t="s">
        <v>42</v>
      </c>
      <c r="AI84" s="26" t="s">
        <v>42</v>
      </c>
      <c r="AJ84" s="26" t="s">
        <v>42</v>
      </c>
      <c r="AK84" s="26" t="s">
        <v>42</v>
      </c>
      <c r="AM84" s="26"/>
      <c r="AN84" s="26"/>
      <c r="AO84" s="26"/>
      <c r="AP84" s="26"/>
      <c r="AQ84" s="26"/>
      <c r="AR84" s="26"/>
    </row>
    <row r="85" spans="1:44" outlineLevel="1" x14ac:dyDescent="0.25">
      <c r="A85" s="20" t="s">
        <v>558</v>
      </c>
      <c r="B85" s="21" t="s">
        <v>557</v>
      </c>
      <c r="D85" s="26" t="s">
        <v>42</v>
      </c>
      <c r="E85" s="26" t="s">
        <v>42</v>
      </c>
      <c r="F85" s="26" t="s">
        <v>42</v>
      </c>
      <c r="G85" s="60" t="s">
        <v>42</v>
      </c>
      <c r="H85" s="26" t="s">
        <v>42</v>
      </c>
      <c r="I85" s="26" t="s">
        <v>42</v>
      </c>
      <c r="J85" s="26" t="s">
        <v>42</v>
      </c>
      <c r="K85" s="26" t="s">
        <v>42</v>
      </c>
      <c r="L85" s="26" t="s">
        <v>42</v>
      </c>
      <c r="M85" s="60" t="s">
        <v>42</v>
      </c>
      <c r="N85" s="60" t="s">
        <v>42</v>
      </c>
      <c r="O85" s="60" t="s">
        <v>42</v>
      </c>
      <c r="P85" s="60" t="s">
        <v>42</v>
      </c>
      <c r="Q85" s="60" t="s">
        <v>42</v>
      </c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H85" s="26" t="s">
        <v>42</v>
      </c>
      <c r="AI85" s="26" t="s">
        <v>42</v>
      </c>
      <c r="AJ85" s="26" t="s">
        <v>42</v>
      </c>
      <c r="AK85" s="26" t="s">
        <v>42</v>
      </c>
      <c r="AM85" s="26"/>
      <c r="AN85" s="26"/>
      <c r="AO85" s="26"/>
      <c r="AP85" s="26"/>
      <c r="AQ85" s="26"/>
      <c r="AR85" s="26"/>
    </row>
    <row r="86" spans="1:44" outlineLevel="1" x14ac:dyDescent="0.25">
      <c r="A86" t="s">
        <v>816</v>
      </c>
      <c r="B86" t="s">
        <v>817</v>
      </c>
      <c r="D86" s="17" t="s">
        <v>78</v>
      </c>
      <c r="E86" s="17" t="s">
        <v>78</v>
      </c>
      <c r="F86" s="17" t="s">
        <v>78</v>
      </c>
      <c r="G86" s="17" t="s">
        <v>78</v>
      </c>
      <c r="H86" s="17" t="s">
        <v>78</v>
      </c>
      <c r="I86" s="17" t="s">
        <v>78</v>
      </c>
      <c r="J86" s="17" t="s">
        <v>78</v>
      </c>
      <c r="K86" s="17" t="s">
        <v>78</v>
      </c>
      <c r="L86" s="17" t="s">
        <v>78</v>
      </c>
      <c r="M86" s="17" t="s">
        <v>78</v>
      </c>
      <c r="N86" s="17" t="s">
        <v>78</v>
      </c>
      <c r="O86" s="17" t="s">
        <v>78</v>
      </c>
      <c r="P86" s="17" t="s">
        <v>78</v>
      </c>
      <c r="Q86" s="17" t="s">
        <v>78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H86" s="17" t="s">
        <v>78</v>
      </c>
      <c r="AI86" s="17" t="s">
        <v>78</v>
      </c>
      <c r="AJ86" s="17" t="s">
        <v>78</v>
      </c>
      <c r="AK86" s="17" t="s">
        <v>78</v>
      </c>
    </row>
    <row r="87" spans="1:44" outlineLevel="1" x14ac:dyDescent="0.25">
      <c r="A87" t="s">
        <v>818</v>
      </c>
      <c r="B87" t="s">
        <v>819</v>
      </c>
      <c r="D87" s="17" t="s">
        <v>78</v>
      </c>
      <c r="E87" s="17" t="s">
        <v>78</v>
      </c>
      <c r="F87" s="17" t="s">
        <v>78</v>
      </c>
      <c r="G87" s="17" t="s">
        <v>78</v>
      </c>
      <c r="H87" s="17" t="s">
        <v>78</v>
      </c>
      <c r="I87" s="17" t="s">
        <v>78</v>
      </c>
      <c r="J87" s="17" t="s">
        <v>78</v>
      </c>
      <c r="K87" s="17" t="s">
        <v>78</v>
      </c>
      <c r="L87" s="17" t="s">
        <v>78</v>
      </c>
      <c r="M87" s="17" t="s">
        <v>78</v>
      </c>
      <c r="N87" s="17" t="s">
        <v>78</v>
      </c>
      <c r="O87" s="17" t="s">
        <v>78</v>
      </c>
      <c r="P87" s="17" t="s">
        <v>78</v>
      </c>
      <c r="Q87" s="17" t="s">
        <v>78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H87" s="17" t="s">
        <v>78</v>
      </c>
      <c r="AI87" s="17" t="s">
        <v>78</v>
      </c>
      <c r="AJ87" s="17" t="s">
        <v>78</v>
      </c>
      <c r="AK87" s="17" t="s">
        <v>78</v>
      </c>
    </row>
    <row r="88" spans="1:44" outlineLevel="1" x14ac:dyDescent="0.25">
      <c r="A88" s="20" t="s">
        <v>556</v>
      </c>
      <c r="B88" s="21" t="s">
        <v>555</v>
      </c>
      <c r="D88" s="26" t="s">
        <v>42</v>
      </c>
      <c r="E88" s="26" t="s">
        <v>42</v>
      </c>
      <c r="F88" s="26" t="s">
        <v>42</v>
      </c>
      <c r="G88" s="60" t="s">
        <v>42</v>
      </c>
      <c r="H88" s="26" t="s">
        <v>42</v>
      </c>
      <c r="I88" s="26" t="s">
        <v>42</v>
      </c>
      <c r="J88" s="26" t="s">
        <v>42</v>
      </c>
      <c r="K88" s="26" t="s">
        <v>42</v>
      </c>
      <c r="L88" s="26" t="s">
        <v>42</v>
      </c>
      <c r="M88" s="60" t="s">
        <v>42</v>
      </c>
      <c r="N88" s="60" t="s">
        <v>42</v>
      </c>
      <c r="O88" s="60" t="s">
        <v>42</v>
      </c>
      <c r="P88" s="60" t="s">
        <v>42</v>
      </c>
      <c r="Q88" s="60" t="s">
        <v>42</v>
      </c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H88" s="26" t="s">
        <v>42</v>
      </c>
      <c r="AI88" s="26" t="s">
        <v>42</v>
      </c>
      <c r="AJ88" s="26" t="s">
        <v>42</v>
      </c>
      <c r="AK88" s="26" t="s">
        <v>42</v>
      </c>
      <c r="AM88" s="26"/>
      <c r="AN88" s="26"/>
      <c r="AO88" s="26"/>
      <c r="AP88" s="26"/>
      <c r="AQ88" s="26"/>
      <c r="AR88" s="26"/>
    </row>
    <row r="89" spans="1:44" ht="30" outlineLevel="1" x14ac:dyDescent="0.25">
      <c r="A89" s="20" t="s">
        <v>554</v>
      </c>
      <c r="B89" s="21" t="s">
        <v>553</v>
      </c>
      <c r="D89" s="26" t="s">
        <v>42</v>
      </c>
      <c r="E89" s="26" t="s">
        <v>42</v>
      </c>
      <c r="F89" s="26" t="s">
        <v>42</v>
      </c>
      <c r="G89" s="60" t="s">
        <v>42</v>
      </c>
      <c r="H89" s="26" t="s">
        <v>42</v>
      </c>
      <c r="I89" s="26" t="s">
        <v>42</v>
      </c>
      <c r="J89" s="26" t="s">
        <v>42</v>
      </c>
      <c r="K89" s="26" t="s">
        <v>42</v>
      </c>
      <c r="L89" s="26" t="s">
        <v>42</v>
      </c>
      <c r="M89" s="60" t="s">
        <v>42</v>
      </c>
      <c r="N89" s="60" t="s">
        <v>42</v>
      </c>
      <c r="O89" s="60" t="s">
        <v>42</v>
      </c>
      <c r="P89" s="60" t="s">
        <v>42</v>
      </c>
      <c r="Q89" s="60" t="s">
        <v>42</v>
      </c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H89" s="26" t="s">
        <v>42</v>
      </c>
      <c r="AI89" s="26" t="s">
        <v>42</v>
      </c>
      <c r="AJ89" s="26" t="s">
        <v>42</v>
      </c>
      <c r="AK89" s="26" t="s">
        <v>42</v>
      </c>
      <c r="AM89" s="26"/>
      <c r="AN89" s="26"/>
      <c r="AO89" s="26"/>
      <c r="AP89" s="26"/>
      <c r="AQ89" s="26"/>
      <c r="AR89" s="26"/>
    </row>
    <row r="90" spans="1:44" x14ac:dyDescent="0.25">
      <c r="A90" s="18" t="s">
        <v>552</v>
      </c>
      <c r="B90" s="19" t="s">
        <v>551</v>
      </c>
      <c r="C90" t="s">
        <v>550</v>
      </c>
      <c r="D90" s="26" t="s">
        <v>42</v>
      </c>
      <c r="E90" s="26" t="s">
        <v>42</v>
      </c>
      <c r="F90" s="26" t="s">
        <v>42</v>
      </c>
      <c r="G90" s="60" t="s">
        <v>42</v>
      </c>
      <c r="H90" s="26" t="s">
        <v>42</v>
      </c>
      <c r="I90" s="26" t="s">
        <v>42</v>
      </c>
      <c r="J90" s="26" t="s">
        <v>42</v>
      </c>
      <c r="K90" s="26" t="s">
        <v>42</v>
      </c>
      <c r="L90" s="26" t="s">
        <v>42</v>
      </c>
      <c r="M90" s="60" t="s">
        <v>42</v>
      </c>
      <c r="N90" s="60" t="s">
        <v>42</v>
      </c>
      <c r="O90" s="60" t="s">
        <v>42</v>
      </c>
      <c r="P90" s="60" t="s">
        <v>42</v>
      </c>
      <c r="Q90" s="60" t="s">
        <v>42</v>
      </c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H90" s="26"/>
      <c r="AI90" s="26"/>
      <c r="AJ90" s="26"/>
      <c r="AM90" s="26"/>
      <c r="AN90" s="26"/>
      <c r="AO90" s="26"/>
      <c r="AP90" s="26"/>
      <c r="AQ90" s="26"/>
      <c r="AR90" s="26"/>
    </row>
    <row r="91" spans="1:44" hidden="1" outlineLevel="1" x14ac:dyDescent="0.25">
      <c r="A91" s="20" t="s">
        <v>549</v>
      </c>
      <c r="B91" s="21" t="s">
        <v>548</v>
      </c>
      <c r="D91" s="26" t="s">
        <v>42</v>
      </c>
      <c r="E91" s="26" t="s">
        <v>42</v>
      </c>
      <c r="F91" s="26" t="s">
        <v>42</v>
      </c>
      <c r="G91" s="60" t="s">
        <v>42</v>
      </c>
      <c r="H91" s="26" t="s">
        <v>42</v>
      </c>
      <c r="I91" s="26" t="s">
        <v>42</v>
      </c>
      <c r="J91" s="26" t="s">
        <v>42</v>
      </c>
      <c r="K91" s="26" t="s">
        <v>42</v>
      </c>
      <c r="L91" s="26" t="s">
        <v>42</v>
      </c>
      <c r="M91" s="60" t="s">
        <v>42</v>
      </c>
      <c r="N91" s="60" t="s">
        <v>42</v>
      </c>
      <c r="O91" s="60" t="s">
        <v>42</v>
      </c>
      <c r="P91" s="60" t="s">
        <v>42</v>
      </c>
      <c r="Q91" s="60" t="s">
        <v>42</v>
      </c>
      <c r="S91" s="26" t="s">
        <v>42</v>
      </c>
      <c r="T91" s="26" t="s">
        <v>42</v>
      </c>
      <c r="U91" s="26" t="s">
        <v>42</v>
      </c>
      <c r="V91" s="26" t="s">
        <v>42</v>
      </c>
      <c r="W91" s="26" t="s">
        <v>42</v>
      </c>
      <c r="X91" s="26" t="s">
        <v>42</v>
      </c>
      <c r="Y91" s="26" t="s">
        <v>42</v>
      </c>
      <c r="Z91" s="26" t="s">
        <v>42</v>
      </c>
      <c r="AA91" s="26" t="s">
        <v>42</v>
      </c>
      <c r="AB91" s="26" t="s">
        <v>42</v>
      </c>
      <c r="AC91" s="60" t="s">
        <v>42</v>
      </c>
      <c r="AD91" s="60" t="s">
        <v>42</v>
      </c>
      <c r="AE91" s="60" t="s">
        <v>42</v>
      </c>
      <c r="AF91" s="60" t="s">
        <v>42</v>
      </c>
      <c r="AH91" s="26"/>
      <c r="AI91" s="26"/>
      <c r="AJ91" s="26"/>
      <c r="AM91" s="26"/>
      <c r="AN91" s="26"/>
      <c r="AO91" s="26"/>
      <c r="AP91" s="26"/>
      <c r="AQ91" s="26"/>
      <c r="AR91" s="26"/>
    </row>
    <row r="92" spans="1:44" hidden="1" outlineLevel="1" x14ac:dyDescent="0.25">
      <c r="A92" s="20" t="s">
        <v>547</v>
      </c>
      <c r="B92" s="21" t="s">
        <v>546</v>
      </c>
      <c r="D92" s="26" t="s">
        <v>42</v>
      </c>
      <c r="E92" s="26" t="s">
        <v>42</v>
      </c>
      <c r="F92" s="26" t="s">
        <v>42</v>
      </c>
      <c r="G92" s="60" t="s">
        <v>42</v>
      </c>
      <c r="H92" s="26" t="s">
        <v>42</v>
      </c>
      <c r="I92" s="26" t="s">
        <v>42</v>
      </c>
      <c r="J92" s="26" t="s">
        <v>42</v>
      </c>
      <c r="K92" s="26" t="s">
        <v>42</v>
      </c>
      <c r="L92" s="26" t="s">
        <v>42</v>
      </c>
      <c r="M92" s="60" t="s">
        <v>42</v>
      </c>
      <c r="N92" s="60" t="s">
        <v>42</v>
      </c>
      <c r="O92" s="60" t="s">
        <v>42</v>
      </c>
      <c r="P92" s="60" t="s">
        <v>42</v>
      </c>
      <c r="Q92" s="60" t="s">
        <v>42</v>
      </c>
      <c r="S92" s="26" t="s">
        <v>42</v>
      </c>
      <c r="T92" s="26" t="s">
        <v>42</v>
      </c>
      <c r="U92" s="26" t="s">
        <v>42</v>
      </c>
      <c r="V92" s="26" t="s">
        <v>42</v>
      </c>
      <c r="W92" s="26" t="s">
        <v>42</v>
      </c>
      <c r="X92" s="26" t="s">
        <v>42</v>
      </c>
      <c r="Y92" s="26" t="s">
        <v>42</v>
      </c>
      <c r="Z92" s="26" t="s">
        <v>42</v>
      </c>
      <c r="AA92" s="26" t="s">
        <v>42</v>
      </c>
      <c r="AB92" s="26" t="s">
        <v>42</v>
      </c>
      <c r="AC92" s="60" t="s">
        <v>42</v>
      </c>
      <c r="AD92" s="60" t="s">
        <v>42</v>
      </c>
      <c r="AE92" s="60" t="s">
        <v>42</v>
      </c>
      <c r="AF92" s="60" t="s">
        <v>42</v>
      </c>
      <c r="AH92" s="26"/>
      <c r="AI92" s="26"/>
      <c r="AJ92" s="26"/>
      <c r="AM92" s="26"/>
      <c r="AN92" s="26"/>
      <c r="AO92" s="26"/>
      <c r="AP92" s="26"/>
      <c r="AQ92" s="26"/>
      <c r="AR92" s="26"/>
    </row>
    <row r="93" spans="1:44" hidden="1" outlineLevel="1" x14ac:dyDescent="0.25">
      <c r="A93" s="20" t="s">
        <v>545</v>
      </c>
      <c r="B93" s="21" t="s">
        <v>544</v>
      </c>
      <c r="D93" s="26" t="s">
        <v>42</v>
      </c>
      <c r="E93" s="26" t="s">
        <v>42</v>
      </c>
      <c r="F93" s="26" t="s">
        <v>42</v>
      </c>
      <c r="G93" s="60" t="s">
        <v>42</v>
      </c>
      <c r="H93" s="26" t="s">
        <v>42</v>
      </c>
      <c r="I93" s="26" t="s">
        <v>42</v>
      </c>
      <c r="J93" s="26" t="s">
        <v>42</v>
      </c>
      <c r="K93" s="26" t="s">
        <v>42</v>
      </c>
      <c r="L93" s="26" t="s">
        <v>42</v>
      </c>
      <c r="M93" s="60" t="s">
        <v>42</v>
      </c>
      <c r="N93" s="60" t="s">
        <v>42</v>
      </c>
      <c r="O93" s="60" t="s">
        <v>42</v>
      </c>
      <c r="P93" s="60" t="s">
        <v>42</v>
      </c>
      <c r="Q93" s="60" t="s">
        <v>42</v>
      </c>
      <c r="S93" s="26" t="s">
        <v>42</v>
      </c>
      <c r="T93" s="26" t="s">
        <v>42</v>
      </c>
      <c r="U93" s="26" t="s">
        <v>42</v>
      </c>
      <c r="V93" s="26" t="s">
        <v>42</v>
      </c>
      <c r="W93" s="26" t="s">
        <v>42</v>
      </c>
      <c r="X93" s="26" t="s">
        <v>42</v>
      </c>
      <c r="Y93" s="26" t="s">
        <v>42</v>
      </c>
      <c r="Z93" s="26" t="s">
        <v>42</v>
      </c>
      <c r="AA93" s="26" t="s">
        <v>42</v>
      </c>
      <c r="AB93" s="26" t="s">
        <v>42</v>
      </c>
      <c r="AC93" s="60" t="s">
        <v>42</v>
      </c>
      <c r="AD93" s="60" t="s">
        <v>42</v>
      </c>
      <c r="AE93" s="60" t="s">
        <v>42</v>
      </c>
      <c r="AF93" s="60" t="s">
        <v>42</v>
      </c>
      <c r="AH93" s="26"/>
      <c r="AI93" s="26"/>
      <c r="AJ93" s="26"/>
      <c r="AM93" s="26"/>
      <c r="AN93" s="26"/>
      <c r="AO93" s="26"/>
      <c r="AP93" s="26"/>
      <c r="AQ93" s="26"/>
      <c r="AR93" s="26"/>
    </row>
    <row r="94" spans="1:44" ht="30" hidden="1" outlineLevel="1" x14ac:dyDescent="0.25">
      <c r="A94" s="20" t="s">
        <v>543</v>
      </c>
      <c r="B94" s="21" t="s">
        <v>542</v>
      </c>
      <c r="D94" s="26" t="s">
        <v>42</v>
      </c>
      <c r="E94" s="26" t="s">
        <v>42</v>
      </c>
      <c r="F94" s="26" t="s">
        <v>42</v>
      </c>
      <c r="G94" s="60" t="s">
        <v>42</v>
      </c>
      <c r="H94" s="26" t="s">
        <v>42</v>
      </c>
      <c r="I94" s="26" t="s">
        <v>42</v>
      </c>
      <c r="J94" s="26" t="s">
        <v>42</v>
      </c>
      <c r="K94" s="26" t="s">
        <v>42</v>
      </c>
      <c r="L94" s="26" t="s">
        <v>42</v>
      </c>
      <c r="M94" s="60" t="s">
        <v>42</v>
      </c>
      <c r="N94" s="60" t="s">
        <v>42</v>
      </c>
      <c r="O94" s="60" t="s">
        <v>42</v>
      </c>
      <c r="P94" s="60" t="s">
        <v>42</v>
      </c>
      <c r="Q94" s="60" t="s">
        <v>42</v>
      </c>
      <c r="S94" s="26" t="s">
        <v>42</v>
      </c>
      <c r="T94" s="26" t="s">
        <v>42</v>
      </c>
      <c r="U94" s="26" t="s">
        <v>42</v>
      </c>
      <c r="V94" s="26" t="s">
        <v>42</v>
      </c>
      <c r="W94" s="26" t="s">
        <v>42</v>
      </c>
      <c r="X94" s="26" t="s">
        <v>42</v>
      </c>
      <c r="Y94" s="26" t="s">
        <v>42</v>
      </c>
      <c r="Z94" s="26" t="s">
        <v>42</v>
      </c>
      <c r="AA94" s="26" t="s">
        <v>42</v>
      </c>
      <c r="AB94" s="26" t="s">
        <v>42</v>
      </c>
      <c r="AC94" s="60" t="s">
        <v>42</v>
      </c>
      <c r="AD94" s="60" t="s">
        <v>42</v>
      </c>
      <c r="AE94" s="60" t="s">
        <v>42</v>
      </c>
      <c r="AF94" s="60" t="s">
        <v>42</v>
      </c>
      <c r="AH94" s="26"/>
      <c r="AI94" s="26"/>
      <c r="AJ94" s="26"/>
      <c r="AM94" s="26"/>
      <c r="AN94" s="26"/>
      <c r="AO94" s="26"/>
      <c r="AP94" s="26"/>
      <c r="AQ94" s="26"/>
      <c r="AR94" s="26"/>
    </row>
    <row r="95" spans="1:44" hidden="1" outlineLevel="1" x14ac:dyDescent="0.25">
      <c r="A95" s="20" t="s">
        <v>541</v>
      </c>
      <c r="B95" s="21" t="s">
        <v>540</v>
      </c>
      <c r="D95" s="26" t="s">
        <v>42</v>
      </c>
      <c r="E95" s="26" t="s">
        <v>42</v>
      </c>
      <c r="F95" s="26" t="s">
        <v>42</v>
      </c>
      <c r="G95" s="60" t="s">
        <v>42</v>
      </c>
      <c r="H95" s="26" t="s">
        <v>42</v>
      </c>
      <c r="I95" s="26" t="s">
        <v>42</v>
      </c>
      <c r="J95" s="26" t="s">
        <v>42</v>
      </c>
      <c r="K95" s="26" t="s">
        <v>42</v>
      </c>
      <c r="L95" s="26" t="s">
        <v>42</v>
      </c>
      <c r="M95" s="60" t="s">
        <v>42</v>
      </c>
      <c r="N95" s="60" t="s">
        <v>42</v>
      </c>
      <c r="O95" s="60" t="s">
        <v>42</v>
      </c>
      <c r="P95" s="60" t="s">
        <v>42</v>
      </c>
      <c r="Q95" s="60" t="s">
        <v>42</v>
      </c>
      <c r="S95" s="26" t="s">
        <v>42</v>
      </c>
      <c r="T95" s="26" t="s">
        <v>42</v>
      </c>
      <c r="U95" s="26" t="s">
        <v>42</v>
      </c>
      <c r="V95" s="26" t="s">
        <v>42</v>
      </c>
      <c r="W95" s="26" t="s">
        <v>42</v>
      </c>
      <c r="X95" s="26" t="s">
        <v>42</v>
      </c>
      <c r="Y95" s="26" t="s">
        <v>42</v>
      </c>
      <c r="Z95" s="26" t="s">
        <v>42</v>
      </c>
      <c r="AA95" s="26" t="s">
        <v>42</v>
      </c>
      <c r="AB95" s="26" t="s">
        <v>42</v>
      </c>
      <c r="AC95" s="60" t="s">
        <v>42</v>
      </c>
      <c r="AD95" s="60" t="s">
        <v>42</v>
      </c>
      <c r="AE95" s="60" t="s">
        <v>42</v>
      </c>
      <c r="AF95" s="60" t="s">
        <v>42</v>
      </c>
      <c r="AH95" s="26"/>
      <c r="AI95" s="26"/>
      <c r="AJ95" s="26"/>
      <c r="AM95" s="26"/>
      <c r="AN95" s="26"/>
      <c r="AO95" s="26"/>
      <c r="AP95" s="26"/>
      <c r="AQ95" s="26"/>
      <c r="AR95" s="26"/>
    </row>
    <row r="96" spans="1:44" hidden="1" outlineLevel="1" x14ac:dyDescent="0.25">
      <c r="A96" s="20" t="s">
        <v>539</v>
      </c>
      <c r="B96" s="21" t="s">
        <v>538</v>
      </c>
      <c r="D96" s="26" t="s">
        <v>42</v>
      </c>
      <c r="E96" s="26" t="s">
        <v>42</v>
      </c>
      <c r="F96" s="26" t="s">
        <v>42</v>
      </c>
      <c r="G96" s="60" t="s">
        <v>42</v>
      </c>
      <c r="H96" s="26" t="s">
        <v>42</v>
      </c>
      <c r="I96" s="26" t="s">
        <v>42</v>
      </c>
      <c r="J96" s="26" t="s">
        <v>42</v>
      </c>
      <c r="K96" s="26" t="s">
        <v>42</v>
      </c>
      <c r="L96" s="26" t="s">
        <v>42</v>
      </c>
      <c r="M96" s="60" t="s">
        <v>42</v>
      </c>
      <c r="N96" s="60" t="s">
        <v>42</v>
      </c>
      <c r="O96" s="60" t="s">
        <v>42</v>
      </c>
      <c r="P96" s="60" t="s">
        <v>42</v>
      </c>
      <c r="Q96" s="60" t="s">
        <v>42</v>
      </c>
      <c r="S96" s="26" t="s">
        <v>42</v>
      </c>
      <c r="T96" s="26" t="s">
        <v>42</v>
      </c>
      <c r="U96" s="26" t="s">
        <v>42</v>
      </c>
      <c r="V96" s="26" t="s">
        <v>42</v>
      </c>
      <c r="W96" s="26" t="s">
        <v>42</v>
      </c>
      <c r="X96" s="26" t="s">
        <v>42</v>
      </c>
      <c r="Y96" s="26" t="s">
        <v>42</v>
      </c>
      <c r="Z96" s="26" t="s">
        <v>42</v>
      </c>
      <c r="AA96" s="26" t="s">
        <v>42</v>
      </c>
      <c r="AB96" s="26" t="s">
        <v>42</v>
      </c>
      <c r="AC96" s="60" t="s">
        <v>42</v>
      </c>
      <c r="AD96" s="60" t="s">
        <v>42</v>
      </c>
      <c r="AE96" s="60" t="s">
        <v>42</v>
      </c>
      <c r="AF96" s="60" t="s">
        <v>42</v>
      </c>
      <c r="AH96" s="26"/>
      <c r="AI96" s="26"/>
      <c r="AJ96" s="26"/>
      <c r="AM96" s="26"/>
      <c r="AN96" s="26"/>
      <c r="AO96" s="26"/>
      <c r="AP96" s="26"/>
      <c r="AQ96" s="26"/>
      <c r="AR96" s="26"/>
    </row>
    <row r="97" spans="1:44" hidden="1" outlineLevel="1" x14ac:dyDescent="0.25">
      <c r="A97" s="20" t="s">
        <v>537</v>
      </c>
      <c r="B97" s="21" t="s">
        <v>536</v>
      </c>
      <c r="D97" s="26" t="s">
        <v>42</v>
      </c>
      <c r="E97" s="26" t="s">
        <v>42</v>
      </c>
      <c r="F97" s="26" t="s">
        <v>42</v>
      </c>
      <c r="G97" s="60" t="s">
        <v>42</v>
      </c>
      <c r="H97" s="26" t="s">
        <v>42</v>
      </c>
      <c r="I97" s="26" t="s">
        <v>42</v>
      </c>
      <c r="J97" s="26" t="s">
        <v>42</v>
      </c>
      <c r="K97" s="26" t="s">
        <v>42</v>
      </c>
      <c r="L97" s="26" t="s">
        <v>42</v>
      </c>
      <c r="M97" s="60" t="s">
        <v>42</v>
      </c>
      <c r="N97" s="60" t="s">
        <v>42</v>
      </c>
      <c r="O97" s="60" t="s">
        <v>42</v>
      </c>
      <c r="P97" s="60" t="s">
        <v>42</v>
      </c>
      <c r="Q97" s="60" t="s">
        <v>42</v>
      </c>
      <c r="S97" s="26" t="s">
        <v>42</v>
      </c>
      <c r="T97" s="26" t="s">
        <v>42</v>
      </c>
      <c r="U97" s="26" t="s">
        <v>42</v>
      </c>
      <c r="V97" s="26" t="s">
        <v>42</v>
      </c>
      <c r="W97" s="26" t="s">
        <v>42</v>
      </c>
      <c r="X97" s="26" t="s">
        <v>42</v>
      </c>
      <c r="Y97" s="26" t="s">
        <v>42</v>
      </c>
      <c r="Z97" s="26" t="s">
        <v>42</v>
      </c>
      <c r="AA97" s="26" t="s">
        <v>42</v>
      </c>
      <c r="AB97" s="26" t="s">
        <v>42</v>
      </c>
      <c r="AC97" s="60" t="s">
        <v>42</v>
      </c>
      <c r="AD97" s="60" t="s">
        <v>42</v>
      </c>
      <c r="AE97" s="60" t="s">
        <v>42</v>
      </c>
      <c r="AF97" s="60" t="s">
        <v>42</v>
      </c>
      <c r="AH97" s="26"/>
      <c r="AI97" s="26"/>
      <c r="AJ97" s="26"/>
      <c r="AM97" s="26"/>
      <c r="AN97" s="26"/>
      <c r="AO97" s="26"/>
      <c r="AP97" s="26"/>
      <c r="AQ97" s="26"/>
      <c r="AR97" s="26"/>
    </row>
    <row r="98" spans="1:44" hidden="1" outlineLevel="1" x14ac:dyDescent="0.25">
      <c r="A98" s="20" t="s">
        <v>535</v>
      </c>
      <c r="B98" s="21" t="s">
        <v>534</v>
      </c>
      <c r="D98" s="26" t="s">
        <v>42</v>
      </c>
      <c r="E98" s="26" t="s">
        <v>42</v>
      </c>
      <c r="F98" s="26" t="s">
        <v>42</v>
      </c>
      <c r="G98" s="60" t="s">
        <v>42</v>
      </c>
      <c r="H98" s="26" t="s">
        <v>42</v>
      </c>
      <c r="I98" s="26" t="s">
        <v>42</v>
      </c>
      <c r="J98" s="26" t="s">
        <v>42</v>
      </c>
      <c r="K98" s="26" t="s">
        <v>42</v>
      </c>
      <c r="L98" s="26" t="s">
        <v>42</v>
      </c>
      <c r="M98" s="60" t="s">
        <v>42</v>
      </c>
      <c r="N98" s="60" t="s">
        <v>42</v>
      </c>
      <c r="O98" s="60" t="s">
        <v>42</v>
      </c>
      <c r="P98" s="60" t="s">
        <v>42</v>
      </c>
      <c r="Q98" s="60" t="s">
        <v>42</v>
      </c>
      <c r="S98" s="26" t="s">
        <v>42</v>
      </c>
      <c r="T98" s="26" t="s">
        <v>42</v>
      </c>
      <c r="U98" s="26" t="s">
        <v>42</v>
      </c>
      <c r="V98" s="26" t="s">
        <v>42</v>
      </c>
      <c r="W98" s="26" t="s">
        <v>42</v>
      </c>
      <c r="X98" s="26" t="s">
        <v>42</v>
      </c>
      <c r="Y98" s="26" t="s">
        <v>42</v>
      </c>
      <c r="Z98" s="26" t="s">
        <v>42</v>
      </c>
      <c r="AA98" s="26" t="s">
        <v>42</v>
      </c>
      <c r="AB98" s="26" t="s">
        <v>42</v>
      </c>
      <c r="AC98" s="60" t="s">
        <v>42</v>
      </c>
      <c r="AD98" s="60" t="s">
        <v>42</v>
      </c>
      <c r="AE98" s="60" t="s">
        <v>42</v>
      </c>
      <c r="AF98" s="60" t="s">
        <v>42</v>
      </c>
      <c r="AH98" s="26"/>
      <c r="AI98" s="26"/>
      <c r="AJ98" s="26"/>
      <c r="AM98" s="26"/>
      <c r="AN98" s="26"/>
      <c r="AO98" s="26"/>
      <c r="AP98" s="26"/>
      <c r="AQ98" s="26"/>
      <c r="AR98" s="26"/>
    </row>
    <row r="99" spans="1:44" ht="30" hidden="1" outlineLevel="1" x14ac:dyDescent="0.25">
      <c r="A99" s="20" t="s">
        <v>533</v>
      </c>
      <c r="B99" s="21" t="s">
        <v>532</v>
      </c>
      <c r="D99" s="26" t="s">
        <v>42</v>
      </c>
      <c r="E99" s="26" t="s">
        <v>42</v>
      </c>
      <c r="F99" s="26" t="s">
        <v>42</v>
      </c>
      <c r="G99" s="60" t="s">
        <v>42</v>
      </c>
      <c r="H99" s="26" t="s">
        <v>42</v>
      </c>
      <c r="I99" s="26" t="s">
        <v>42</v>
      </c>
      <c r="J99" s="26" t="s">
        <v>42</v>
      </c>
      <c r="K99" s="26" t="s">
        <v>42</v>
      </c>
      <c r="L99" s="26" t="s">
        <v>42</v>
      </c>
      <c r="M99" s="60" t="s">
        <v>42</v>
      </c>
      <c r="N99" s="60" t="s">
        <v>42</v>
      </c>
      <c r="O99" s="60" t="s">
        <v>42</v>
      </c>
      <c r="P99" s="60" t="s">
        <v>42</v>
      </c>
      <c r="Q99" s="60" t="s">
        <v>42</v>
      </c>
      <c r="S99" s="26" t="s">
        <v>42</v>
      </c>
      <c r="T99" s="26" t="s">
        <v>42</v>
      </c>
      <c r="U99" s="26" t="s">
        <v>42</v>
      </c>
      <c r="V99" s="26" t="s">
        <v>42</v>
      </c>
      <c r="W99" s="26" t="s">
        <v>42</v>
      </c>
      <c r="X99" s="26" t="s">
        <v>42</v>
      </c>
      <c r="Y99" s="26" t="s">
        <v>42</v>
      </c>
      <c r="Z99" s="26" t="s">
        <v>42</v>
      </c>
      <c r="AA99" s="26" t="s">
        <v>42</v>
      </c>
      <c r="AB99" s="26" t="s">
        <v>42</v>
      </c>
      <c r="AC99" s="60" t="s">
        <v>42</v>
      </c>
      <c r="AD99" s="60" t="s">
        <v>42</v>
      </c>
      <c r="AE99" s="60" t="s">
        <v>42</v>
      </c>
      <c r="AF99" s="60" t="s">
        <v>42</v>
      </c>
      <c r="AH99" s="26"/>
      <c r="AI99" s="26"/>
      <c r="AJ99" s="26"/>
      <c r="AM99" s="26"/>
      <c r="AN99" s="26"/>
      <c r="AO99" s="26"/>
      <c r="AP99" s="26"/>
      <c r="AQ99" s="26"/>
      <c r="AR99" s="26"/>
    </row>
    <row r="100" spans="1:44" hidden="1" outlineLevel="1" x14ac:dyDescent="0.25">
      <c r="A100" s="20" t="s">
        <v>531</v>
      </c>
      <c r="B100" s="21" t="s">
        <v>530</v>
      </c>
      <c r="D100" s="26" t="s">
        <v>42</v>
      </c>
      <c r="E100" s="26" t="s">
        <v>42</v>
      </c>
      <c r="F100" s="26" t="s">
        <v>42</v>
      </c>
      <c r="G100" s="60" t="s">
        <v>42</v>
      </c>
      <c r="H100" s="26" t="s">
        <v>42</v>
      </c>
      <c r="I100" s="26" t="s">
        <v>42</v>
      </c>
      <c r="J100" s="26" t="s">
        <v>42</v>
      </c>
      <c r="K100" s="26" t="s">
        <v>42</v>
      </c>
      <c r="L100" s="26" t="s">
        <v>42</v>
      </c>
      <c r="M100" s="60" t="s">
        <v>42</v>
      </c>
      <c r="N100" s="60" t="s">
        <v>42</v>
      </c>
      <c r="O100" s="60" t="s">
        <v>42</v>
      </c>
      <c r="P100" s="60" t="s">
        <v>42</v>
      </c>
      <c r="Q100" s="60" t="s">
        <v>42</v>
      </c>
      <c r="S100" s="26" t="s">
        <v>42</v>
      </c>
      <c r="T100" s="26" t="s">
        <v>42</v>
      </c>
      <c r="U100" s="26" t="s">
        <v>42</v>
      </c>
      <c r="V100" s="26" t="s">
        <v>42</v>
      </c>
      <c r="W100" s="26" t="s">
        <v>42</v>
      </c>
      <c r="X100" s="26" t="s">
        <v>42</v>
      </c>
      <c r="Y100" s="26" t="s">
        <v>42</v>
      </c>
      <c r="Z100" s="26" t="s">
        <v>42</v>
      </c>
      <c r="AA100" s="26" t="s">
        <v>42</v>
      </c>
      <c r="AB100" s="26" t="s">
        <v>42</v>
      </c>
      <c r="AC100" s="60" t="s">
        <v>42</v>
      </c>
      <c r="AD100" s="60" t="s">
        <v>42</v>
      </c>
      <c r="AE100" s="60" t="s">
        <v>42</v>
      </c>
      <c r="AF100" s="60" t="s">
        <v>42</v>
      </c>
      <c r="AH100" s="26"/>
      <c r="AI100" s="26"/>
      <c r="AJ100" s="26"/>
      <c r="AM100" s="26"/>
      <c r="AN100" s="26"/>
      <c r="AO100" s="26"/>
      <c r="AP100" s="26"/>
      <c r="AQ100" s="26"/>
      <c r="AR100" s="26"/>
    </row>
    <row r="101" spans="1:44" hidden="1" outlineLevel="1" x14ac:dyDescent="0.25">
      <c r="A101" s="20" t="s">
        <v>529</v>
      </c>
      <c r="B101" s="21" t="s">
        <v>528</v>
      </c>
      <c r="D101" s="26" t="s">
        <v>42</v>
      </c>
      <c r="E101" s="26" t="s">
        <v>42</v>
      </c>
      <c r="F101" s="26" t="s">
        <v>42</v>
      </c>
      <c r="G101" s="60" t="s">
        <v>42</v>
      </c>
      <c r="H101" s="26" t="s">
        <v>42</v>
      </c>
      <c r="I101" s="26" t="s">
        <v>42</v>
      </c>
      <c r="J101" s="26" t="s">
        <v>42</v>
      </c>
      <c r="K101" s="26" t="s">
        <v>42</v>
      </c>
      <c r="L101" s="26" t="s">
        <v>42</v>
      </c>
      <c r="M101" s="60" t="s">
        <v>42</v>
      </c>
      <c r="N101" s="60" t="s">
        <v>42</v>
      </c>
      <c r="O101" s="60" t="s">
        <v>42</v>
      </c>
      <c r="P101" s="60" t="s">
        <v>42</v>
      </c>
      <c r="Q101" s="60" t="s">
        <v>42</v>
      </c>
      <c r="S101" s="26" t="s">
        <v>42</v>
      </c>
      <c r="T101" s="26" t="s">
        <v>42</v>
      </c>
      <c r="U101" s="26" t="s">
        <v>42</v>
      </c>
      <c r="V101" s="26" t="s">
        <v>42</v>
      </c>
      <c r="W101" s="26" t="s">
        <v>42</v>
      </c>
      <c r="X101" s="26" t="s">
        <v>42</v>
      </c>
      <c r="Y101" s="26" t="s">
        <v>42</v>
      </c>
      <c r="Z101" s="26" t="s">
        <v>42</v>
      </c>
      <c r="AA101" s="26" t="s">
        <v>42</v>
      </c>
      <c r="AB101" s="26" t="s">
        <v>42</v>
      </c>
      <c r="AC101" s="60" t="s">
        <v>42</v>
      </c>
      <c r="AD101" s="60" t="s">
        <v>42</v>
      </c>
      <c r="AE101" s="60" t="s">
        <v>42</v>
      </c>
      <c r="AF101" s="60" t="s">
        <v>42</v>
      </c>
      <c r="AH101" s="26"/>
      <c r="AI101" s="26"/>
      <c r="AJ101" s="26"/>
      <c r="AM101" s="26"/>
      <c r="AN101" s="26"/>
      <c r="AO101" s="26"/>
      <c r="AP101" s="26"/>
      <c r="AQ101" s="26"/>
      <c r="AR101" s="26"/>
    </row>
    <row r="102" spans="1:44" hidden="1" outlineLevel="1" x14ac:dyDescent="0.25">
      <c r="A102" s="20" t="s">
        <v>527</v>
      </c>
      <c r="B102" s="21" t="s">
        <v>526</v>
      </c>
      <c r="D102" s="26" t="s">
        <v>42</v>
      </c>
      <c r="E102" s="26" t="s">
        <v>42</v>
      </c>
      <c r="F102" s="26" t="s">
        <v>42</v>
      </c>
      <c r="G102" s="60" t="s">
        <v>42</v>
      </c>
      <c r="H102" s="26" t="s">
        <v>42</v>
      </c>
      <c r="I102" s="26" t="s">
        <v>42</v>
      </c>
      <c r="J102" s="26" t="s">
        <v>42</v>
      </c>
      <c r="K102" s="26" t="s">
        <v>42</v>
      </c>
      <c r="L102" s="26" t="s">
        <v>42</v>
      </c>
      <c r="M102" s="60" t="s">
        <v>42</v>
      </c>
      <c r="N102" s="60" t="s">
        <v>42</v>
      </c>
      <c r="O102" s="60" t="s">
        <v>42</v>
      </c>
      <c r="P102" s="60" t="s">
        <v>42</v>
      </c>
      <c r="Q102" s="60" t="s">
        <v>42</v>
      </c>
      <c r="S102" s="26" t="s">
        <v>42</v>
      </c>
      <c r="T102" s="26" t="s">
        <v>42</v>
      </c>
      <c r="U102" s="26" t="s">
        <v>42</v>
      </c>
      <c r="V102" s="26" t="s">
        <v>42</v>
      </c>
      <c r="W102" s="26" t="s">
        <v>42</v>
      </c>
      <c r="X102" s="26" t="s">
        <v>42</v>
      </c>
      <c r="Y102" s="26" t="s">
        <v>42</v>
      </c>
      <c r="Z102" s="26" t="s">
        <v>42</v>
      </c>
      <c r="AA102" s="26" t="s">
        <v>42</v>
      </c>
      <c r="AB102" s="26" t="s">
        <v>42</v>
      </c>
      <c r="AC102" s="60" t="s">
        <v>42</v>
      </c>
      <c r="AD102" s="60" t="s">
        <v>42</v>
      </c>
      <c r="AE102" s="60" t="s">
        <v>42</v>
      </c>
      <c r="AF102" s="60" t="s">
        <v>42</v>
      </c>
      <c r="AH102" s="26"/>
      <c r="AI102" s="26"/>
      <c r="AJ102" s="26"/>
      <c r="AM102" s="26"/>
      <c r="AN102" s="26"/>
      <c r="AO102" s="26"/>
      <c r="AP102" s="26"/>
      <c r="AQ102" s="26"/>
      <c r="AR102" s="26"/>
    </row>
    <row r="103" spans="1:44" hidden="1" outlineLevel="1" x14ac:dyDescent="0.25">
      <c r="A103" s="20" t="s">
        <v>525</v>
      </c>
      <c r="B103" s="21" t="s">
        <v>524</v>
      </c>
      <c r="D103" s="26" t="s">
        <v>42</v>
      </c>
      <c r="E103" s="26" t="s">
        <v>42</v>
      </c>
      <c r="F103" s="26" t="s">
        <v>42</v>
      </c>
      <c r="G103" s="60" t="s">
        <v>42</v>
      </c>
      <c r="H103" s="26" t="s">
        <v>42</v>
      </c>
      <c r="I103" s="26" t="s">
        <v>42</v>
      </c>
      <c r="J103" s="26" t="s">
        <v>42</v>
      </c>
      <c r="K103" s="26" t="s">
        <v>42</v>
      </c>
      <c r="L103" s="26" t="s">
        <v>42</v>
      </c>
      <c r="M103" s="60" t="s">
        <v>42</v>
      </c>
      <c r="N103" s="60" t="s">
        <v>42</v>
      </c>
      <c r="O103" s="60" t="s">
        <v>42</v>
      </c>
      <c r="P103" s="60" t="s">
        <v>42</v>
      </c>
      <c r="Q103" s="60" t="s">
        <v>42</v>
      </c>
      <c r="S103" s="26" t="s">
        <v>42</v>
      </c>
      <c r="T103" s="26" t="s">
        <v>42</v>
      </c>
      <c r="U103" s="26" t="s">
        <v>42</v>
      </c>
      <c r="V103" s="26" t="s">
        <v>42</v>
      </c>
      <c r="W103" s="26" t="s">
        <v>42</v>
      </c>
      <c r="X103" s="26" t="s">
        <v>42</v>
      </c>
      <c r="Y103" s="26" t="s">
        <v>42</v>
      </c>
      <c r="Z103" s="26" t="s">
        <v>42</v>
      </c>
      <c r="AA103" s="26" t="s">
        <v>42</v>
      </c>
      <c r="AB103" s="26" t="s">
        <v>42</v>
      </c>
      <c r="AC103" s="60" t="s">
        <v>42</v>
      </c>
      <c r="AD103" s="60" t="s">
        <v>42</v>
      </c>
      <c r="AE103" s="60" t="s">
        <v>42</v>
      </c>
      <c r="AF103" s="60" t="s">
        <v>42</v>
      </c>
      <c r="AH103" s="26"/>
      <c r="AI103" s="26"/>
      <c r="AJ103" s="26"/>
      <c r="AM103" s="26"/>
      <c r="AN103" s="26"/>
      <c r="AO103" s="26"/>
      <c r="AP103" s="26"/>
      <c r="AQ103" s="26"/>
      <c r="AR103" s="26"/>
    </row>
    <row r="104" spans="1:44" ht="30" hidden="1" outlineLevel="1" x14ac:dyDescent="0.25">
      <c r="A104" s="20" t="s">
        <v>523</v>
      </c>
      <c r="B104" s="21" t="s">
        <v>522</v>
      </c>
      <c r="D104" s="26" t="s">
        <v>42</v>
      </c>
      <c r="E104" s="26" t="s">
        <v>42</v>
      </c>
      <c r="F104" s="26" t="s">
        <v>42</v>
      </c>
      <c r="G104" s="60" t="s">
        <v>42</v>
      </c>
      <c r="H104" s="26" t="s">
        <v>42</v>
      </c>
      <c r="I104" s="26" t="s">
        <v>42</v>
      </c>
      <c r="J104" s="26" t="s">
        <v>42</v>
      </c>
      <c r="K104" s="26" t="s">
        <v>42</v>
      </c>
      <c r="L104" s="26" t="s">
        <v>42</v>
      </c>
      <c r="M104" s="60" t="s">
        <v>42</v>
      </c>
      <c r="N104" s="60" t="s">
        <v>42</v>
      </c>
      <c r="O104" s="60" t="s">
        <v>42</v>
      </c>
      <c r="P104" s="60" t="s">
        <v>42</v>
      </c>
      <c r="Q104" s="60" t="s">
        <v>42</v>
      </c>
      <c r="S104" s="26" t="s">
        <v>42</v>
      </c>
      <c r="T104" s="26" t="s">
        <v>42</v>
      </c>
      <c r="U104" s="26" t="s">
        <v>42</v>
      </c>
      <c r="V104" s="26" t="s">
        <v>42</v>
      </c>
      <c r="W104" s="26" t="s">
        <v>42</v>
      </c>
      <c r="X104" s="26" t="s">
        <v>42</v>
      </c>
      <c r="Y104" s="26" t="s">
        <v>42</v>
      </c>
      <c r="Z104" s="26" t="s">
        <v>42</v>
      </c>
      <c r="AA104" s="26" t="s">
        <v>42</v>
      </c>
      <c r="AB104" s="26" t="s">
        <v>42</v>
      </c>
      <c r="AC104" s="60" t="s">
        <v>42</v>
      </c>
      <c r="AD104" s="60" t="s">
        <v>42</v>
      </c>
      <c r="AE104" s="60" t="s">
        <v>42</v>
      </c>
      <c r="AF104" s="60" t="s">
        <v>42</v>
      </c>
      <c r="AH104" s="26"/>
      <c r="AI104" s="26"/>
      <c r="AJ104" s="26"/>
      <c r="AM104" s="26"/>
      <c r="AN104" s="26"/>
      <c r="AO104" s="26"/>
      <c r="AP104" s="26"/>
      <c r="AQ104" s="26"/>
      <c r="AR104" s="26"/>
    </row>
    <row r="105" spans="1:44" hidden="1" outlineLevel="1" x14ac:dyDescent="0.25">
      <c r="A105" s="20" t="s">
        <v>521</v>
      </c>
      <c r="B105" s="21" t="s">
        <v>520</v>
      </c>
      <c r="D105" s="26" t="s">
        <v>42</v>
      </c>
      <c r="E105" s="26" t="s">
        <v>42</v>
      </c>
      <c r="F105" s="26" t="s">
        <v>42</v>
      </c>
      <c r="G105" s="60" t="s">
        <v>42</v>
      </c>
      <c r="H105" s="26" t="s">
        <v>42</v>
      </c>
      <c r="I105" s="26" t="s">
        <v>42</v>
      </c>
      <c r="J105" s="26" t="s">
        <v>42</v>
      </c>
      <c r="K105" s="26" t="s">
        <v>42</v>
      </c>
      <c r="L105" s="26" t="s">
        <v>42</v>
      </c>
      <c r="M105" s="60" t="s">
        <v>42</v>
      </c>
      <c r="N105" s="60" t="s">
        <v>42</v>
      </c>
      <c r="O105" s="60" t="s">
        <v>42</v>
      </c>
      <c r="P105" s="60" t="s">
        <v>42</v>
      </c>
      <c r="Q105" s="60" t="s">
        <v>42</v>
      </c>
      <c r="S105" s="26" t="s">
        <v>42</v>
      </c>
      <c r="T105" s="26" t="s">
        <v>42</v>
      </c>
      <c r="U105" s="26" t="s">
        <v>42</v>
      </c>
      <c r="V105" s="26" t="s">
        <v>42</v>
      </c>
      <c r="W105" s="26" t="s">
        <v>42</v>
      </c>
      <c r="X105" s="26" t="s">
        <v>42</v>
      </c>
      <c r="Y105" s="26" t="s">
        <v>42</v>
      </c>
      <c r="Z105" s="26" t="s">
        <v>42</v>
      </c>
      <c r="AA105" s="26" t="s">
        <v>42</v>
      </c>
      <c r="AB105" s="26" t="s">
        <v>42</v>
      </c>
      <c r="AC105" s="60" t="s">
        <v>42</v>
      </c>
      <c r="AD105" s="60" t="s">
        <v>42</v>
      </c>
      <c r="AE105" s="60" t="s">
        <v>42</v>
      </c>
      <c r="AF105" s="60" t="s">
        <v>42</v>
      </c>
      <c r="AH105" s="26"/>
      <c r="AI105" s="26"/>
      <c r="AJ105" s="26"/>
      <c r="AM105" s="26"/>
      <c r="AN105" s="26"/>
      <c r="AO105" s="26"/>
      <c r="AP105" s="26"/>
      <c r="AQ105" s="26"/>
      <c r="AR105" s="26"/>
    </row>
    <row r="106" spans="1:44" hidden="1" outlineLevel="1" x14ac:dyDescent="0.25">
      <c r="A106" s="20" t="s">
        <v>519</v>
      </c>
      <c r="B106" s="21" t="s">
        <v>518</v>
      </c>
      <c r="D106" s="26" t="s">
        <v>42</v>
      </c>
      <c r="E106" s="26" t="s">
        <v>42</v>
      </c>
      <c r="F106" s="26" t="s">
        <v>42</v>
      </c>
      <c r="G106" s="60" t="s">
        <v>42</v>
      </c>
      <c r="H106" s="26" t="s">
        <v>42</v>
      </c>
      <c r="I106" s="26" t="s">
        <v>42</v>
      </c>
      <c r="J106" s="26" t="s">
        <v>42</v>
      </c>
      <c r="K106" s="26" t="s">
        <v>42</v>
      </c>
      <c r="L106" s="26" t="s">
        <v>42</v>
      </c>
      <c r="M106" s="60" t="s">
        <v>42</v>
      </c>
      <c r="N106" s="60" t="s">
        <v>42</v>
      </c>
      <c r="O106" s="60" t="s">
        <v>42</v>
      </c>
      <c r="P106" s="60" t="s">
        <v>42</v>
      </c>
      <c r="Q106" s="60" t="s">
        <v>42</v>
      </c>
      <c r="S106" s="26" t="s">
        <v>42</v>
      </c>
      <c r="T106" s="26" t="s">
        <v>42</v>
      </c>
      <c r="U106" s="26" t="s">
        <v>42</v>
      </c>
      <c r="V106" s="26" t="s">
        <v>42</v>
      </c>
      <c r="W106" s="26" t="s">
        <v>42</v>
      </c>
      <c r="X106" s="26" t="s">
        <v>42</v>
      </c>
      <c r="Y106" s="26" t="s">
        <v>42</v>
      </c>
      <c r="Z106" s="26" t="s">
        <v>42</v>
      </c>
      <c r="AA106" s="26" t="s">
        <v>42</v>
      </c>
      <c r="AB106" s="26" t="s">
        <v>42</v>
      </c>
      <c r="AC106" s="60" t="s">
        <v>42</v>
      </c>
      <c r="AD106" s="60" t="s">
        <v>42</v>
      </c>
      <c r="AE106" s="60" t="s">
        <v>42</v>
      </c>
      <c r="AF106" s="60" t="s">
        <v>42</v>
      </c>
      <c r="AH106" s="26"/>
      <c r="AI106" s="26"/>
      <c r="AJ106" s="26"/>
      <c r="AM106" s="26"/>
      <c r="AN106" s="26"/>
      <c r="AO106" s="26"/>
      <c r="AP106" s="26"/>
      <c r="AQ106" s="26"/>
      <c r="AR106" s="26"/>
    </row>
    <row r="107" spans="1:44" hidden="1" outlineLevel="1" x14ac:dyDescent="0.25">
      <c r="A107" s="20" t="s">
        <v>517</v>
      </c>
      <c r="B107" s="21" t="s">
        <v>516</v>
      </c>
      <c r="D107" s="26" t="s">
        <v>42</v>
      </c>
      <c r="E107" s="26" t="s">
        <v>42</v>
      </c>
      <c r="F107" s="26" t="s">
        <v>42</v>
      </c>
      <c r="G107" s="60" t="s">
        <v>42</v>
      </c>
      <c r="H107" s="26" t="s">
        <v>42</v>
      </c>
      <c r="I107" s="26" t="s">
        <v>42</v>
      </c>
      <c r="J107" s="26" t="s">
        <v>42</v>
      </c>
      <c r="K107" s="26" t="s">
        <v>42</v>
      </c>
      <c r="L107" s="26" t="s">
        <v>42</v>
      </c>
      <c r="M107" s="60" t="s">
        <v>42</v>
      </c>
      <c r="N107" s="60" t="s">
        <v>42</v>
      </c>
      <c r="O107" s="60" t="s">
        <v>42</v>
      </c>
      <c r="P107" s="60" t="s">
        <v>42</v>
      </c>
      <c r="Q107" s="60" t="s">
        <v>42</v>
      </c>
      <c r="S107" s="26" t="s">
        <v>42</v>
      </c>
      <c r="T107" s="26" t="s">
        <v>42</v>
      </c>
      <c r="U107" s="26" t="s">
        <v>42</v>
      </c>
      <c r="V107" s="26" t="s">
        <v>42</v>
      </c>
      <c r="W107" s="26" t="s">
        <v>42</v>
      </c>
      <c r="X107" s="26" t="s">
        <v>42</v>
      </c>
      <c r="Y107" s="26" t="s">
        <v>42</v>
      </c>
      <c r="Z107" s="26" t="s">
        <v>42</v>
      </c>
      <c r="AA107" s="26" t="s">
        <v>42</v>
      </c>
      <c r="AB107" s="26" t="s">
        <v>42</v>
      </c>
      <c r="AC107" s="60" t="s">
        <v>42</v>
      </c>
      <c r="AD107" s="60" t="s">
        <v>42</v>
      </c>
      <c r="AE107" s="60" t="s">
        <v>42</v>
      </c>
      <c r="AF107" s="60" t="s">
        <v>42</v>
      </c>
      <c r="AH107" s="26"/>
      <c r="AI107" s="26"/>
      <c r="AJ107" s="26"/>
      <c r="AM107" s="26"/>
      <c r="AN107" s="26"/>
      <c r="AO107" s="26"/>
      <c r="AP107" s="26"/>
      <c r="AQ107" s="26"/>
      <c r="AR107" s="26"/>
    </row>
    <row r="108" spans="1:44" hidden="1" outlineLevel="1" x14ac:dyDescent="0.25">
      <c r="A108" s="20" t="s">
        <v>515</v>
      </c>
      <c r="B108" s="21" t="s">
        <v>514</v>
      </c>
      <c r="D108" s="26" t="s">
        <v>42</v>
      </c>
      <c r="E108" s="26" t="s">
        <v>42</v>
      </c>
      <c r="F108" s="26" t="s">
        <v>42</v>
      </c>
      <c r="G108" s="60" t="s">
        <v>42</v>
      </c>
      <c r="H108" s="26" t="s">
        <v>42</v>
      </c>
      <c r="I108" s="26" t="s">
        <v>42</v>
      </c>
      <c r="J108" s="26" t="s">
        <v>42</v>
      </c>
      <c r="K108" s="26" t="s">
        <v>42</v>
      </c>
      <c r="L108" s="26" t="s">
        <v>42</v>
      </c>
      <c r="M108" s="60" t="s">
        <v>42</v>
      </c>
      <c r="N108" s="60" t="s">
        <v>42</v>
      </c>
      <c r="O108" s="60" t="s">
        <v>42</v>
      </c>
      <c r="P108" s="60" t="s">
        <v>42</v>
      </c>
      <c r="Q108" s="60" t="s">
        <v>42</v>
      </c>
      <c r="S108" s="26" t="s">
        <v>42</v>
      </c>
      <c r="T108" s="26" t="s">
        <v>42</v>
      </c>
      <c r="U108" s="26" t="s">
        <v>42</v>
      </c>
      <c r="V108" s="26" t="s">
        <v>42</v>
      </c>
      <c r="W108" s="26" t="s">
        <v>42</v>
      </c>
      <c r="X108" s="26" t="s">
        <v>42</v>
      </c>
      <c r="Y108" s="26" t="s">
        <v>42</v>
      </c>
      <c r="Z108" s="26" t="s">
        <v>42</v>
      </c>
      <c r="AA108" s="26" t="s">
        <v>42</v>
      </c>
      <c r="AB108" s="26" t="s">
        <v>42</v>
      </c>
      <c r="AC108" s="60" t="s">
        <v>42</v>
      </c>
      <c r="AD108" s="60" t="s">
        <v>42</v>
      </c>
      <c r="AE108" s="60" t="s">
        <v>42</v>
      </c>
      <c r="AF108" s="60" t="s">
        <v>42</v>
      </c>
      <c r="AH108" s="26"/>
      <c r="AI108" s="26"/>
      <c r="AJ108" s="26"/>
      <c r="AM108" s="26"/>
      <c r="AN108" s="26"/>
      <c r="AO108" s="26"/>
      <c r="AP108" s="26"/>
      <c r="AQ108" s="26"/>
      <c r="AR108" s="26"/>
    </row>
    <row r="109" spans="1:44" ht="30" hidden="1" outlineLevel="1" x14ac:dyDescent="0.25">
      <c r="A109" s="20" t="s">
        <v>513</v>
      </c>
      <c r="B109" s="21" t="s">
        <v>512</v>
      </c>
      <c r="D109" s="26" t="s">
        <v>42</v>
      </c>
      <c r="E109" s="26" t="s">
        <v>42</v>
      </c>
      <c r="F109" s="26" t="s">
        <v>42</v>
      </c>
      <c r="G109" s="60" t="s">
        <v>42</v>
      </c>
      <c r="H109" s="26" t="s">
        <v>42</v>
      </c>
      <c r="I109" s="26" t="s">
        <v>42</v>
      </c>
      <c r="J109" s="26" t="s">
        <v>42</v>
      </c>
      <c r="K109" s="26" t="s">
        <v>42</v>
      </c>
      <c r="L109" s="26" t="s">
        <v>42</v>
      </c>
      <c r="M109" s="60" t="s">
        <v>42</v>
      </c>
      <c r="N109" s="60" t="s">
        <v>42</v>
      </c>
      <c r="O109" s="60" t="s">
        <v>42</v>
      </c>
      <c r="P109" s="60" t="s">
        <v>42</v>
      </c>
      <c r="Q109" s="60" t="s">
        <v>42</v>
      </c>
      <c r="S109" s="26" t="s">
        <v>42</v>
      </c>
      <c r="T109" s="26" t="s">
        <v>42</v>
      </c>
      <c r="U109" s="26" t="s">
        <v>42</v>
      </c>
      <c r="V109" s="26" t="s">
        <v>42</v>
      </c>
      <c r="W109" s="26" t="s">
        <v>42</v>
      </c>
      <c r="X109" s="26" t="s">
        <v>42</v>
      </c>
      <c r="Y109" s="26" t="s">
        <v>42</v>
      </c>
      <c r="Z109" s="26" t="s">
        <v>42</v>
      </c>
      <c r="AA109" s="26" t="s">
        <v>42</v>
      </c>
      <c r="AB109" s="26" t="s">
        <v>42</v>
      </c>
      <c r="AC109" s="60" t="s">
        <v>42</v>
      </c>
      <c r="AD109" s="60" t="s">
        <v>42</v>
      </c>
      <c r="AE109" s="60" t="s">
        <v>42</v>
      </c>
      <c r="AF109" s="60" t="s">
        <v>42</v>
      </c>
      <c r="AH109" s="26"/>
      <c r="AI109" s="26"/>
      <c r="AJ109" s="26"/>
      <c r="AM109" s="26"/>
      <c r="AN109" s="26"/>
      <c r="AO109" s="26"/>
      <c r="AP109" s="26"/>
      <c r="AQ109" s="26"/>
      <c r="AR109" s="26"/>
    </row>
    <row r="110" spans="1:44" collapsed="1" x14ac:dyDescent="0.25">
      <c r="A110" s="18" t="s">
        <v>511</v>
      </c>
      <c r="B110" s="19" t="s">
        <v>510</v>
      </c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H110" s="26"/>
      <c r="AI110" s="26"/>
      <c r="AJ110" s="26"/>
      <c r="AM110" s="26"/>
      <c r="AN110" s="26"/>
      <c r="AO110" s="26"/>
      <c r="AP110" s="26"/>
      <c r="AQ110" s="26"/>
      <c r="AR110" s="26"/>
    </row>
    <row r="111" spans="1:44" hidden="1" outlineLevel="1" x14ac:dyDescent="0.25">
      <c r="A111" s="20" t="s">
        <v>509</v>
      </c>
      <c r="B111" s="21" t="s">
        <v>508</v>
      </c>
      <c r="D111" s="26" t="s">
        <v>42</v>
      </c>
      <c r="E111" s="26" t="s">
        <v>42</v>
      </c>
      <c r="F111" s="26" t="s">
        <v>42</v>
      </c>
      <c r="G111" s="60" t="s">
        <v>42</v>
      </c>
      <c r="H111" s="26" t="s">
        <v>42</v>
      </c>
      <c r="I111" s="26" t="s">
        <v>42</v>
      </c>
      <c r="N111" s="26" t="s">
        <v>42</v>
      </c>
      <c r="O111" s="60" t="s">
        <v>42</v>
      </c>
      <c r="P111" s="26" t="s">
        <v>42</v>
      </c>
      <c r="Q111" s="26" t="s">
        <v>42</v>
      </c>
      <c r="S111" s="26" t="s">
        <v>42</v>
      </c>
      <c r="T111" s="26" t="s">
        <v>42</v>
      </c>
      <c r="U111" s="26" t="s">
        <v>42</v>
      </c>
      <c r="V111" s="26" t="s">
        <v>42</v>
      </c>
      <c r="W111" s="26" t="s">
        <v>42</v>
      </c>
      <c r="X111" s="26" t="s">
        <v>42</v>
      </c>
      <c r="Y111" s="26"/>
      <c r="Z111" s="26"/>
      <c r="AA111" s="26"/>
      <c r="AB111" s="26"/>
      <c r="AC111" s="26" t="s">
        <v>42</v>
      </c>
      <c r="AD111" s="26" t="s">
        <v>42</v>
      </c>
      <c r="AE111" s="26" t="s">
        <v>42</v>
      </c>
      <c r="AF111" s="26" t="s">
        <v>42</v>
      </c>
      <c r="AH111" s="26"/>
      <c r="AI111" s="26"/>
      <c r="AJ111" s="26"/>
      <c r="AM111" s="26"/>
      <c r="AN111" s="26"/>
      <c r="AO111" s="26"/>
      <c r="AP111" s="26"/>
      <c r="AQ111" s="26"/>
      <c r="AR111" s="26"/>
    </row>
    <row r="112" spans="1:44" hidden="1" outlineLevel="1" x14ac:dyDescent="0.25">
      <c r="A112" s="20" t="s">
        <v>507</v>
      </c>
      <c r="B112" s="21" t="s">
        <v>135</v>
      </c>
      <c r="D112" s="26" t="s">
        <v>42</v>
      </c>
      <c r="E112" s="26" t="s">
        <v>42</v>
      </c>
      <c r="F112" s="26" t="s">
        <v>42</v>
      </c>
      <c r="G112" s="60" t="s">
        <v>42</v>
      </c>
      <c r="H112" s="26" t="s">
        <v>42</v>
      </c>
      <c r="I112" s="26" t="s">
        <v>42</v>
      </c>
      <c r="J112" s="26" t="s">
        <v>42</v>
      </c>
      <c r="K112" s="26" t="s">
        <v>42</v>
      </c>
      <c r="L112" s="26" t="s">
        <v>42</v>
      </c>
      <c r="M112" s="60" t="s">
        <v>42</v>
      </c>
      <c r="N112" s="26" t="s">
        <v>42</v>
      </c>
      <c r="O112" s="60" t="s">
        <v>42</v>
      </c>
      <c r="P112" s="26" t="s">
        <v>42</v>
      </c>
      <c r="Q112" s="26" t="s">
        <v>42</v>
      </c>
      <c r="S112" s="26" t="s">
        <v>42</v>
      </c>
      <c r="T112" s="26" t="s">
        <v>42</v>
      </c>
      <c r="U112" s="26" t="s">
        <v>42</v>
      </c>
      <c r="V112" s="26" t="s">
        <v>42</v>
      </c>
      <c r="W112" s="26" t="s">
        <v>42</v>
      </c>
      <c r="X112" s="26" t="s">
        <v>42</v>
      </c>
      <c r="Y112" s="26" t="s">
        <v>42</v>
      </c>
      <c r="Z112" s="26" t="s">
        <v>42</v>
      </c>
      <c r="AA112" s="26" t="s">
        <v>42</v>
      </c>
      <c r="AB112" s="26" t="s">
        <v>42</v>
      </c>
      <c r="AC112" s="26" t="s">
        <v>42</v>
      </c>
      <c r="AD112" s="26" t="s">
        <v>42</v>
      </c>
      <c r="AE112" s="26" t="s">
        <v>42</v>
      </c>
      <c r="AF112" s="26" t="s">
        <v>42</v>
      </c>
      <c r="AH112" s="26"/>
      <c r="AI112" s="26"/>
      <c r="AJ112" s="26"/>
      <c r="AM112" s="26"/>
      <c r="AN112" s="26"/>
      <c r="AO112" s="26"/>
      <c r="AP112" s="26"/>
      <c r="AQ112" s="26"/>
      <c r="AR112" s="26"/>
    </row>
    <row r="113" spans="1:44" hidden="1" outlineLevel="1" x14ac:dyDescent="0.25">
      <c r="A113" s="20" t="s">
        <v>506</v>
      </c>
      <c r="B113" s="21" t="s">
        <v>505</v>
      </c>
      <c r="O113" s="60"/>
      <c r="Q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H113" s="26"/>
      <c r="AI113" s="26"/>
      <c r="AJ113" s="26"/>
      <c r="AM113" s="26"/>
      <c r="AN113" s="26"/>
      <c r="AO113" s="26"/>
      <c r="AP113" s="26"/>
      <c r="AQ113" s="26"/>
      <c r="AR113" s="26"/>
    </row>
    <row r="114" spans="1:44" ht="17.100000000000001" hidden="1" customHeight="1" outlineLevel="1" x14ac:dyDescent="0.25">
      <c r="A114" s="20" t="s">
        <v>504</v>
      </c>
      <c r="B114" s="21" t="s">
        <v>139</v>
      </c>
      <c r="O114" s="60"/>
      <c r="Q114" s="26"/>
      <c r="S114" s="26" t="s">
        <v>42</v>
      </c>
      <c r="T114" s="26" t="s">
        <v>42</v>
      </c>
      <c r="U114" s="26" t="s">
        <v>42</v>
      </c>
      <c r="V114" s="26" t="s">
        <v>42</v>
      </c>
      <c r="W114" s="26" t="s">
        <v>42</v>
      </c>
      <c r="X114" s="26" t="s">
        <v>42</v>
      </c>
      <c r="Y114" s="26"/>
      <c r="Z114" s="26"/>
      <c r="AA114" s="26"/>
      <c r="AB114" s="26"/>
      <c r="AC114" s="26" t="s">
        <v>42</v>
      </c>
      <c r="AD114" s="26" t="s">
        <v>42</v>
      </c>
      <c r="AE114" s="26" t="s">
        <v>42</v>
      </c>
      <c r="AF114" s="26" t="s">
        <v>42</v>
      </c>
      <c r="AM114" s="26"/>
      <c r="AN114" s="26"/>
      <c r="AO114" s="26"/>
      <c r="AP114" s="26"/>
      <c r="AQ114" s="26"/>
      <c r="AR114" s="26"/>
    </row>
    <row r="115" spans="1:44" ht="30" hidden="1" outlineLevel="1" x14ac:dyDescent="0.25">
      <c r="A115" s="20" t="s">
        <v>503</v>
      </c>
      <c r="B115" s="21" t="s">
        <v>141</v>
      </c>
      <c r="O115" s="60"/>
      <c r="Q115" s="26"/>
      <c r="S115" s="26" t="s">
        <v>78</v>
      </c>
      <c r="T115" s="26" t="s">
        <v>78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H115" s="26"/>
      <c r="AI115" s="26"/>
      <c r="AJ115" s="26"/>
      <c r="AM115" s="26"/>
      <c r="AN115" s="26"/>
      <c r="AO115" s="26"/>
      <c r="AP115" s="26"/>
      <c r="AQ115" s="26"/>
      <c r="AR115" s="26"/>
    </row>
    <row r="116" spans="1:44" ht="30" hidden="1" outlineLevel="1" x14ac:dyDescent="0.25">
      <c r="A116" s="20" t="s">
        <v>502</v>
      </c>
      <c r="B116" s="21" t="s">
        <v>143</v>
      </c>
      <c r="O116" s="60"/>
      <c r="Q116" s="26"/>
      <c r="S116" s="26" t="s">
        <v>78</v>
      </c>
      <c r="T116" s="26" t="s">
        <v>78</v>
      </c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H116" s="26"/>
      <c r="AI116" s="26"/>
      <c r="AJ116" s="26"/>
      <c r="AM116" s="26"/>
      <c r="AN116" s="26"/>
      <c r="AO116" s="26"/>
      <c r="AP116" s="26"/>
      <c r="AQ116" s="26"/>
      <c r="AR116" s="26"/>
    </row>
    <row r="117" spans="1:44" hidden="1" outlineLevel="1" x14ac:dyDescent="0.25">
      <c r="A117" s="20" t="s">
        <v>501</v>
      </c>
      <c r="B117" s="21" t="s">
        <v>500</v>
      </c>
      <c r="O117" s="60"/>
      <c r="Q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H117" s="26" t="s">
        <v>42</v>
      </c>
      <c r="AI117" s="26" t="s">
        <v>42</v>
      </c>
      <c r="AJ117" s="26" t="s">
        <v>42</v>
      </c>
      <c r="AK117" s="26" t="s">
        <v>42</v>
      </c>
      <c r="AM117" s="26"/>
      <c r="AN117" s="26"/>
      <c r="AO117" s="26"/>
      <c r="AP117" s="26"/>
      <c r="AQ117" s="26"/>
      <c r="AR117" s="26"/>
    </row>
    <row r="118" spans="1:44" hidden="1" outlineLevel="1" x14ac:dyDescent="0.25">
      <c r="A118" s="20" t="s">
        <v>499</v>
      </c>
      <c r="B118" s="21" t="s">
        <v>498</v>
      </c>
      <c r="D118" s="26" t="s">
        <v>42</v>
      </c>
      <c r="E118" s="26" t="s">
        <v>42</v>
      </c>
      <c r="F118" s="26" t="s">
        <v>42</v>
      </c>
      <c r="G118" s="60" t="s">
        <v>42</v>
      </c>
      <c r="H118" s="26" t="s">
        <v>42</v>
      </c>
      <c r="I118" s="26" t="s">
        <v>42</v>
      </c>
      <c r="J118" s="26" t="s">
        <v>42</v>
      </c>
      <c r="K118" s="26" t="s">
        <v>42</v>
      </c>
      <c r="L118" s="26" t="s">
        <v>42</v>
      </c>
      <c r="M118" s="60" t="s">
        <v>42</v>
      </c>
      <c r="N118" s="26" t="s">
        <v>42</v>
      </c>
      <c r="O118" s="60" t="s">
        <v>42</v>
      </c>
      <c r="P118" s="26" t="s">
        <v>42</v>
      </c>
      <c r="Q118" s="26" t="s">
        <v>42</v>
      </c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H118" s="26" t="s">
        <v>42</v>
      </c>
      <c r="AI118" s="26" t="s">
        <v>42</v>
      </c>
      <c r="AJ118" s="26" t="s">
        <v>42</v>
      </c>
      <c r="AK118" s="26" t="s">
        <v>42</v>
      </c>
      <c r="AM118" s="26"/>
      <c r="AN118" s="26"/>
      <c r="AO118" s="26"/>
      <c r="AP118" s="26"/>
      <c r="AQ118" s="26"/>
      <c r="AR118" s="26"/>
    </row>
    <row r="119" spans="1:44" hidden="1" outlineLevel="1" x14ac:dyDescent="0.25">
      <c r="A119" s="20" t="s">
        <v>497</v>
      </c>
      <c r="B119" s="21" t="s">
        <v>496</v>
      </c>
      <c r="O119" s="60"/>
      <c r="Q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H119" s="26" t="s">
        <v>42</v>
      </c>
      <c r="AI119" s="26" t="s">
        <v>42</v>
      </c>
      <c r="AJ119" s="26" t="s">
        <v>42</v>
      </c>
      <c r="AK119" s="26" t="s">
        <v>42</v>
      </c>
      <c r="AM119" s="26"/>
      <c r="AN119" s="26"/>
      <c r="AO119" s="26"/>
      <c r="AP119" s="26"/>
      <c r="AQ119" s="26"/>
      <c r="AR119" s="26"/>
    </row>
    <row r="120" spans="1:44" hidden="1" outlineLevel="1" x14ac:dyDescent="0.25">
      <c r="A120" s="20" t="s">
        <v>495</v>
      </c>
      <c r="B120" s="21" t="s">
        <v>494</v>
      </c>
      <c r="O120" s="60"/>
      <c r="Q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H120" s="26" t="s">
        <v>42</v>
      </c>
      <c r="AI120" s="26" t="s">
        <v>42</v>
      </c>
      <c r="AJ120" s="26" t="s">
        <v>42</v>
      </c>
      <c r="AK120" s="26" t="s">
        <v>42</v>
      </c>
      <c r="AM120" s="26"/>
      <c r="AN120" s="26"/>
      <c r="AO120" s="26"/>
      <c r="AP120" s="26"/>
      <c r="AQ120" s="26"/>
      <c r="AR120" s="26"/>
    </row>
    <row r="121" spans="1:44" hidden="1" outlineLevel="1" x14ac:dyDescent="0.25">
      <c r="A121" s="20" t="s">
        <v>493</v>
      </c>
      <c r="B121" s="21" t="s">
        <v>492</v>
      </c>
      <c r="O121" s="60"/>
      <c r="Q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H121" s="26" t="s">
        <v>42</v>
      </c>
      <c r="AI121" s="26" t="s">
        <v>42</v>
      </c>
      <c r="AJ121" s="26" t="s">
        <v>42</v>
      </c>
      <c r="AK121" s="26" t="s">
        <v>42</v>
      </c>
      <c r="AM121" s="26"/>
      <c r="AN121" s="26"/>
      <c r="AO121" s="26"/>
      <c r="AP121" s="26"/>
      <c r="AQ121" s="26"/>
      <c r="AR121" s="26"/>
    </row>
    <row r="122" spans="1:44" hidden="1" outlineLevel="1" x14ac:dyDescent="0.25">
      <c r="A122" s="20" t="s">
        <v>491</v>
      </c>
      <c r="B122" s="21" t="s">
        <v>490</v>
      </c>
      <c r="O122" s="60"/>
      <c r="Q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H122" s="26"/>
      <c r="AI122" s="26"/>
      <c r="AJ122" s="26"/>
      <c r="AK122" s="26"/>
      <c r="AM122" s="26"/>
      <c r="AN122" s="26"/>
      <c r="AO122" s="26"/>
      <c r="AP122" s="26"/>
      <c r="AQ122" s="26"/>
      <c r="AR122" s="26"/>
    </row>
    <row r="123" spans="1:44" hidden="1" outlineLevel="1" x14ac:dyDescent="0.25">
      <c r="A123" s="20" t="s">
        <v>489</v>
      </c>
      <c r="B123" s="21" t="s">
        <v>488</v>
      </c>
      <c r="D123" s="26" t="s">
        <v>42</v>
      </c>
      <c r="E123" s="26" t="s">
        <v>42</v>
      </c>
      <c r="F123" s="26" t="s">
        <v>42</v>
      </c>
      <c r="G123" s="60" t="s">
        <v>42</v>
      </c>
      <c r="H123" s="26" t="s">
        <v>42</v>
      </c>
      <c r="I123" s="26" t="s">
        <v>42</v>
      </c>
      <c r="J123" s="26" t="s">
        <v>42</v>
      </c>
      <c r="K123" s="26" t="s">
        <v>42</v>
      </c>
      <c r="L123" s="26" t="s">
        <v>42</v>
      </c>
      <c r="M123" s="60" t="s">
        <v>42</v>
      </c>
      <c r="N123" s="26" t="s">
        <v>42</v>
      </c>
      <c r="O123" s="60" t="s">
        <v>42</v>
      </c>
      <c r="P123" s="26" t="s">
        <v>42</v>
      </c>
      <c r="Q123" s="26" t="s">
        <v>42</v>
      </c>
      <c r="S123" s="26" t="s">
        <v>42</v>
      </c>
      <c r="T123" s="26" t="s">
        <v>42</v>
      </c>
      <c r="U123" s="26" t="s">
        <v>42</v>
      </c>
      <c r="V123" s="26" t="s">
        <v>42</v>
      </c>
      <c r="W123" s="26" t="s">
        <v>42</v>
      </c>
      <c r="X123" s="26" t="s">
        <v>42</v>
      </c>
      <c r="Y123" s="26" t="s">
        <v>42</v>
      </c>
      <c r="Z123" s="26" t="s">
        <v>42</v>
      </c>
      <c r="AA123" s="26" t="s">
        <v>42</v>
      </c>
      <c r="AB123" s="26" t="s">
        <v>42</v>
      </c>
      <c r="AC123" s="26" t="s">
        <v>42</v>
      </c>
      <c r="AD123" s="26" t="s">
        <v>42</v>
      </c>
      <c r="AE123" s="26" t="s">
        <v>42</v>
      </c>
      <c r="AF123" s="26" t="s">
        <v>42</v>
      </c>
      <c r="AH123" s="26"/>
      <c r="AI123" s="26"/>
      <c r="AJ123" s="26"/>
      <c r="AK123" s="26"/>
      <c r="AM123" s="26"/>
      <c r="AN123" s="26"/>
      <c r="AO123" s="26"/>
      <c r="AP123" s="26"/>
      <c r="AQ123" s="26"/>
      <c r="AR123" s="26"/>
    </row>
    <row r="124" spans="1:44" hidden="1" outlineLevel="1" x14ac:dyDescent="0.25">
      <c r="A124" s="20" t="s">
        <v>487</v>
      </c>
      <c r="B124" s="21" t="s">
        <v>486</v>
      </c>
      <c r="O124" s="60"/>
      <c r="Q124" s="26"/>
      <c r="S124" s="26" t="s">
        <v>42</v>
      </c>
      <c r="T124" s="26" t="s">
        <v>42</v>
      </c>
      <c r="U124" s="26" t="s">
        <v>42</v>
      </c>
      <c r="V124" s="26" t="s">
        <v>42</v>
      </c>
      <c r="W124" s="26" t="s">
        <v>42</v>
      </c>
      <c r="X124" s="26" t="s">
        <v>42</v>
      </c>
      <c r="Y124" s="26"/>
      <c r="Z124" s="26"/>
      <c r="AA124" s="26"/>
      <c r="AB124" s="26"/>
      <c r="AC124" s="26"/>
      <c r="AD124" s="26"/>
      <c r="AE124" s="26"/>
      <c r="AF124" s="26"/>
      <c r="AH124" s="26"/>
      <c r="AI124" s="26"/>
      <c r="AJ124" s="26"/>
      <c r="AK124" s="26"/>
      <c r="AM124" s="26"/>
      <c r="AN124" s="26"/>
      <c r="AO124" s="26"/>
      <c r="AP124" s="26"/>
      <c r="AQ124" s="26"/>
      <c r="AR124" s="26"/>
    </row>
    <row r="125" spans="1:44" hidden="1" outlineLevel="1" x14ac:dyDescent="0.25">
      <c r="A125" s="20" t="s">
        <v>485</v>
      </c>
      <c r="B125" s="21" t="s">
        <v>147</v>
      </c>
      <c r="O125" s="60"/>
      <c r="Q125" s="26"/>
      <c r="S125" s="26" t="s">
        <v>42</v>
      </c>
      <c r="T125" s="26" t="s">
        <v>42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H125" s="26"/>
      <c r="AI125" s="26"/>
      <c r="AJ125" s="26"/>
      <c r="AK125" s="26"/>
      <c r="AM125" s="26"/>
      <c r="AN125" s="26"/>
      <c r="AO125" s="26"/>
      <c r="AP125" s="26"/>
      <c r="AQ125" s="26"/>
      <c r="AR125" s="26"/>
    </row>
    <row r="126" spans="1:44" hidden="1" outlineLevel="1" x14ac:dyDescent="0.25">
      <c r="A126" s="20" t="s">
        <v>484</v>
      </c>
      <c r="B126" s="21" t="s">
        <v>149</v>
      </c>
      <c r="O126" s="60"/>
      <c r="Q126" s="26"/>
      <c r="S126" s="26" t="s">
        <v>42</v>
      </c>
      <c r="T126" s="26" t="s">
        <v>42</v>
      </c>
      <c r="U126" s="26" t="s">
        <v>42</v>
      </c>
      <c r="V126" s="26" t="s">
        <v>42</v>
      </c>
      <c r="W126" s="26" t="s">
        <v>42</v>
      </c>
      <c r="X126" s="26" t="s">
        <v>42</v>
      </c>
      <c r="Y126" s="26" t="s">
        <v>42</v>
      </c>
      <c r="Z126" s="26" t="s">
        <v>42</v>
      </c>
      <c r="AA126" s="26" t="s">
        <v>42</v>
      </c>
      <c r="AB126" s="26" t="s">
        <v>42</v>
      </c>
      <c r="AC126" s="26" t="s">
        <v>42</v>
      </c>
      <c r="AD126" s="26" t="s">
        <v>42</v>
      </c>
      <c r="AE126" s="26" t="s">
        <v>42</v>
      </c>
      <c r="AF126" s="26" t="s">
        <v>42</v>
      </c>
      <c r="AH126" s="26"/>
      <c r="AI126" s="26"/>
      <c r="AJ126" s="26"/>
      <c r="AK126" s="26"/>
      <c r="AM126" s="26"/>
      <c r="AN126" s="26"/>
      <c r="AO126" s="26"/>
      <c r="AP126" s="26"/>
      <c r="AQ126" s="26"/>
      <c r="AR126" s="26"/>
    </row>
    <row r="127" spans="1:44" hidden="1" outlineLevel="1" x14ac:dyDescent="0.25">
      <c r="A127" s="20" t="s">
        <v>483</v>
      </c>
      <c r="B127" s="21" t="s">
        <v>482</v>
      </c>
      <c r="O127" s="60"/>
      <c r="Q127" s="26"/>
      <c r="S127" s="26" t="s">
        <v>42</v>
      </c>
      <c r="T127" s="26" t="s">
        <v>42</v>
      </c>
      <c r="U127" s="26" t="s">
        <v>42</v>
      </c>
      <c r="V127" s="26" t="s">
        <v>42</v>
      </c>
      <c r="W127" s="26" t="s">
        <v>42</v>
      </c>
      <c r="X127" s="26" t="s">
        <v>42</v>
      </c>
      <c r="Y127" s="26" t="s">
        <v>42</v>
      </c>
      <c r="Z127" s="26" t="s">
        <v>42</v>
      </c>
      <c r="AA127" s="26" t="s">
        <v>42</v>
      </c>
      <c r="AB127" s="26" t="s">
        <v>42</v>
      </c>
      <c r="AC127" s="26" t="s">
        <v>42</v>
      </c>
      <c r="AD127" s="26" t="s">
        <v>42</v>
      </c>
      <c r="AE127" s="26" t="s">
        <v>42</v>
      </c>
      <c r="AF127" s="26" t="s">
        <v>42</v>
      </c>
      <c r="AH127" s="26"/>
      <c r="AI127" s="26"/>
      <c r="AJ127" s="26"/>
      <c r="AK127" s="26"/>
      <c r="AM127" s="26"/>
      <c r="AN127" s="26"/>
      <c r="AO127" s="26"/>
      <c r="AP127" s="26"/>
      <c r="AQ127" s="26"/>
      <c r="AR127" s="26"/>
    </row>
    <row r="128" spans="1:44" ht="30" hidden="1" outlineLevel="1" x14ac:dyDescent="0.25">
      <c r="A128" s="20" t="s">
        <v>481</v>
      </c>
      <c r="B128" s="27" t="s">
        <v>480</v>
      </c>
      <c r="S128" s="26" t="s">
        <v>42</v>
      </c>
      <c r="T128" s="26" t="s">
        <v>42</v>
      </c>
      <c r="U128" s="26" t="s">
        <v>42</v>
      </c>
      <c r="V128" s="26" t="s">
        <v>42</v>
      </c>
      <c r="W128" s="26" t="s">
        <v>42</v>
      </c>
      <c r="X128" s="26" t="s">
        <v>42</v>
      </c>
      <c r="Y128" s="26"/>
      <c r="Z128" s="26"/>
      <c r="AA128" s="26"/>
      <c r="AB128" s="26"/>
      <c r="AC128" s="26"/>
      <c r="AD128" s="26"/>
      <c r="AE128" s="26"/>
      <c r="AF128" s="26"/>
      <c r="AH128" s="26"/>
      <c r="AI128" s="26"/>
      <c r="AJ128" s="26"/>
      <c r="AK128" s="26"/>
      <c r="AM128" s="26"/>
      <c r="AN128" s="26"/>
      <c r="AO128" s="26"/>
      <c r="AP128" s="26"/>
      <c r="AQ128" s="26"/>
      <c r="AR128" s="26"/>
    </row>
    <row r="129" spans="1:44" hidden="1" outlineLevel="1" x14ac:dyDescent="0.25">
      <c r="A129" s="20" t="s">
        <v>479</v>
      </c>
      <c r="B129" s="21" t="s">
        <v>478</v>
      </c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H129" s="26"/>
      <c r="AI129" s="26"/>
      <c r="AJ129" s="26"/>
      <c r="AK129" s="26"/>
      <c r="AM129" s="26"/>
      <c r="AN129" s="26"/>
      <c r="AO129" s="26"/>
      <c r="AP129" s="26"/>
      <c r="AQ129" s="26"/>
      <c r="AR129" s="26"/>
    </row>
    <row r="130" spans="1:44" hidden="1" outlineLevel="1" x14ac:dyDescent="0.25">
      <c r="A130" s="20" t="s">
        <v>477</v>
      </c>
      <c r="B130" s="21" t="s">
        <v>476</v>
      </c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H130" s="26" t="s">
        <v>42</v>
      </c>
      <c r="AI130" s="26" t="s">
        <v>42</v>
      </c>
      <c r="AJ130" s="26" t="s">
        <v>42</v>
      </c>
      <c r="AK130" s="26" t="s">
        <v>42</v>
      </c>
      <c r="AM130" s="26"/>
      <c r="AN130" s="26"/>
      <c r="AO130" s="26"/>
      <c r="AP130" s="26"/>
      <c r="AQ130" s="26"/>
      <c r="AR130" s="26"/>
    </row>
    <row r="131" spans="1:44" hidden="1" outlineLevel="1" x14ac:dyDescent="0.25">
      <c r="A131" s="20" t="s">
        <v>475</v>
      </c>
      <c r="B131" s="89" t="s">
        <v>474</v>
      </c>
      <c r="C131" s="21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H131" s="26" t="s">
        <v>42</v>
      </c>
      <c r="AI131" s="26" t="s">
        <v>42</v>
      </c>
      <c r="AJ131" s="26" t="s">
        <v>42</v>
      </c>
      <c r="AK131" s="26" t="s">
        <v>42</v>
      </c>
      <c r="AM131" s="26"/>
      <c r="AN131" s="26"/>
      <c r="AO131" s="26"/>
      <c r="AP131" s="26"/>
      <c r="AQ131" s="26"/>
      <c r="AR131" s="26"/>
    </row>
    <row r="132" spans="1:44" ht="30" hidden="1" outlineLevel="1" x14ac:dyDescent="0.25">
      <c r="A132" s="20" t="s">
        <v>473</v>
      </c>
      <c r="B132" s="89" t="s">
        <v>472</v>
      </c>
      <c r="C132" s="21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H132" s="26" t="s">
        <v>42</v>
      </c>
      <c r="AI132" s="26" t="s">
        <v>42</v>
      </c>
      <c r="AJ132" s="26" t="s">
        <v>42</v>
      </c>
      <c r="AK132" s="26" t="s">
        <v>42</v>
      </c>
      <c r="AM132" s="26"/>
      <c r="AN132" s="26"/>
      <c r="AO132" s="26"/>
      <c r="AP132" s="26"/>
      <c r="AQ132" s="26"/>
      <c r="AR132" s="26"/>
    </row>
    <row r="133" spans="1:44" ht="30" hidden="1" outlineLevel="1" x14ac:dyDescent="0.25">
      <c r="A133" s="20" t="s">
        <v>471</v>
      </c>
      <c r="B133" s="89" t="s">
        <v>470</v>
      </c>
      <c r="C133" s="21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H133" s="26" t="s">
        <v>42</v>
      </c>
      <c r="AI133" s="26" t="s">
        <v>42</v>
      </c>
      <c r="AJ133" s="26" t="s">
        <v>42</v>
      </c>
      <c r="AK133" s="26" t="s">
        <v>42</v>
      </c>
      <c r="AM133" s="26"/>
      <c r="AN133" s="26"/>
      <c r="AO133" s="26"/>
      <c r="AP133" s="26"/>
      <c r="AQ133" s="26"/>
      <c r="AR133" s="26"/>
    </row>
    <row r="134" spans="1:44" ht="30" hidden="1" outlineLevel="1" x14ac:dyDescent="0.25">
      <c r="A134" s="20" t="s">
        <v>469</v>
      </c>
      <c r="B134" s="89" t="s">
        <v>468</v>
      </c>
      <c r="C134" s="21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H134" s="26" t="s">
        <v>42</v>
      </c>
      <c r="AI134" s="26" t="s">
        <v>42</v>
      </c>
      <c r="AJ134" s="26" t="s">
        <v>42</v>
      </c>
      <c r="AK134" s="26" t="s">
        <v>42</v>
      </c>
      <c r="AM134" s="26"/>
      <c r="AN134" s="26"/>
      <c r="AO134" s="26"/>
      <c r="AP134" s="26"/>
      <c r="AQ134" s="26"/>
      <c r="AR134" s="26"/>
    </row>
    <row r="135" spans="1:44" hidden="1" outlineLevel="1" x14ac:dyDescent="0.25">
      <c r="A135" s="20" t="s">
        <v>467</v>
      </c>
      <c r="B135" s="21" t="s">
        <v>155</v>
      </c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H135" s="26" t="s">
        <v>42</v>
      </c>
      <c r="AI135" s="26" t="s">
        <v>42</v>
      </c>
      <c r="AJ135" s="26" t="s">
        <v>42</v>
      </c>
      <c r="AK135" s="26" t="s">
        <v>42</v>
      </c>
      <c r="AM135" s="26"/>
      <c r="AN135" s="26"/>
      <c r="AO135" s="26"/>
      <c r="AP135" s="26"/>
      <c r="AQ135" s="26"/>
      <c r="AR135" s="26"/>
    </row>
    <row r="136" spans="1:44" hidden="1" outlineLevel="1" x14ac:dyDescent="0.25">
      <c r="A136" s="20" t="s">
        <v>466</v>
      </c>
      <c r="B136" s="89" t="s">
        <v>157</v>
      </c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H136" s="26" t="s">
        <v>42</v>
      </c>
      <c r="AI136" s="26" t="s">
        <v>42</v>
      </c>
      <c r="AJ136" s="26" t="s">
        <v>42</v>
      </c>
      <c r="AK136" s="26" t="s">
        <v>42</v>
      </c>
      <c r="AM136" s="26"/>
      <c r="AN136" s="26"/>
      <c r="AO136" s="26"/>
      <c r="AP136" s="26"/>
      <c r="AQ136" s="26"/>
      <c r="AR136" s="26"/>
    </row>
    <row r="137" spans="1:44" hidden="1" outlineLevel="1" x14ac:dyDescent="0.25">
      <c r="A137" s="20" t="s">
        <v>465</v>
      </c>
      <c r="B137" s="21" t="s">
        <v>464</v>
      </c>
      <c r="S137" s="26" t="s">
        <v>42</v>
      </c>
      <c r="T137" s="26" t="s">
        <v>42</v>
      </c>
      <c r="U137" s="26" t="s">
        <v>42</v>
      </c>
      <c r="V137" s="26" t="s">
        <v>42</v>
      </c>
      <c r="W137" s="26" t="s">
        <v>42</v>
      </c>
      <c r="X137" s="26" t="s">
        <v>42</v>
      </c>
      <c r="Y137" s="26"/>
      <c r="Z137" s="26"/>
      <c r="AA137" s="26"/>
      <c r="AB137" s="26"/>
      <c r="AC137" s="26"/>
      <c r="AD137" s="26"/>
      <c r="AE137" s="26"/>
      <c r="AH137" s="26"/>
      <c r="AI137" s="26"/>
      <c r="AJ137" s="26"/>
      <c r="AK137" s="26"/>
      <c r="AM137" s="26"/>
      <c r="AN137" s="26"/>
      <c r="AO137" s="26"/>
      <c r="AP137" s="26"/>
      <c r="AQ137" s="26"/>
      <c r="AR137" s="26"/>
    </row>
    <row r="138" spans="1:44" hidden="1" outlineLevel="1" x14ac:dyDescent="0.25">
      <c r="A138" s="20" t="s">
        <v>463</v>
      </c>
      <c r="B138" s="21" t="s">
        <v>462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H138" s="26" t="s">
        <v>42</v>
      </c>
      <c r="AI138" s="26" t="s">
        <v>42</v>
      </c>
      <c r="AJ138" s="26" t="s">
        <v>42</v>
      </c>
      <c r="AK138" s="26" t="s">
        <v>42</v>
      </c>
      <c r="AM138" s="26"/>
      <c r="AN138" s="26"/>
      <c r="AO138" s="26"/>
      <c r="AP138" s="26"/>
      <c r="AQ138" s="26"/>
      <c r="AR138" s="26"/>
    </row>
    <row r="139" spans="1:44" ht="30" hidden="1" outlineLevel="1" x14ac:dyDescent="0.25">
      <c r="A139" s="20" t="s">
        <v>461</v>
      </c>
      <c r="B139" s="21" t="s">
        <v>460</v>
      </c>
      <c r="S139" s="26" t="s">
        <v>42</v>
      </c>
      <c r="T139" s="26" t="s">
        <v>42</v>
      </c>
      <c r="U139" s="26" t="s">
        <v>42</v>
      </c>
      <c r="V139" s="26" t="s">
        <v>42</v>
      </c>
      <c r="W139" s="26" t="s">
        <v>42</v>
      </c>
      <c r="X139" s="26" t="s">
        <v>42</v>
      </c>
      <c r="Y139" s="26"/>
      <c r="Z139" s="26"/>
      <c r="AA139" s="26"/>
      <c r="AB139" s="26"/>
      <c r="AC139" s="26"/>
      <c r="AD139" s="26"/>
      <c r="AE139" s="26"/>
      <c r="AH139" s="26"/>
      <c r="AI139" s="26"/>
      <c r="AJ139" s="26"/>
      <c r="AK139" s="26"/>
      <c r="AM139" s="26"/>
      <c r="AN139" s="26"/>
      <c r="AO139" s="26"/>
      <c r="AP139" s="26"/>
      <c r="AQ139" s="26"/>
      <c r="AR139" s="26"/>
    </row>
    <row r="140" spans="1:44" hidden="1" outlineLevel="1" x14ac:dyDescent="0.25">
      <c r="A140" s="20" t="s">
        <v>459</v>
      </c>
      <c r="B140" s="21" t="s">
        <v>458</v>
      </c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H140" s="26" t="s">
        <v>42</v>
      </c>
      <c r="AI140" s="26" t="s">
        <v>42</v>
      </c>
      <c r="AJ140" s="26" t="s">
        <v>42</v>
      </c>
      <c r="AK140" s="26" t="s">
        <v>42</v>
      </c>
      <c r="AM140" s="26"/>
      <c r="AN140" s="26"/>
      <c r="AO140" s="26"/>
      <c r="AP140" s="26"/>
      <c r="AQ140" s="26"/>
      <c r="AR140" s="26"/>
    </row>
    <row r="141" spans="1:44" hidden="1" outlineLevel="1" x14ac:dyDescent="0.25">
      <c r="A141" s="20" t="s">
        <v>457</v>
      </c>
      <c r="B141" s="21" t="s">
        <v>456</v>
      </c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H141" s="26"/>
      <c r="AI141" s="26" t="s">
        <v>42</v>
      </c>
      <c r="AJ141" s="26" t="s">
        <v>42</v>
      </c>
      <c r="AK141" s="26" t="s">
        <v>42</v>
      </c>
      <c r="AM141" s="26"/>
      <c r="AN141" s="26"/>
      <c r="AO141" s="26"/>
      <c r="AP141" s="26"/>
      <c r="AQ141" s="26"/>
      <c r="AR141" s="26"/>
    </row>
    <row r="142" spans="1:44" hidden="1" outlineLevel="1" x14ac:dyDescent="0.25">
      <c r="A142" s="20" t="s">
        <v>455</v>
      </c>
      <c r="B142" s="21" t="s">
        <v>454</v>
      </c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H142" s="26"/>
      <c r="AI142" s="26" t="s">
        <v>42</v>
      </c>
      <c r="AJ142" s="26" t="s">
        <v>42</v>
      </c>
      <c r="AK142" s="26" t="s">
        <v>42</v>
      </c>
      <c r="AM142" s="26"/>
      <c r="AN142" s="26"/>
      <c r="AO142" s="26"/>
      <c r="AP142" s="26"/>
      <c r="AQ142" s="26"/>
      <c r="AR142" s="26"/>
    </row>
    <row r="143" spans="1:44" hidden="1" outlineLevel="1" x14ac:dyDescent="0.25">
      <c r="A143" s="20" t="s">
        <v>453</v>
      </c>
      <c r="B143" s="21" t="s">
        <v>452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H143" s="26"/>
      <c r="AI143" s="26" t="s">
        <v>42</v>
      </c>
      <c r="AJ143" s="26" t="s">
        <v>42</v>
      </c>
      <c r="AK143" s="26" t="s">
        <v>42</v>
      </c>
      <c r="AM143" s="26"/>
      <c r="AN143" s="26"/>
      <c r="AO143" s="26"/>
      <c r="AP143" s="26"/>
      <c r="AQ143" s="26"/>
      <c r="AR143" s="26"/>
    </row>
    <row r="144" spans="1:44" collapsed="1" x14ac:dyDescent="0.25">
      <c r="A144" s="18" t="s">
        <v>451</v>
      </c>
      <c r="B144" s="19" t="s">
        <v>450</v>
      </c>
      <c r="D144" s="26" t="s">
        <v>78</v>
      </c>
      <c r="E144" s="26" t="s">
        <v>78</v>
      </c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H144" s="26"/>
      <c r="AI144" s="26"/>
      <c r="AJ144" s="26"/>
      <c r="AM144" s="26"/>
      <c r="AN144" s="26"/>
      <c r="AO144" s="26"/>
      <c r="AP144" s="26"/>
      <c r="AQ144" s="26"/>
      <c r="AR144" s="26"/>
    </row>
    <row r="145" spans="1:44" ht="30" hidden="1" outlineLevel="1" x14ac:dyDescent="0.25">
      <c r="A145" s="20" t="s">
        <v>449</v>
      </c>
      <c r="B145" s="21" t="s">
        <v>448</v>
      </c>
      <c r="D145" s="26" t="s">
        <v>78</v>
      </c>
      <c r="E145" s="26" t="s">
        <v>78</v>
      </c>
      <c r="S145" s="26" t="s">
        <v>78</v>
      </c>
      <c r="T145" s="26" t="s">
        <v>78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H145" s="26"/>
      <c r="AI145" s="26"/>
      <c r="AJ145" s="26"/>
      <c r="AM145" s="26"/>
      <c r="AN145" s="26"/>
      <c r="AO145" s="26"/>
      <c r="AP145" s="26"/>
      <c r="AQ145" s="26"/>
      <c r="AR145" s="26"/>
    </row>
    <row r="146" spans="1:44" ht="30" hidden="1" outlineLevel="1" x14ac:dyDescent="0.25">
      <c r="A146" s="20" t="s">
        <v>447</v>
      </c>
      <c r="B146" s="21" t="s">
        <v>446</v>
      </c>
      <c r="D146" s="26" t="s">
        <v>78</v>
      </c>
      <c r="E146" s="26" t="s">
        <v>78</v>
      </c>
      <c r="S146" s="26" t="s">
        <v>78</v>
      </c>
      <c r="T146" s="26" t="s">
        <v>78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H146" s="26"/>
      <c r="AI146" s="26"/>
      <c r="AJ146" s="26"/>
      <c r="AM146" s="26"/>
      <c r="AN146" s="26"/>
      <c r="AO146" s="26"/>
      <c r="AP146" s="26"/>
      <c r="AQ146" s="26"/>
      <c r="AR146" s="26"/>
    </row>
    <row r="147" spans="1:44" ht="30" hidden="1" outlineLevel="1" x14ac:dyDescent="0.25">
      <c r="A147" s="20" t="s">
        <v>445</v>
      </c>
      <c r="B147" s="21" t="s">
        <v>444</v>
      </c>
      <c r="D147" s="26" t="s">
        <v>78</v>
      </c>
      <c r="E147" s="26" t="s">
        <v>78</v>
      </c>
      <c r="S147" s="26" t="s">
        <v>78</v>
      </c>
      <c r="T147" s="26" t="s">
        <v>78</v>
      </c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H147" s="26"/>
      <c r="AI147" s="26"/>
      <c r="AJ147" s="26"/>
      <c r="AM147" s="26"/>
      <c r="AN147" s="26"/>
      <c r="AO147" s="26"/>
      <c r="AP147" s="26"/>
      <c r="AQ147" s="26"/>
      <c r="AR147" s="26"/>
    </row>
    <row r="148" spans="1:44" ht="30" hidden="1" outlineLevel="1" x14ac:dyDescent="0.25">
      <c r="A148" s="20" t="s">
        <v>443</v>
      </c>
      <c r="B148" s="21" t="s">
        <v>442</v>
      </c>
      <c r="D148" s="26" t="s">
        <v>78</v>
      </c>
      <c r="E148" s="26" t="s">
        <v>78</v>
      </c>
      <c r="S148" s="26" t="s">
        <v>78</v>
      </c>
      <c r="T148" s="26" t="s">
        <v>78</v>
      </c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H148" s="26"/>
      <c r="AI148" s="26"/>
      <c r="AJ148" s="26"/>
      <c r="AM148" s="26"/>
      <c r="AN148" s="26"/>
      <c r="AO148" s="26"/>
      <c r="AP148" s="26"/>
      <c r="AQ148" s="26"/>
      <c r="AR148" s="26"/>
    </row>
    <row r="149" spans="1:44" collapsed="1" x14ac:dyDescent="0.25">
      <c r="A149" s="18" t="s">
        <v>441</v>
      </c>
      <c r="B149" s="19" t="s">
        <v>440</v>
      </c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H149" s="26"/>
      <c r="AI149" s="26"/>
      <c r="AJ149" s="26"/>
      <c r="AM149" s="26"/>
      <c r="AN149" s="26"/>
      <c r="AO149" s="26"/>
      <c r="AP149" s="26"/>
      <c r="AQ149" s="26"/>
      <c r="AR149" s="26"/>
    </row>
    <row r="150" spans="1:44" ht="30" hidden="1" outlineLevel="1" x14ac:dyDescent="0.25">
      <c r="A150" s="20" t="s">
        <v>439</v>
      </c>
      <c r="B150" s="21" t="s">
        <v>438</v>
      </c>
      <c r="D150" s="26" t="s">
        <v>42</v>
      </c>
      <c r="E150" s="26" t="s">
        <v>42</v>
      </c>
      <c r="F150" s="26" t="s">
        <v>42</v>
      </c>
      <c r="G150" s="60" t="s">
        <v>42</v>
      </c>
      <c r="H150" s="26" t="s">
        <v>42</v>
      </c>
      <c r="I150" s="26" t="s">
        <v>42</v>
      </c>
      <c r="S150" s="26" t="s">
        <v>42</v>
      </c>
      <c r="T150" s="26" t="s">
        <v>42</v>
      </c>
      <c r="U150" s="26" t="s">
        <v>42</v>
      </c>
      <c r="V150" s="26" t="s">
        <v>42</v>
      </c>
      <c r="W150" s="26" t="s">
        <v>42</v>
      </c>
      <c r="X150" s="26" t="s">
        <v>42</v>
      </c>
      <c r="Y150" s="26"/>
      <c r="Z150" s="26"/>
      <c r="AA150" s="26"/>
      <c r="AB150" s="26"/>
      <c r="AC150" s="26"/>
      <c r="AD150" s="26"/>
      <c r="AE150" s="26"/>
      <c r="AH150" s="26" t="s">
        <v>42</v>
      </c>
      <c r="AI150" s="26" t="s">
        <v>42</v>
      </c>
      <c r="AJ150" s="26"/>
      <c r="AM150" s="26"/>
      <c r="AN150" s="26"/>
      <c r="AO150" s="26"/>
      <c r="AP150" s="26"/>
      <c r="AQ150" s="26"/>
      <c r="AR150" s="26"/>
    </row>
    <row r="151" spans="1:44" ht="30" hidden="1" outlineLevel="1" x14ac:dyDescent="0.25">
      <c r="A151" s="20" t="s">
        <v>437</v>
      </c>
      <c r="B151" s="21" t="s">
        <v>436</v>
      </c>
      <c r="C151" s="13" t="s">
        <v>119</v>
      </c>
      <c r="D151" s="26" t="s">
        <v>42</v>
      </c>
      <c r="S151" s="26" t="s">
        <v>42</v>
      </c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H151" s="26" t="s">
        <v>42</v>
      </c>
      <c r="AI151" s="26"/>
      <c r="AJ151" s="26"/>
      <c r="AM151" s="26"/>
      <c r="AN151" s="26"/>
      <c r="AO151" s="26"/>
      <c r="AP151" s="26"/>
      <c r="AQ151" s="26"/>
      <c r="AR151" s="26"/>
    </row>
    <row r="152" spans="1:44" ht="30" hidden="1" outlineLevel="1" x14ac:dyDescent="0.25">
      <c r="A152" s="20" t="s">
        <v>435</v>
      </c>
      <c r="B152" s="21" t="s">
        <v>434</v>
      </c>
      <c r="C152" s="13" t="s">
        <v>119</v>
      </c>
      <c r="D152" s="26" t="s">
        <v>42</v>
      </c>
      <c r="S152" s="26" t="s">
        <v>42</v>
      </c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H152" s="26" t="s">
        <v>42</v>
      </c>
      <c r="AI152" s="26"/>
      <c r="AJ152" s="26"/>
      <c r="AM152" s="26"/>
      <c r="AN152" s="26"/>
      <c r="AO152" s="26"/>
      <c r="AP152" s="26"/>
      <c r="AQ152" s="26"/>
      <c r="AR152" s="26"/>
    </row>
    <row r="153" spans="1:44" ht="30" hidden="1" outlineLevel="1" x14ac:dyDescent="0.25">
      <c r="A153" s="20" t="s">
        <v>433</v>
      </c>
      <c r="B153" s="21" t="s">
        <v>432</v>
      </c>
      <c r="D153" s="26" t="s">
        <v>42</v>
      </c>
      <c r="E153" s="26" t="s">
        <v>42</v>
      </c>
      <c r="F153" s="26" t="s">
        <v>42</v>
      </c>
      <c r="G153" s="60" t="s">
        <v>42</v>
      </c>
      <c r="H153" s="26" t="s">
        <v>42</v>
      </c>
      <c r="I153" s="26" t="s">
        <v>42</v>
      </c>
      <c r="J153" s="26" t="s">
        <v>42</v>
      </c>
      <c r="K153" s="26" t="s">
        <v>42</v>
      </c>
      <c r="L153" s="26" t="s">
        <v>42</v>
      </c>
      <c r="M153" s="60" t="s">
        <v>42</v>
      </c>
      <c r="N153" s="26" t="s">
        <v>42</v>
      </c>
      <c r="O153" s="26" t="s">
        <v>42</v>
      </c>
      <c r="P153" s="26" t="s">
        <v>42</v>
      </c>
      <c r="Q153" s="60" t="s">
        <v>42</v>
      </c>
      <c r="S153" s="26" t="s">
        <v>42</v>
      </c>
      <c r="T153" s="26" t="s">
        <v>42</v>
      </c>
      <c r="U153" s="26" t="s">
        <v>42</v>
      </c>
      <c r="V153" s="26" t="s">
        <v>42</v>
      </c>
      <c r="W153" s="26" t="s">
        <v>42</v>
      </c>
      <c r="X153" s="26" t="s">
        <v>42</v>
      </c>
      <c r="Y153" s="26" t="s">
        <v>42</v>
      </c>
      <c r="Z153" s="26" t="s">
        <v>42</v>
      </c>
      <c r="AA153" s="26" t="s">
        <v>42</v>
      </c>
      <c r="AB153" s="26" t="s">
        <v>42</v>
      </c>
      <c r="AC153" s="26" t="s">
        <v>42</v>
      </c>
      <c r="AD153" s="26" t="s">
        <v>42</v>
      </c>
      <c r="AE153" s="26" t="s">
        <v>42</v>
      </c>
      <c r="AF153" s="60" t="s">
        <v>42</v>
      </c>
      <c r="AH153" s="26" t="s">
        <v>42</v>
      </c>
      <c r="AI153" s="26" t="s">
        <v>42</v>
      </c>
      <c r="AJ153" s="26" t="s">
        <v>42</v>
      </c>
      <c r="AK153" s="26" t="s">
        <v>42</v>
      </c>
      <c r="AM153" s="26"/>
      <c r="AN153" s="26"/>
      <c r="AO153" s="26"/>
      <c r="AP153" s="26"/>
      <c r="AQ153" s="26"/>
      <c r="AR153" s="26"/>
    </row>
    <row r="154" spans="1:44" collapsed="1" x14ac:dyDescent="0.25">
      <c r="A154" s="18" t="s">
        <v>431</v>
      </c>
      <c r="B154" s="19" t="s">
        <v>430</v>
      </c>
      <c r="E154" s="26" t="s">
        <v>42</v>
      </c>
      <c r="F154" s="26" t="s">
        <v>42</v>
      </c>
      <c r="G154" s="60" t="s">
        <v>42</v>
      </c>
      <c r="H154" s="26" t="s">
        <v>42</v>
      </c>
      <c r="I154" s="26" t="s">
        <v>42</v>
      </c>
      <c r="J154" s="26" t="s">
        <v>42</v>
      </c>
      <c r="K154" s="26" t="s">
        <v>42</v>
      </c>
      <c r="L154" s="26" t="s">
        <v>42</v>
      </c>
      <c r="N154" s="26" t="s">
        <v>42</v>
      </c>
      <c r="O154" s="60" t="s">
        <v>42</v>
      </c>
      <c r="P154" s="26" t="s">
        <v>42</v>
      </c>
      <c r="Q154" s="26" t="s">
        <v>42</v>
      </c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H154" s="26"/>
      <c r="AI154" s="26"/>
      <c r="AJ154" s="26"/>
      <c r="AM154" s="26"/>
      <c r="AN154" s="26"/>
      <c r="AO154" s="26"/>
      <c r="AP154" s="26"/>
      <c r="AQ154" s="26"/>
      <c r="AR154" s="26"/>
    </row>
    <row r="155" spans="1:44" hidden="1" outlineLevel="1" x14ac:dyDescent="0.25">
      <c r="A155" s="20" t="s">
        <v>429</v>
      </c>
      <c r="B155" s="21" t="s">
        <v>398</v>
      </c>
      <c r="E155" s="26" t="s">
        <v>42</v>
      </c>
      <c r="F155" s="26" t="s">
        <v>42</v>
      </c>
      <c r="G155" s="60" t="s">
        <v>42</v>
      </c>
      <c r="H155" s="26" t="s">
        <v>42</v>
      </c>
      <c r="I155" s="26" t="s">
        <v>42</v>
      </c>
      <c r="J155" s="26" t="s">
        <v>42</v>
      </c>
      <c r="K155" s="26" t="s">
        <v>42</v>
      </c>
      <c r="L155" s="26" t="s">
        <v>42</v>
      </c>
      <c r="N155" s="26" t="s">
        <v>42</v>
      </c>
      <c r="O155" s="60" t="s">
        <v>42</v>
      </c>
      <c r="P155" s="26" t="s">
        <v>42</v>
      </c>
      <c r="Q155" s="26" t="s">
        <v>42</v>
      </c>
      <c r="S155" s="26"/>
      <c r="T155" s="26" t="s">
        <v>42</v>
      </c>
      <c r="U155" s="26" t="s">
        <v>42</v>
      </c>
      <c r="V155" s="26" t="s">
        <v>42</v>
      </c>
      <c r="W155" s="26" t="s">
        <v>42</v>
      </c>
      <c r="X155" s="26" t="s">
        <v>42</v>
      </c>
      <c r="Y155" s="26" t="s">
        <v>42</v>
      </c>
      <c r="Z155" s="26" t="s">
        <v>42</v>
      </c>
      <c r="AA155" s="26" t="s">
        <v>42</v>
      </c>
      <c r="AB155" s="26"/>
      <c r="AC155" s="26" t="s">
        <v>42</v>
      </c>
      <c r="AD155" s="60" t="s">
        <v>42</v>
      </c>
      <c r="AE155" s="26" t="s">
        <v>42</v>
      </c>
      <c r="AF155" s="26" t="s">
        <v>42</v>
      </c>
      <c r="AH155" s="26"/>
      <c r="AI155" s="26"/>
      <c r="AJ155" s="26"/>
      <c r="AM155" s="26"/>
      <c r="AN155" s="26"/>
      <c r="AO155" s="26"/>
      <c r="AP155" s="26"/>
      <c r="AQ155" s="26"/>
      <c r="AR155" s="26"/>
    </row>
    <row r="156" spans="1:44" hidden="1" outlineLevel="1" x14ac:dyDescent="0.25">
      <c r="A156" s="20" t="s">
        <v>428</v>
      </c>
      <c r="B156" s="21" t="s">
        <v>363</v>
      </c>
      <c r="E156" s="26" t="s">
        <v>42</v>
      </c>
      <c r="F156" s="26" t="s">
        <v>42</v>
      </c>
      <c r="G156" s="60" t="s">
        <v>42</v>
      </c>
      <c r="H156" s="26" t="s">
        <v>42</v>
      </c>
      <c r="I156" s="26" t="s">
        <v>42</v>
      </c>
      <c r="J156" s="26" t="s">
        <v>42</v>
      </c>
      <c r="K156" s="26" t="s">
        <v>42</v>
      </c>
      <c r="L156" s="26" t="s">
        <v>42</v>
      </c>
      <c r="N156" s="26" t="s">
        <v>42</v>
      </c>
      <c r="O156" s="60" t="s">
        <v>42</v>
      </c>
      <c r="P156" s="26" t="s">
        <v>42</v>
      </c>
      <c r="Q156" s="26" t="s">
        <v>42</v>
      </c>
      <c r="S156" s="26"/>
      <c r="T156" s="26" t="s">
        <v>42</v>
      </c>
      <c r="U156" s="26" t="s">
        <v>42</v>
      </c>
      <c r="V156" s="26" t="s">
        <v>42</v>
      </c>
      <c r="W156" s="26" t="s">
        <v>42</v>
      </c>
      <c r="X156" s="26" t="s">
        <v>42</v>
      </c>
      <c r="Y156" s="26" t="s">
        <v>42</v>
      </c>
      <c r="Z156" s="26" t="s">
        <v>42</v>
      </c>
      <c r="AA156" s="26" t="s">
        <v>42</v>
      </c>
      <c r="AB156" s="26"/>
      <c r="AC156" s="26" t="s">
        <v>42</v>
      </c>
      <c r="AD156" s="60" t="s">
        <v>42</v>
      </c>
      <c r="AE156" s="26" t="s">
        <v>42</v>
      </c>
      <c r="AF156" s="26" t="s">
        <v>42</v>
      </c>
      <c r="AH156" s="26"/>
      <c r="AI156" s="26"/>
      <c r="AJ156" s="26"/>
      <c r="AM156" s="26"/>
      <c r="AN156" s="26"/>
      <c r="AO156" s="26"/>
      <c r="AP156" s="26"/>
      <c r="AQ156" s="26"/>
      <c r="AR156" s="26"/>
    </row>
    <row r="157" spans="1:44" hidden="1" outlineLevel="1" x14ac:dyDescent="0.25">
      <c r="A157" s="20" t="s">
        <v>427</v>
      </c>
      <c r="B157" s="21" t="s">
        <v>426</v>
      </c>
      <c r="E157" s="26" t="s">
        <v>42</v>
      </c>
      <c r="F157" s="26" t="s">
        <v>42</v>
      </c>
      <c r="G157" s="60" t="s">
        <v>42</v>
      </c>
      <c r="H157" s="26" t="s">
        <v>42</v>
      </c>
      <c r="I157" s="26" t="s">
        <v>42</v>
      </c>
      <c r="J157" s="26" t="s">
        <v>42</v>
      </c>
      <c r="K157" s="26" t="s">
        <v>42</v>
      </c>
      <c r="L157" s="26" t="s">
        <v>42</v>
      </c>
      <c r="N157" s="26" t="s">
        <v>42</v>
      </c>
      <c r="O157" s="60" t="s">
        <v>42</v>
      </c>
      <c r="P157" s="26" t="s">
        <v>42</v>
      </c>
      <c r="Q157" s="26" t="s">
        <v>42</v>
      </c>
      <c r="S157" s="26"/>
      <c r="T157" s="26" t="s">
        <v>42</v>
      </c>
      <c r="U157" s="26" t="s">
        <v>42</v>
      </c>
      <c r="V157" s="26" t="s">
        <v>42</v>
      </c>
      <c r="W157" s="26" t="s">
        <v>42</v>
      </c>
      <c r="X157" s="26" t="s">
        <v>42</v>
      </c>
      <c r="Y157" s="26" t="s">
        <v>42</v>
      </c>
      <c r="Z157" s="26" t="s">
        <v>42</v>
      </c>
      <c r="AA157" s="26" t="s">
        <v>42</v>
      </c>
      <c r="AB157" s="26"/>
      <c r="AC157" s="26" t="s">
        <v>42</v>
      </c>
      <c r="AD157" s="60" t="s">
        <v>42</v>
      </c>
      <c r="AE157" s="26" t="s">
        <v>42</v>
      </c>
      <c r="AF157" s="26" t="s">
        <v>42</v>
      </c>
      <c r="AH157" s="26"/>
      <c r="AI157" s="26"/>
      <c r="AJ157" s="26"/>
      <c r="AM157" s="26"/>
      <c r="AN157" s="26"/>
      <c r="AO157" s="26"/>
      <c r="AP157" s="26"/>
      <c r="AQ157" s="26"/>
      <c r="AR157" s="26"/>
    </row>
    <row r="158" spans="1:44" hidden="1" outlineLevel="1" x14ac:dyDescent="0.25">
      <c r="A158" s="20" t="s">
        <v>425</v>
      </c>
      <c r="B158" s="21" t="s">
        <v>424</v>
      </c>
      <c r="E158" s="26" t="s">
        <v>42</v>
      </c>
      <c r="F158" s="26" t="s">
        <v>42</v>
      </c>
      <c r="G158" s="60" t="s">
        <v>42</v>
      </c>
      <c r="H158" s="26" t="s">
        <v>42</v>
      </c>
      <c r="I158" s="26" t="s">
        <v>42</v>
      </c>
      <c r="J158" s="26" t="s">
        <v>42</v>
      </c>
      <c r="K158" s="26" t="s">
        <v>42</v>
      </c>
      <c r="L158" s="26" t="s">
        <v>42</v>
      </c>
      <c r="N158" s="26" t="s">
        <v>42</v>
      </c>
      <c r="O158" s="60" t="s">
        <v>42</v>
      </c>
      <c r="P158" s="26" t="s">
        <v>42</v>
      </c>
      <c r="Q158" s="26" t="s">
        <v>42</v>
      </c>
      <c r="S158" s="26"/>
      <c r="T158" s="26" t="s">
        <v>42</v>
      </c>
      <c r="U158" s="26" t="s">
        <v>42</v>
      </c>
      <c r="V158" s="26" t="s">
        <v>42</v>
      </c>
      <c r="W158" s="26" t="s">
        <v>42</v>
      </c>
      <c r="X158" s="26" t="s">
        <v>42</v>
      </c>
      <c r="Y158" s="26" t="s">
        <v>42</v>
      </c>
      <c r="Z158" s="26" t="s">
        <v>42</v>
      </c>
      <c r="AA158" s="26" t="s">
        <v>42</v>
      </c>
      <c r="AB158" s="26"/>
      <c r="AC158" s="26" t="s">
        <v>42</v>
      </c>
      <c r="AD158" s="60" t="s">
        <v>42</v>
      </c>
      <c r="AE158" s="26" t="s">
        <v>42</v>
      </c>
      <c r="AF158" s="26" t="s">
        <v>42</v>
      </c>
      <c r="AH158" s="26"/>
      <c r="AI158" s="26"/>
      <c r="AJ158" s="26"/>
      <c r="AM158" s="26"/>
      <c r="AN158" s="26"/>
      <c r="AO158" s="26"/>
      <c r="AP158" s="26"/>
      <c r="AQ158" s="26"/>
      <c r="AR158" s="26"/>
    </row>
    <row r="159" spans="1:44" hidden="1" outlineLevel="1" x14ac:dyDescent="0.25">
      <c r="A159" s="70" t="s">
        <v>423</v>
      </c>
      <c r="B159" s="69" t="s">
        <v>422</v>
      </c>
      <c r="E159" s="26" t="s">
        <v>42</v>
      </c>
      <c r="F159" s="26" t="s">
        <v>42</v>
      </c>
      <c r="G159" s="60" t="s">
        <v>42</v>
      </c>
      <c r="H159" s="26" t="s">
        <v>42</v>
      </c>
      <c r="I159" s="26" t="s">
        <v>42</v>
      </c>
      <c r="J159" s="26" t="s">
        <v>42</v>
      </c>
      <c r="K159" s="26" t="s">
        <v>42</v>
      </c>
      <c r="L159" s="26" t="s">
        <v>42</v>
      </c>
      <c r="N159" s="26" t="s">
        <v>42</v>
      </c>
      <c r="O159" s="60" t="s">
        <v>42</v>
      </c>
      <c r="P159" s="26" t="s">
        <v>42</v>
      </c>
      <c r="Q159" s="26" t="s">
        <v>42</v>
      </c>
      <c r="S159" s="26"/>
      <c r="T159" s="26" t="s">
        <v>42</v>
      </c>
      <c r="U159" s="26" t="s">
        <v>42</v>
      </c>
      <c r="V159" s="26" t="s">
        <v>42</v>
      </c>
      <c r="W159" s="26" t="s">
        <v>42</v>
      </c>
      <c r="X159" s="26" t="s">
        <v>42</v>
      </c>
      <c r="Y159" s="26" t="s">
        <v>42</v>
      </c>
      <c r="Z159" s="26" t="s">
        <v>42</v>
      </c>
      <c r="AA159" s="26" t="s">
        <v>42</v>
      </c>
      <c r="AB159" s="26"/>
      <c r="AC159" s="26" t="s">
        <v>42</v>
      </c>
      <c r="AD159" s="60" t="s">
        <v>42</v>
      </c>
      <c r="AE159" s="26" t="s">
        <v>42</v>
      </c>
      <c r="AF159" s="26" t="s">
        <v>42</v>
      </c>
      <c r="AH159" s="26"/>
      <c r="AI159" s="26"/>
      <c r="AJ159" s="26"/>
      <c r="AM159" s="26"/>
      <c r="AN159" s="26"/>
      <c r="AO159" s="26"/>
      <c r="AP159" s="26"/>
      <c r="AQ159" s="26"/>
      <c r="AR159" s="26"/>
    </row>
    <row r="160" spans="1:44" hidden="1" outlineLevel="1" x14ac:dyDescent="0.25">
      <c r="A160" s="20" t="s">
        <v>421</v>
      </c>
      <c r="B160" s="21" t="s">
        <v>420</v>
      </c>
      <c r="E160" s="26" t="s">
        <v>42</v>
      </c>
      <c r="F160" s="26" t="s">
        <v>42</v>
      </c>
      <c r="G160" s="60" t="s">
        <v>42</v>
      </c>
      <c r="H160" s="26" t="s">
        <v>42</v>
      </c>
      <c r="I160" s="26" t="s">
        <v>42</v>
      </c>
      <c r="J160" s="26" t="s">
        <v>42</v>
      </c>
      <c r="K160" s="26" t="s">
        <v>42</v>
      </c>
      <c r="L160" s="26" t="s">
        <v>42</v>
      </c>
      <c r="N160" s="26" t="s">
        <v>42</v>
      </c>
      <c r="O160" s="60" t="s">
        <v>42</v>
      </c>
      <c r="P160" s="26" t="s">
        <v>42</v>
      </c>
      <c r="Q160" s="26" t="s">
        <v>42</v>
      </c>
      <c r="S160" s="26"/>
      <c r="T160" s="26" t="s">
        <v>42</v>
      </c>
      <c r="U160" s="26" t="s">
        <v>42</v>
      </c>
      <c r="V160" s="26" t="s">
        <v>42</v>
      </c>
      <c r="W160" s="26" t="s">
        <v>42</v>
      </c>
      <c r="X160" s="26" t="s">
        <v>42</v>
      </c>
      <c r="Y160" s="26" t="s">
        <v>42</v>
      </c>
      <c r="Z160" s="26" t="s">
        <v>42</v>
      </c>
      <c r="AA160" s="26" t="s">
        <v>42</v>
      </c>
      <c r="AB160" s="26"/>
      <c r="AC160" s="26" t="s">
        <v>42</v>
      </c>
      <c r="AD160" s="60" t="s">
        <v>42</v>
      </c>
      <c r="AE160" s="26" t="s">
        <v>42</v>
      </c>
      <c r="AF160" s="26" t="s">
        <v>42</v>
      </c>
      <c r="AH160" s="26"/>
      <c r="AI160" s="26"/>
      <c r="AJ160" s="26"/>
      <c r="AM160" s="26"/>
      <c r="AN160" s="26"/>
      <c r="AO160" s="26"/>
      <c r="AP160" s="26"/>
      <c r="AQ160" s="26"/>
      <c r="AR160" s="26"/>
    </row>
    <row r="161" spans="1:44" hidden="1" outlineLevel="1" x14ac:dyDescent="0.25">
      <c r="A161" s="20" t="s">
        <v>419</v>
      </c>
      <c r="B161" s="21" t="s">
        <v>395</v>
      </c>
      <c r="E161" s="26" t="s">
        <v>42</v>
      </c>
      <c r="F161" s="26" t="s">
        <v>42</v>
      </c>
      <c r="G161" s="60" t="s">
        <v>42</v>
      </c>
      <c r="H161" s="26" t="s">
        <v>42</v>
      </c>
      <c r="I161" s="26" t="s">
        <v>42</v>
      </c>
      <c r="J161" s="26" t="s">
        <v>42</v>
      </c>
      <c r="K161" s="26" t="s">
        <v>42</v>
      </c>
      <c r="L161" s="26" t="s">
        <v>42</v>
      </c>
      <c r="N161" s="26" t="s">
        <v>42</v>
      </c>
      <c r="O161" s="60" t="s">
        <v>42</v>
      </c>
      <c r="P161" s="26" t="s">
        <v>42</v>
      </c>
      <c r="Q161" s="26" t="s">
        <v>42</v>
      </c>
      <c r="S161" s="26"/>
      <c r="T161" s="26" t="s">
        <v>42</v>
      </c>
      <c r="U161" s="26" t="s">
        <v>42</v>
      </c>
      <c r="V161" s="26" t="s">
        <v>42</v>
      </c>
      <c r="W161" s="26" t="s">
        <v>42</v>
      </c>
      <c r="X161" s="26" t="s">
        <v>42</v>
      </c>
      <c r="Y161" s="26" t="s">
        <v>42</v>
      </c>
      <c r="Z161" s="26" t="s">
        <v>42</v>
      </c>
      <c r="AA161" s="26" t="s">
        <v>42</v>
      </c>
      <c r="AB161" s="26"/>
      <c r="AC161" s="26" t="s">
        <v>42</v>
      </c>
      <c r="AD161" s="60" t="s">
        <v>42</v>
      </c>
      <c r="AE161" s="26" t="s">
        <v>42</v>
      </c>
      <c r="AF161" s="26" t="s">
        <v>42</v>
      </c>
      <c r="AH161" s="26"/>
      <c r="AI161" s="26"/>
      <c r="AJ161" s="26"/>
      <c r="AM161" s="26"/>
      <c r="AN161" s="26"/>
      <c r="AO161" s="26"/>
      <c r="AP161" s="26"/>
      <c r="AQ161" s="26"/>
      <c r="AR161" s="26"/>
    </row>
    <row r="162" spans="1:44" hidden="1" outlineLevel="1" x14ac:dyDescent="0.25">
      <c r="A162" s="20" t="s">
        <v>418</v>
      </c>
      <c r="B162" s="21" t="s">
        <v>393</v>
      </c>
      <c r="E162" s="26" t="s">
        <v>42</v>
      </c>
      <c r="F162" s="26" t="s">
        <v>42</v>
      </c>
      <c r="G162" s="60" t="s">
        <v>42</v>
      </c>
      <c r="H162" s="26" t="s">
        <v>42</v>
      </c>
      <c r="I162" s="26" t="s">
        <v>42</v>
      </c>
      <c r="J162" s="26" t="s">
        <v>42</v>
      </c>
      <c r="K162" s="26" t="s">
        <v>42</v>
      </c>
      <c r="L162" s="26" t="s">
        <v>42</v>
      </c>
      <c r="N162" s="26" t="s">
        <v>42</v>
      </c>
      <c r="O162" s="60" t="s">
        <v>42</v>
      </c>
      <c r="P162" s="26" t="s">
        <v>42</v>
      </c>
      <c r="Q162" s="26" t="s">
        <v>42</v>
      </c>
      <c r="S162" s="26"/>
      <c r="T162" s="26" t="s">
        <v>42</v>
      </c>
      <c r="U162" s="26" t="s">
        <v>42</v>
      </c>
      <c r="V162" s="26" t="s">
        <v>42</v>
      </c>
      <c r="W162" s="26" t="s">
        <v>42</v>
      </c>
      <c r="X162" s="26" t="s">
        <v>42</v>
      </c>
      <c r="Y162" s="26" t="s">
        <v>42</v>
      </c>
      <c r="Z162" s="26" t="s">
        <v>42</v>
      </c>
      <c r="AA162" s="26" t="s">
        <v>42</v>
      </c>
      <c r="AB162" s="26"/>
      <c r="AC162" s="26" t="s">
        <v>42</v>
      </c>
      <c r="AD162" s="60" t="s">
        <v>42</v>
      </c>
      <c r="AE162" s="26" t="s">
        <v>42</v>
      </c>
      <c r="AF162" s="26" t="s">
        <v>42</v>
      </c>
      <c r="AH162" s="26"/>
      <c r="AI162" s="26"/>
      <c r="AJ162" s="26"/>
      <c r="AM162" s="26"/>
      <c r="AN162" s="26"/>
      <c r="AO162" s="26"/>
      <c r="AP162" s="26"/>
      <c r="AQ162" s="26"/>
      <c r="AR162" s="26"/>
    </row>
    <row r="163" spans="1:44" ht="30" hidden="1" outlineLevel="1" x14ac:dyDescent="0.25">
      <c r="A163" s="20" t="s">
        <v>417</v>
      </c>
      <c r="B163" s="21" t="s">
        <v>416</v>
      </c>
      <c r="E163" s="26" t="s">
        <v>42</v>
      </c>
      <c r="F163" s="26" t="s">
        <v>42</v>
      </c>
      <c r="G163" s="60" t="s">
        <v>42</v>
      </c>
      <c r="H163" s="26" t="s">
        <v>42</v>
      </c>
      <c r="I163" s="26" t="s">
        <v>42</v>
      </c>
      <c r="J163" s="26" t="s">
        <v>42</v>
      </c>
      <c r="K163" s="26" t="s">
        <v>42</v>
      </c>
      <c r="L163" s="26" t="s">
        <v>42</v>
      </c>
      <c r="N163" s="26" t="s">
        <v>42</v>
      </c>
      <c r="O163" s="60" t="s">
        <v>42</v>
      </c>
      <c r="P163" s="26" t="s">
        <v>42</v>
      </c>
      <c r="Q163" s="26" t="s">
        <v>42</v>
      </c>
      <c r="S163" s="26"/>
      <c r="T163" s="26" t="s">
        <v>42</v>
      </c>
      <c r="U163" s="26" t="s">
        <v>42</v>
      </c>
      <c r="V163" s="26" t="s">
        <v>42</v>
      </c>
      <c r="W163" s="26" t="s">
        <v>42</v>
      </c>
      <c r="X163" s="26" t="s">
        <v>42</v>
      </c>
      <c r="Y163" s="26" t="s">
        <v>42</v>
      </c>
      <c r="Z163" s="26" t="s">
        <v>42</v>
      </c>
      <c r="AA163" s="26" t="s">
        <v>42</v>
      </c>
      <c r="AB163" s="26"/>
      <c r="AC163" s="26" t="s">
        <v>42</v>
      </c>
      <c r="AD163" s="60" t="s">
        <v>42</v>
      </c>
      <c r="AE163" s="26" t="s">
        <v>42</v>
      </c>
      <c r="AF163" s="26" t="s">
        <v>42</v>
      </c>
      <c r="AH163" s="26"/>
      <c r="AI163" s="26"/>
      <c r="AJ163" s="26"/>
      <c r="AM163" s="26"/>
      <c r="AN163" s="26"/>
      <c r="AO163" s="26"/>
      <c r="AP163" s="26"/>
      <c r="AQ163" s="26"/>
      <c r="AR163" s="26"/>
    </row>
    <row r="164" spans="1:44" ht="30" hidden="1" outlineLevel="1" x14ac:dyDescent="0.25">
      <c r="A164" s="20" t="s">
        <v>415</v>
      </c>
      <c r="B164" s="21" t="s">
        <v>359</v>
      </c>
      <c r="E164" s="26" t="s">
        <v>42</v>
      </c>
      <c r="F164" s="26" t="s">
        <v>42</v>
      </c>
      <c r="G164" s="60" t="s">
        <v>42</v>
      </c>
      <c r="H164" s="26" t="s">
        <v>42</v>
      </c>
      <c r="I164" s="26" t="s">
        <v>42</v>
      </c>
      <c r="J164" s="26" t="s">
        <v>42</v>
      </c>
      <c r="K164" s="26" t="s">
        <v>42</v>
      </c>
      <c r="L164" s="26" t="s">
        <v>42</v>
      </c>
      <c r="N164" s="26" t="s">
        <v>42</v>
      </c>
      <c r="O164" s="60" t="s">
        <v>42</v>
      </c>
      <c r="P164" s="26" t="s">
        <v>42</v>
      </c>
      <c r="Q164" s="26" t="s">
        <v>42</v>
      </c>
      <c r="S164" s="26"/>
      <c r="T164" s="26" t="s">
        <v>42</v>
      </c>
      <c r="U164" s="26" t="s">
        <v>42</v>
      </c>
      <c r="V164" s="26" t="s">
        <v>42</v>
      </c>
      <c r="W164" s="26" t="s">
        <v>42</v>
      </c>
      <c r="X164" s="26" t="s">
        <v>42</v>
      </c>
      <c r="Y164" s="26" t="s">
        <v>42</v>
      </c>
      <c r="Z164" s="26" t="s">
        <v>42</v>
      </c>
      <c r="AA164" s="26" t="s">
        <v>42</v>
      </c>
      <c r="AB164" s="26"/>
      <c r="AC164" s="26" t="s">
        <v>42</v>
      </c>
      <c r="AD164" s="60" t="s">
        <v>42</v>
      </c>
      <c r="AE164" s="26" t="s">
        <v>42</v>
      </c>
      <c r="AF164" s="26" t="s">
        <v>42</v>
      </c>
      <c r="AH164" s="26"/>
      <c r="AI164" s="26"/>
      <c r="AJ164" s="26"/>
      <c r="AM164" s="26"/>
      <c r="AN164" s="26"/>
      <c r="AO164" s="26"/>
      <c r="AP164" s="26"/>
      <c r="AQ164" s="26"/>
      <c r="AR164" s="26"/>
    </row>
    <row r="165" spans="1:44" hidden="1" outlineLevel="1" x14ac:dyDescent="0.25">
      <c r="A165" s="20" t="s">
        <v>413</v>
      </c>
      <c r="B165" s="69" t="s">
        <v>414</v>
      </c>
      <c r="O165" s="60"/>
      <c r="Q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60"/>
      <c r="AE165" s="26"/>
      <c r="AF165" s="26"/>
      <c r="AH165" s="26"/>
      <c r="AI165" s="26"/>
      <c r="AJ165" s="26"/>
      <c r="AM165" s="26"/>
      <c r="AN165" s="26"/>
      <c r="AO165" s="26"/>
      <c r="AP165" s="26"/>
      <c r="AQ165" s="26"/>
      <c r="AR165" s="26"/>
    </row>
    <row r="166" spans="1:44" hidden="1" outlineLevel="1" x14ac:dyDescent="0.25">
      <c r="A166" s="20" t="s">
        <v>413</v>
      </c>
      <c r="B166" s="21" t="s">
        <v>412</v>
      </c>
      <c r="C166" t="s">
        <v>403</v>
      </c>
      <c r="E166" s="26" t="s">
        <v>78</v>
      </c>
      <c r="F166" s="26" t="s">
        <v>78</v>
      </c>
      <c r="G166" s="60" t="s">
        <v>78</v>
      </c>
      <c r="H166" s="26" t="s">
        <v>78</v>
      </c>
      <c r="I166" s="26" t="s">
        <v>78</v>
      </c>
      <c r="J166" s="26" t="s">
        <v>78</v>
      </c>
      <c r="K166" s="26" t="s">
        <v>78</v>
      </c>
      <c r="L166" s="26" t="s">
        <v>78</v>
      </c>
      <c r="N166" s="26" t="s">
        <v>78</v>
      </c>
      <c r="O166" s="60" t="s">
        <v>78</v>
      </c>
      <c r="P166" s="26" t="s">
        <v>78</v>
      </c>
      <c r="Q166" s="26" t="s">
        <v>78</v>
      </c>
      <c r="S166" s="26"/>
      <c r="T166" s="26" t="s">
        <v>78</v>
      </c>
      <c r="U166" s="26" t="s">
        <v>78</v>
      </c>
      <c r="V166" s="26" t="s">
        <v>78</v>
      </c>
      <c r="W166" s="26" t="s">
        <v>78</v>
      </c>
      <c r="X166" s="26" t="s">
        <v>78</v>
      </c>
      <c r="Y166" s="26" t="s">
        <v>78</v>
      </c>
      <c r="Z166" s="26" t="s">
        <v>78</v>
      </c>
      <c r="AA166" s="26" t="s">
        <v>78</v>
      </c>
      <c r="AB166" s="26"/>
      <c r="AC166" s="26" t="s">
        <v>78</v>
      </c>
      <c r="AD166" s="60" t="s">
        <v>78</v>
      </c>
      <c r="AE166" s="26" t="s">
        <v>78</v>
      </c>
      <c r="AF166" s="26" t="s">
        <v>78</v>
      </c>
      <c r="AH166" s="26"/>
      <c r="AI166" s="26"/>
      <c r="AJ166" s="26"/>
      <c r="AM166" s="26"/>
      <c r="AN166" s="26"/>
      <c r="AO166" s="26"/>
      <c r="AP166" s="26"/>
      <c r="AQ166" s="26"/>
      <c r="AR166" s="26"/>
    </row>
    <row r="167" spans="1:44" hidden="1" outlineLevel="1" x14ac:dyDescent="0.25">
      <c r="A167" s="20" t="s">
        <v>411</v>
      </c>
      <c r="B167" s="21" t="s">
        <v>410</v>
      </c>
      <c r="C167" t="s">
        <v>403</v>
      </c>
      <c r="E167" s="26" t="s">
        <v>78</v>
      </c>
      <c r="F167" s="26" t="s">
        <v>78</v>
      </c>
      <c r="G167" s="60" t="s">
        <v>78</v>
      </c>
      <c r="H167" s="26" t="s">
        <v>78</v>
      </c>
      <c r="I167" s="26" t="s">
        <v>78</v>
      </c>
      <c r="J167" s="26" t="s">
        <v>78</v>
      </c>
      <c r="K167" s="26" t="s">
        <v>78</v>
      </c>
      <c r="L167" s="26" t="s">
        <v>78</v>
      </c>
      <c r="N167" s="26" t="s">
        <v>78</v>
      </c>
      <c r="O167" s="60" t="s">
        <v>78</v>
      </c>
      <c r="P167" s="26" t="s">
        <v>78</v>
      </c>
      <c r="Q167" s="26" t="s">
        <v>78</v>
      </c>
      <c r="S167" s="26"/>
      <c r="T167" s="26" t="s">
        <v>78</v>
      </c>
      <c r="U167" s="26" t="s">
        <v>78</v>
      </c>
      <c r="V167" s="26" t="s">
        <v>78</v>
      </c>
      <c r="W167" s="26" t="s">
        <v>78</v>
      </c>
      <c r="X167" s="26" t="s">
        <v>78</v>
      </c>
      <c r="Y167" s="26" t="s">
        <v>78</v>
      </c>
      <c r="Z167" s="26" t="s">
        <v>78</v>
      </c>
      <c r="AA167" s="26" t="s">
        <v>78</v>
      </c>
      <c r="AB167" s="26"/>
      <c r="AC167" s="26" t="s">
        <v>78</v>
      </c>
      <c r="AD167" s="60" t="s">
        <v>78</v>
      </c>
      <c r="AE167" s="26" t="s">
        <v>78</v>
      </c>
      <c r="AF167" s="26" t="s">
        <v>78</v>
      </c>
      <c r="AH167" s="26"/>
      <c r="AI167" s="26"/>
      <c r="AJ167" s="26"/>
      <c r="AM167" s="26"/>
      <c r="AN167" s="26"/>
      <c r="AO167" s="26"/>
      <c r="AP167" s="26"/>
      <c r="AQ167" s="26"/>
      <c r="AR167" s="26"/>
    </row>
    <row r="168" spans="1:44" ht="30" hidden="1" outlineLevel="1" x14ac:dyDescent="0.25">
      <c r="A168" s="20" t="s">
        <v>409</v>
      </c>
      <c r="B168" s="21" t="s">
        <v>408</v>
      </c>
      <c r="C168" t="s">
        <v>403</v>
      </c>
      <c r="E168" s="26" t="s">
        <v>78</v>
      </c>
      <c r="F168" s="26" t="s">
        <v>78</v>
      </c>
      <c r="G168" s="60" t="s">
        <v>78</v>
      </c>
      <c r="H168" s="26" t="s">
        <v>78</v>
      </c>
      <c r="I168" s="26" t="s">
        <v>78</v>
      </c>
      <c r="J168" s="26" t="s">
        <v>78</v>
      </c>
      <c r="K168" s="26" t="s">
        <v>78</v>
      </c>
      <c r="L168" s="26" t="s">
        <v>78</v>
      </c>
      <c r="N168" s="26" t="s">
        <v>78</v>
      </c>
      <c r="O168" s="60" t="s">
        <v>78</v>
      </c>
      <c r="P168" s="26" t="s">
        <v>78</v>
      </c>
      <c r="Q168" s="26" t="s">
        <v>78</v>
      </c>
      <c r="S168" s="26"/>
      <c r="T168" s="26" t="s">
        <v>78</v>
      </c>
      <c r="U168" s="26" t="s">
        <v>78</v>
      </c>
      <c r="V168" s="26" t="s">
        <v>78</v>
      </c>
      <c r="W168" s="26" t="s">
        <v>78</v>
      </c>
      <c r="X168" s="26" t="s">
        <v>78</v>
      </c>
      <c r="Y168" s="26" t="s">
        <v>78</v>
      </c>
      <c r="Z168" s="26" t="s">
        <v>78</v>
      </c>
      <c r="AA168" s="26" t="s">
        <v>78</v>
      </c>
      <c r="AB168" s="26"/>
      <c r="AC168" s="26" t="s">
        <v>78</v>
      </c>
      <c r="AD168" s="60" t="s">
        <v>78</v>
      </c>
      <c r="AE168" s="26" t="s">
        <v>78</v>
      </c>
      <c r="AF168" s="26" t="s">
        <v>78</v>
      </c>
      <c r="AH168" s="26"/>
      <c r="AI168" s="26"/>
      <c r="AJ168" s="26"/>
      <c r="AM168" s="26"/>
      <c r="AN168" s="26"/>
      <c r="AO168" s="26"/>
      <c r="AP168" s="26"/>
      <c r="AQ168" s="26"/>
      <c r="AR168" s="26"/>
    </row>
    <row r="169" spans="1:44" hidden="1" outlineLevel="1" x14ac:dyDescent="0.25">
      <c r="A169" s="20" t="s">
        <v>407</v>
      </c>
      <c r="B169" s="21" t="s">
        <v>406</v>
      </c>
      <c r="C169" t="s">
        <v>403</v>
      </c>
      <c r="E169" s="26" t="s">
        <v>78</v>
      </c>
      <c r="F169" s="26" t="s">
        <v>78</v>
      </c>
      <c r="G169" s="60" t="s">
        <v>78</v>
      </c>
      <c r="H169" s="26" t="s">
        <v>78</v>
      </c>
      <c r="I169" s="26" t="s">
        <v>78</v>
      </c>
      <c r="J169" s="26" t="s">
        <v>78</v>
      </c>
      <c r="K169" s="26" t="s">
        <v>78</v>
      </c>
      <c r="L169" s="26" t="s">
        <v>78</v>
      </c>
      <c r="N169" s="26" t="s">
        <v>78</v>
      </c>
      <c r="O169" s="60" t="s">
        <v>78</v>
      </c>
      <c r="P169" s="26" t="s">
        <v>78</v>
      </c>
      <c r="Q169" s="26" t="s">
        <v>78</v>
      </c>
      <c r="S169" s="26"/>
      <c r="T169" s="26" t="s">
        <v>78</v>
      </c>
      <c r="U169" s="26" t="s">
        <v>78</v>
      </c>
      <c r="V169" s="26" t="s">
        <v>78</v>
      </c>
      <c r="W169" s="26" t="s">
        <v>78</v>
      </c>
      <c r="X169" s="26" t="s">
        <v>78</v>
      </c>
      <c r="Y169" s="26" t="s">
        <v>78</v>
      </c>
      <c r="Z169" s="26" t="s">
        <v>78</v>
      </c>
      <c r="AA169" s="26" t="s">
        <v>78</v>
      </c>
      <c r="AB169" s="26"/>
      <c r="AC169" s="26" t="s">
        <v>78</v>
      </c>
      <c r="AD169" s="60" t="s">
        <v>78</v>
      </c>
      <c r="AE169" s="26" t="s">
        <v>78</v>
      </c>
      <c r="AF169" s="26" t="s">
        <v>78</v>
      </c>
      <c r="AH169" s="26"/>
      <c r="AI169" s="26"/>
      <c r="AJ169" s="26"/>
      <c r="AM169" s="26"/>
      <c r="AN169" s="26"/>
      <c r="AO169" s="26"/>
      <c r="AP169" s="26"/>
      <c r="AQ169" s="26"/>
      <c r="AR169" s="26"/>
    </row>
    <row r="170" spans="1:44" ht="30" hidden="1" outlineLevel="1" x14ac:dyDescent="0.25">
      <c r="A170" s="20" t="s">
        <v>405</v>
      </c>
      <c r="B170" s="21" t="s">
        <v>404</v>
      </c>
      <c r="C170" t="s">
        <v>403</v>
      </c>
      <c r="E170" s="26" t="s">
        <v>78</v>
      </c>
      <c r="F170" s="26" t="s">
        <v>78</v>
      </c>
      <c r="G170" s="60" t="s">
        <v>78</v>
      </c>
      <c r="H170" s="26" t="s">
        <v>78</v>
      </c>
      <c r="I170" s="26" t="s">
        <v>78</v>
      </c>
      <c r="J170" s="26" t="s">
        <v>78</v>
      </c>
      <c r="K170" s="26" t="s">
        <v>78</v>
      </c>
      <c r="L170" s="26" t="s">
        <v>78</v>
      </c>
      <c r="N170" s="26" t="s">
        <v>78</v>
      </c>
      <c r="O170" s="60" t="s">
        <v>78</v>
      </c>
      <c r="P170" s="26" t="s">
        <v>78</v>
      </c>
      <c r="Q170" s="26" t="s">
        <v>78</v>
      </c>
      <c r="S170" s="26"/>
      <c r="T170" s="26" t="s">
        <v>78</v>
      </c>
      <c r="U170" s="26" t="s">
        <v>78</v>
      </c>
      <c r="V170" s="26" t="s">
        <v>78</v>
      </c>
      <c r="W170" s="26" t="s">
        <v>78</v>
      </c>
      <c r="X170" s="26" t="s">
        <v>78</v>
      </c>
      <c r="Y170" s="26" t="s">
        <v>78</v>
      </c>
      <c r="Z170" s="26" t="s">
        <v>78</v>
      </c>
      <c r="AA170" s="26" t="s">
        <v>78</v>
      </c>
      <c r="AB170" s="26"/>
      <c r="AC170" s="26" t="s">
        <v>78</v>
      </c>
      <c r="AD170" s="60" t="s">
        <v>78</v>
      </c>
      <c r="AE170" s="26" t="s">
        <v>78</v>
      </c>
      <c r="AF170" s="26" t="s">
        <v>78</v>
      </c>
      <c r="AH170" s="26"/>
      <c r="AI170" s="26"/>
      <c r="AJ170" s="26"/>
      <c r="AM170" s="26"/>
      <c r="AN170" s="26"/>
      <c r="AO170" s="26"/>
      <c r="AP170" s="26"/>
      <c r="AQ170" s="26"/>
      <c r="AR170" s="26"/>
    </row>
    <row r="171" spans="1:44" hidden="1" outlineLevel="1" x14ac:dyDescent="0.25">
      <c r="A171" s="20" t="s">
        <v>820</v>
      </c>
      <c r="B171" s="89" t="s">
        <v>402</v>
      </c>
      <c r="D171"/>
      <c r="E171" s="26" t="s">
        <v>78</v>
      </c>
      <c r="F171"/>
      <c r="G171"/>
      <c r="H171"/>
      <c r="I171"/>
      <c r="J171"/>
      <c r="K171"/>
      <c r="L171"/>
      <c r="M171"/>
      <c r="N171"/>
      <c r="O171"/>
      <c r="P171"/>
      <c r="T171" s="26" t="s">
        <v>78</v>
      </c>
      <c r="AH171" s="26"/>
      <c r="AI171" s="26"/>
      <c r="AJ171" s="26"/>
      <c r="AM171" s="26"/>
      <c r="AN171" s="26"/>
      <c r="AO171" s="26"/>
      <c r="AP171" s="26"/>
      <c r="AQ171" s="26"/>
      <c r="AR171" s="26"/>
    </row>
    <row r="172" spans="1:44" ht="30" collapsed="1" x14ac:dyDescent="0.25">
      <c r="A172" s="18" t="s">
        <v>401</v>
      </c>
      <c r="B172" s="19" t="s">
        <v>400</v>
      </c>
      <c r="I172" s="26" t="s">
        <v>42</v>
      </c>
      <c r="M172" s="60" t="s">
        <v>42</v>
      </c>
      <c r="Q172" s="60" t="s">
        <v>42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H172" s="26"/>
      <c r="AI172" s="26"/>
      <c r="AJ172" s="26"/>
      <c r="AM172" s="26"/>
      <c r="AN172" s="26"/>
      <c r="AO172" s="26"/>
      <c r="AP172" s="26"/>
      <c r="AQ172" s="26"/>
      <c r="AR172" s="26"/>
    </row>
    <row r="173" spans="1:44" hidden="1" outlineLevel="1" x14ac:dyDescent="0.25">
      <c r="A173" s="20" t="s">
        <v>399</v>
      </c>
      <c r="B173" s="21" t="s">
        <v>398</v>
      </c>
      <c r="I173" s="26" t="s">
        <v>42</v>
      </c>
      <c r="M173" s="60" t="s">
        <v>42</v>
      </c>
      <c r="Q173" s="60" t="s">
        <v>42</v>
      </c>
      <c r="S173" s="26"/>
      <c r="T173" s="26"/>
      <c r="U173" s="26"/>
      <c r="V173" s="26"/>
      <c r="W173" s="26"/>
      <c r="X173" s="26" t="s">
        <v>42</v>
      </c>
      <c r="Y173" s="26"/>
      <c r="Z173" s="26"/>
      <c r="AA173" s="26"/>
      <c r="AB173" s="26" t="s">
        <v>42</v>
      </c>
      <c r="AC173" s="26"/>
      <c r="AD173" s="26"/>
      <c r="AE173" s="26"/>
      <c r="AF173" s="60" t="s">
        <v>42</v>
      </c>
      <c r="AH173" s="26"/>
      <c r="AI173" s="26"/>
      <c r="AJ173" s="26"/>
      <c r="AM173" s="26"/>
      <c r="AN173" s="26"/>
      <c r="AO173" s="26"/>
      <c r="AP173" s="26"/>
      <c r="AQ173" s="26"/>
      <c r="AR173" s="26"/>
    </row>
    <row r="174" spans="1:44" hidden="1" outlineLevel="1" x14ac:dyDescent="0.25">
      <c r="A174" s="20" t="s">
        <v>397</v>
      </c>
      <c r="B174" s="21" t="s">
        <v>363</v>
      </c>
      <c r="I174" s="26" t="s">
        <v>42</v>
      </c>
      <c r="M174" s="60" t="s">
        <v>42</v>
      </c>
      <c r="Q174" s="60" t="s">
        <v>42</v>
      </c>
      <c r="S174" s="26"/>
      <c r="T174" s="26"/>
      <c r="U174" s="26"/>
      <c r="V174" s="26"/>
      <c r="W174" s="26"/>
      <c r="X174" s="26" t="s">
        <v>42</v>
      </c>
      <c r="Y174" s="26"/>
      <c r="Z174" s="26"/>
      <c r="AA174" s="26"/>
      <c r="AB174" s="26" t="s">
        <v>42</v>
      </c>
      <c r="AC174" s="26"/>
      <c r="AD174" s="26"/>
      <c r="AE174" s="26"/>
      <c r="AF174" s="60" t="s">
        <v>42</v>
      </c>
      <c r="AH174" s="26"/>
      <c r="AI174" s="26"/>
      <c r="AJ174" s="26"/>
      <c r="AM174" s="26"/>
      <c r="AN174" s="26"/>
      <c r="AO174" s="26"/>
      <c r="AP174" s="26"/>
      <c r="AQ174" s="26"/>
      <c r="AR174" s="26"/>
    </row>
    <row r="175" spans="1:44" hidden="1" outlineLevel="1" x14ac:dyDescent="0.25">
      <c r="A175" s="20" t="s">
        <v>396</v>
      </c>
      <c r="B175" s="21" t="s">
        <v>395</v>
      </c>
      <c r="I175" s="26" t="s">
        <v>42</v>
      </c>
      <c r="M175" s="60" t="s">
        <v>42</v>
      </c>
      <c r="Q175" s="60" t="s">
        <v>42</v>
      </c>
      <c r="S175" s="26"/>
      <c r="T175" s="26"/>
      <c r="U175" s="26"/>
      <c r="V175" s="26"/>
      <c r="W175" s="26"/>
      <c r="X175" s="26" t="s">
        <v>42</v>
      </c>
      <c r="Y175" s="26"/>
      <c r="Z175" s="26"/>
      <c r="AA175" s="26"/>
      <c r="AB175" s="26" t="s">
        <v>42</v>
      </c>
      <c r="AC175" s="26"/>
      <c r="AD175" s="26"/>
      <c r="AE175" s="26"/>
      <c r="AF175" s="60" t="s">
        <v>42</v>
      </c>
      <c r="AH175" s="26"/>
      <c r="AI175" s="26"/>
      <c r="AJ175" s="26"/>
      <c r="AM175" s="26"/>
      <c r="AN175" s="26"/>
      <c r="AO175" s="26"/>
      <c r="AP175" s="26"/>
      <c r="AQ175" s="26"/>
      <c r="AR175" s="26"/>
    </row>
    <row r="176" spans="1:44" hidden="1" outlineLevel="1" x14ac:dyDescent="0.25">
      <c r="A176" s="20" t="s">
        <v>394</v>
      </c>
      <c r="B176" s="21" t="s">
        <v>393</v>
      </c>
      <c r="I176" s="26" t="s">
        <v>42</v>
      </c>
      <c r="M176" s="60" t="s">
        <v>42</v>
      </c>
      <c r="Q176" s="60" t="s">
        <v>42</v>
      </c>
      <c r="S176" s="26"/>
      <c r="T176" s="26"/>
      <c r="U176" s="26"/>
      <c r="V176" s="26"/>
      <c r="W176" s="26"/>
      <c r="X176" s="26" t="s">
        <v>42</v>
      </c>
      <c r="Y176" s="26"/>
      <c r="Z176" s="26"/>
      <c r="AA176" s="26"/>
      <c r="AB176" s="26" t="s">
        <v>42</v>
      </c>
      <c r="AC176" s="26"/>
      <c r="AD176" s="26"/>
      <c r="AE176" s="26"/>
      <c r="AF176" s="60" t="s">
        <v>42</v>
      </c>
      <c r="AH176" s="26"/>
      <c r="AI176" s="26"/>
      <c r="AJ176" s="26"/>
      <c r="AM176" s="26"/>
      <c r="AN176" s="26"/>
      <c r="AO176" s="26"/>
      <c r="AP176" s="26"/>
      <c r="AQ176" s="26"/>
      <c r="AR176" s="26"/>
    </row>
    <row r="177" spans="1:44" hidden="1" outlineLevel="1" x14ac:dyDescent="0.25">
      <c r="A177" s="20" t="s">
        <v>392</v>
      </c>
      <c r="B177" s="21" t="s">
        <v>391</v>
      </c>
      <c r="I177" s="26" t="s">
        <v>42</v>
      </c>
      <c r="M177" s="60" t="s">
        <v>42</v>
      </c>
      <c r="Q177" s="60" t="s">
        <v>42</v>
      </c>
      <c r="S177" s="26"/>
      <c r="T177" s="26"/>
      <c r="U177" s="26"/>
      <c r="V177" s="26"/>
      <c r="W177" s="26"/>
      <c r="X177" s="26" t="s">
        <v>42</v>
      </c>
      <c r="Y177" s="26"/>
      <c r="Z177" s="26"/>
      <c r="AA177" s="26"/>
      <c r="AB177" s="26" t="s">
        <v>42</v>
      </c>
      <c r="AC177" s="26"/>
      <c r="AD177" s="26"/>
      <c r="AE177" s="26"/>
      <c r="AF177" s="60" t="s">
        <v>42</v>
      </c>
      <c r="AH177" s="26"/>
      <c r="AI177" s="26"/>
      <c r="AJ177" s="26"/>
      <c r="AM177" s="26"/>
      <c r="AN177" s="26"/>
      <c r="AO177" s="26"/>
      <c r="AP177" s="26"/>
      <c r="AQ177" s="26"/>
      <c r="AR177" s="26"/>
    </row>
    <row r="178" spans="1:44" ht="30" hidden="1" outlineLevel="1" x14ac:dyDescent="0.25">
      <c r="A178" s="20" t="s">
        <v>390</v>
      </c>
      <c r="B178" s="21" t="s">
        <v>389</v>
      </c>
      <c r="I178" s="26" t="s">
        <v>42</v>
      </c>
      <c r="M178" s="60" t="s">
        <v>42</v>
      </c>
      <c r="Q178" s="60" t="s">
        <v>42</v>
      </c>
      <c r="S178" s="26"/>
      <c r="T178" s="26"/>
      <c r="U178" s="26"/>
      <c r="V178" s="26"/>
      <c r="W178" s="26"/>
      <c r="X178" s="26" t="s">
        <v>42</v>
      </c>
      <c r="Y178" s="26"/>
      <c r="Z178" s="26"/>
      <c r="AA178" s="26"/>
      <c r="AB178" s="26" t="s">
        <v>42</v>
      </c>
      <c r="AC178" s="26"/>
      <c r="AD178" s="26"/>
      <c r="AE178" s="26"/>
      <c r="AF178" s="60" t="s">
        <v>42</v>
      </c>
      <c r="AH178" s="26"/>
      <c r="AI178" s="26"/>
      <c r="AJ178" s="26"/>
      <c r="AM178" s="26"/>
      <c r="AN178" s="26"/>
      <c r="AO178" s="26"/>
      <c r="AP178" s="26"/>
      <c r="AQ178" s="26"/>
      <c r="AR178" s="26"/>
    </row>
    <row r="179" spans="1:44" hidden="1" outlineLevel="1" x14ac:dyDescent="0.25">
      <c r="A179" s="20" t="s">
        <v>388</v>
      </c>
      <c r="B179" s="21" t="s">
        <v>387</v>
      </c>
      <c r="I179" s="26" t="s">
        <v>42</v>
      </c>
      <c r="M179" s="60" t="s">
        <v>42</v>
      </c>
      <c r="Q179" s="60" t="s">
        <v>42</v>
      </c>
      <c r="S179" s="26"/>
      <c r="T179" s="26"/>
      <c r="U179" s="26"/>
      <c r="V179" s="26"/>
      <c r="W179" s="26"/>
      <c r="X179" s="26" t="s">
        <v>42</v>
      </c>
      <c r="Y179" s="26"/>
      <c r="Z179" s="26"/>
      <c r="AA179" s="26"/>
      <c r="AB179" s="26" t="s">
        <v>42</v>
      </c>
      <c r="AC179" s="26"/>
      <c r="AD179" s="26"/>
      <c r="AE179" s="26"/>
      <c r="AF179" s="60" t="s">
        <v>42</v>
      </c>
      <c r="AH179" s="26"/>
      <c r="AI179" s="26"/>
      <c r="AJ179" s="26"/>
      <c r="AM179" s="26"/>
      <c r="AN179" s="26"/>
      <c r="AO179" s="26"/>
      <c r="AP179" s="26"/>
      <c r="AQ179" s="26"/>
      <c r="AR179" s="26"/>
    </row>
    <row r="180" spans="1:44" hidden="1" outlineLevel="1" x14ac:dyDescent="0.25">
      <c r="A180" s="88" t="s">
        <v>821</v>
      </c>
      <c r="B180" s="21" t="s">
        <v>386</v>
      </c>
      <c r="I180" s="26" t="s">
        <v>42</v>
      </c>
      <c r="M180" s="60" t="s">
        <v>42</v>
      </c>
      <c r="Q180" s="60" t="s">
        <v>42</v>
      </c>
      <c r="S180" s="26"/>
      <c r="T180" s="26"/>
      <c r="U180" s="26"/>
      <c r="V180" s="26"/>
      <c r="W180" s="26"/>
      <c r="X180" s="26" t="s">
        <v>42</v>
      </c>
      <c r="Y180" s="26"/>
      <c r="Z180" s="26"/>
      <c r="AA180" s="26"/>
      <c r="AB180" s="26" t="s">
        <v>42</v>
      </c>
      <c r="AC180" s="26"/>
      <c r="AD180" s="26"/>
      <c r="AE180" s="26"/>
      <c r="AF180" s="60" t="s">
        <v>42</v>
      </c>
      <c r="AH180" s="26"/>
      <c r="AI180" s="26"/>
      <c r="AJ180" s="26"/>
      <c r="AM180" s="26"/>
      <c r="AN180" s="26"/>
      <c r="AO180" s="26"/>
      <c r="AP180" s="26"/>
      <c r="AQ180" s="26"/>
      <c r="AR180" s="26"/>
    </row>
    <row r="181" spans="1:44" ht="30" hidden="1" outlineLevel="1" x14ac:dyDescent="0.25">
      <c r="A181" s="20" t="s">
        <v>385</v>
      </c>
      <c r="B181" s="21" t="s">
        <v>384</v>
      </c>
      <c r="I181" s="26" t="s">
        <v>42</v>
      </c>
      <c r="M181" s="60" t="s">
        <v>42</v>
      </c>
      <c r="Q181" s="60" t="s">
        <v>42</v>
      </c>
      <c r="S181" s="26"/>
      <c r="T181" s="26"/>
      <c r="U181" s="26"/>
      <c r="V181" s="26"/>
      <c r="W181" s="26"/>
      <c r="X181" s="26" t="s">
        <v>42</v>
      </c>
      <c r="Y181" s="26"/>
      <c r="Z181" s="26"/>
      <c r="AA181" s="26"/>
      <c r="AB181" s="26" t="s">
        <v>42</v>
      </c>
      <c r="AC181" s="26"/>
      <c r="AD181" s="26"/>
      <c r="AE181" s="26"/>
      <c r="AF181" s="60" t="s">
        <v>42</v>
      </c>
      <c r="AH181" s="26"/>
      <c r="AI181" s="26"/>
      <c r="AJ181" s="26"/>
      <c r="AM181" s="26"/>
      <c r="AN181" s="26"/>
      <c r="AO181" s="26"/>
      <c r="AP181" s="26"/>
      <c r="AQ181" s="26"/>
      <c r="AR181" s="26"/>
    </row>
    <row r="182" spans="1:44" ht="30" hidden="1" outlineLevel="1" x14ac:dyDescent="0.25">
      <c r="A182" s="20" t="s">
        <v>383</v>
      </c>
      <c r="B182" s="21" t="s">
        <v>359</v>
      </c>
      <c r="I182" s="26" t="s">
        <v>42</v>
      </c>
      <c r="M182" s="60" t="s">
        <v>42</v>
      </c>
      <c r="Q182" s="60" t="s">
        <v>42</v>
      </c>
      <c r="S182" s="26"/>
      <c r="T182" s="26"/>
      <c r="U182" s="26"/>
      <c r="V182" s="26"/>
      <c r="W182" s="26"/>
      <c r="X182" s="26" t="s">
        <v>42</v>
      </c>
      <c r="Y182" s="26"/>
      <c r="Z182" s="26"/>
      <c r="AA182" s="26"/>
      <c r="AB182" s="26" t="s">
        <v>42</v>
      </c>
      <c r="AC182" s="26"/>
      <c r="AD182" s="26"/>
      <c r="AE182" s="26"/>
      <c r="AF182" s="60" t="s">
        <v>42</v>
      </c>
      <c r="AH182" s="26"/>
      <c r="AI182" s="26"/>
      <c r="AJ182" s="26"/>
      <c r="AM182" s="26"/>
      <c r="AN182" s="26"/>
      <c r="AO182" s="26"/>
      <c r="AP182" s="26"/>
      <c r="AQ182" s="26"/>
      <c r="AR182" s="26"/>
    </row>
    <row r="183" spans="1:44" collapsed="1" x14ac:dyDescent="0.25">
      <c r="A183" s="18" t="s">
        <v>382</v>
      </c>
      <c r="B183" s="19" t="s">
        <v>381</v>
      </c>
      <c r="C183" t="s">
        <v>380</v>
      </c>
      <c r="E183" s="26" t="s">
        <v>78</v>
      </c>
      <c r="F183" s="26" t="s">
        <v>78</v>
      </c>
      <c r="G183" s="26" t="s">
        <v>78</v>
      </c>
      <c r="H183" s="26" t="s">
        <v>78</v>
      </c>
      <c r="I183" s="26" t="s">
        <v>78</v>
      </c>
      <c r="J183" s="26" t="s">
        <v>42</v>
      </c>
      <c r="K183" s="26" t="s">
        <v>42</v>
      </c>
      <c r="L183" s="26" t="s">
        <v>42</v>
      </c>
      <c r="M183" s="60" t="s">
        <v>42</v>
      </c>
      <c r="N183" s="26" t="s">
        <v>78</v>
      </c>
      <c r="O183" s="26" t="s">
        <v>78</v>
      </c>
      <c r="P183" s="26" t="s">
        <v>78</v>
      </c>
      <c r="Q183" s="26" t="s">
        <v>78</v>
      </c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H183" s="26"/>
      <c r="AI183" s="26"/>
      <c r="AJ183" s="26"/>
      <c r="AM183" s="26"/>
      <c r="AN183" s="26"/>
      <c r="AO183" s="26"/>
      <c r="AP183" s="26"/>
      <c r="AQ183" s="26"/>
      <c r="AR183" s="26"/>
    </row>
    <row r="184" spans="1:44" outlineLevel="1" x14ac:dyDescent="0.25">
      <c r="A184" s="20" t="s">
        <v>379</v>
      </c>
      <c r="B184" s="21" t="s">
        <v>378</v>
      </c>
      <c r="E184" s="26" t="s">
        <v>78</v>
      </c>
      <c r="F184" s="26" t="s">
        <v>78</v>
      </c>
      <c r="G184" s="26" t="s">
        <v>78</v>
      </c>
      <c r="H184" s="26" t="s">
        <v>78</v>
      </c>
      <c r="I184" s="26" t="s">
        <v>78</v>
      </c>
      <c r="J184" s="26" t="s">
        <v>42</v>
      </c>
      <c r="K184" s="26" t="s">
        <v>42</v>
      </c>
      <c r="L184" s="26" t="s">
        <v>42</v>
      </c>
      <c r="M184" s="60" t="s">
        <v>42</v>
      </c>
      <c r="N184" s="26" t="s">
        <v>78</v>
      </c>
      <c r="O184" s="26" t="s">
        <v>78</v>
      </c>
      <c r="P184" s="26" t="s">
        <v>78</v>
      </c>
      <c r="Q184" s="26" t="s">
        <v>78</v>
      </c>
      <c r="S184" s="26"/>
      <c r="T184" s="26" t="s">
        <v>78</v>
      </c>
      <c r="U184" s="26" t="s">
        <v>78</v>
      </c>
      <c r="V184" s="26" t="s">
        <v>78</v>
      </c>
      <c r="W184" s="26" t="s">
        <v>78</v>
      </c>
      <c r="X184" s="26" t="s">
        <v>78</v>
      </c>
      <c r="Y184" s="26" t="s">
        <v>42</v>
      </c>
      <c r="Z184" s="26" t="s">
        <v>42</v>
      </c>
      <c r="AA184" s="26" t="s">
        <v>42</v>
      </c>
      <c r="AB184" s="26" t="s">
        <v>42</v>
      </c>
      <c r="AC184" s="26" t="s">
        <v>78</v>
      </c>
      <c r="AD184" s="26" t="s">
        <v>78</v>
      </c>
      <c r="AE184" s="26" t="s">
        <v>78</v>
      </c>
      <c r="AF184" s="26" t="s">
        <v>78</v>
      </c>
      <c r="AH184" s="26"/>
      <c r="AI184" s="26"/>
      <c r="AJ184" s="26"/>
      <c r="AM184" s="26"/>
      <c r="AN184" s="26"/>
      <c r="AO184" s="26"/>
      <c r="AP184" s="26"/>
      <c r="AQ184" s="26"/>
      <c r="AR184" s="26"/>
    </row>
    <row r="185" spans="1:44" outlineLevel="1" x14ac:dyDescent="0.25">
      <c r="A185" s="20" t="s">
        <v>377</v>
      </c>
      <c r="B185" s="21" t="s">
        <v>376</v>
      </c>
      <c r="E185" s="26" t="s">
        <v>78</v>
      </c>
      <c r="F185" s="26" t="s">
        <v>78</v>
      </c>
      <c r="G185" s="26" t="s">
        <v>78</v>
      </c>
      <c r="H185" s="26" t="s">
        <v>78</v>
      </c>
      <c r="I185" s="26" t="s">
        <v>78</v>
      </c>
      <c r="J185" s="26" t="s">
        <v>42</v>
      </c>
      <c r="K185" s="26" t="s">
        <v>42</v>
      </c>
      <c r="L185" s="26" t="s">
        <v>42</v>
      </c>
      <c r="M185" s="60" t="s">
        <v>42</v>
      </c>
      <c r="N185" s="26" t="s">
        <v>78</v>
      </c>
      <c r="O185" s="26" t="s">
        <v>78</v>
      </c>
      <c r="P185" s="26" t="s">
        <v>78</v>
      </c>
      <c r="Q185" s="26" t="s">
        <v>78</v>
      </c>
      <c r="S185" s="26"/>
      <c r="T185" s="26" t="s">
        <v>78</v>
      </c>
      <c r="U185" s="26" t="s">
        <v>78</v>
      </c>
      <c r="V185" s="26" t="s">
        <v>78</v>
      </c>
      <c r="W185" s="26" t="s">
        <v>78</v>
      </c>
      <c r="X185" s="26" t="s">
        <v>78</v>
      </c>
      <c r="Y185" s="26" t="s">
        <v>42</v>
      </c>
      <c r="Z185" s="26" t="s">
        <v>42</v>
      </c>
      <c r="AA185" s="26" t="s">
        <v>42</v>
      </c>
      <c r="AB185" s="26" t="s">
        <v>42</v>
      </c>
      <c r="AC185" s="26" t="s">
        <v>78</v>
      </c>
      <c r="AD185" s="26" t="s">
        <v>78</v>
      </c>
      <c r="AE185" s="26" t="s">
        <v>78</v>
      </c>
      <c r="AF185" s="26" t="s">
        <v>78</v>
      </c>
      <c r="AH185" s="26"/>
      <c r="AI185" s="26"/>
      <c r="AJ185" s="26"/>
      <c r="AM185" s="26"/>
      <c r="AN185" s="26"/>
      <c r="AO185" s="26"/>
      <c r="AP185" s="26"/>
      <c r="AQ185" s="26"/>
      <c r="AR185" s="26"/>
    </row>
    <row r="186" spans="1:44" outlineLevel="1" x14ac:dyDescent="0.25">
      <c r="A186" s="20" t="s">
        <v>375</v>
      </c>
      <c r="B186" s="21" t="s">
        <v>374</v>
      </c>
      <c r="E186" s="26" t="s">
        <v>78</v>
      </c>
      <c r="F186" s="26" t="s">
        <v>78</v>
      </c>
      <c r="G186" s="26" t="s">
        <v>78</v>
      </c>
      <c r="H186" s="26" t="s">
        <v>78</v>
      </c>
      <c r="I186" s="26" t="s">
        <v>78</v>
      </c>
      <c r="J186" s="26" t="s">
        <v>42</v>
      </c>
      <c r="K186" s="26" t="s">
        <v>42</v>
      </c>
      <c r="L186" s="26" t="s">
        <v>42</v>
      </c>
      <c r="M186" s="60" t="s">
        <v>42</v>
      </c>
      <c r="N186" s="26" t="s">
        <v>78</v>
      </c>
      <c r="O186" s="26" t="s">
        <v>78</v>
      </c>
      <c r="P186" s="26" t="s">
        <v>78</v>
      </c>
      <c r="Q186" s="26" t="s">
        <v>78</v>
      </c>
      <c r="S186" s="26"/>
      <c r="T186" s="26" t="s">
        <v>78</v>
      </c>
      <c r="U186" s="26" t="s">
        <v>78</v>
      </c>
      <c r="V186" s="26" t="s">
        <v>78</v>
      </c>
      <c r="W186" s="26" t="s">
        <v>78</v>
      </c>
      <c r="X186" s="26" t="s">
        <v>78</v>
      </c>
      <c r="Y186" s="26" t="s">
        <v>42</v>
      </c>
      <c r="Z186" s="26" t="s">
        <v>42</v>
      </c>
      <c r="AA186" s="26" t="s">
        <v>42</v>
      </c>
      <c r="AB186" s="26" t="s">
        <v>42</v>
      </c>
      <c r="AC186" s="26" t="s">
        <v>78</v>
      </c>
      <c r="AD186" s="26" t="s">
        <v>78</v>
      </c>
      <c r="AE186" s="26" t="s">
        <v>78</v>
      </c>
      <c r="AF186" s="26" t="s">
        <v>78</v>
      </c>
      <c r="AH186" s="26"/>
      <c r="AI186" s="26"/>
      <c r="AJ186" s="26"/>
      <c r="AM186" s="26"/>
      <c r="AN186" s="26"/>
      <c r="AO186" s="26"/>
      <c r="AP186" s="26"/>
      <c r="AQ186" s="26"/>
      <c r="AR186" s="26"/>
    </row>
    <row r="187" spans="1:44" outlineLevel="1" x14ac:dyDescent="0.25">
      <c r="A187" s="20" t="s">
        <v>373</v>
      </c>
      <c r="B187" s="21" t="s">
        <v>372</v>
      </c>
      <c r="E187" s="26" t="s">
        <v>78</v>
      </c>
      <c r="F187" s="26" t="s">
        <v>78</v>
      </c>
      <c r="G187" s="26" t="s">
        <v>78</v>
      </c>
      <c r="H187" s="26" t="s">
        <v>78</v>
      </c>
      <c r="I187" s="26" t="s">
        <v>78</v>
      </c>
      <c r="J187" s="26" t="s">
        <v>42</v>
      </c>
      <c r="K187" s="26" t="s">
        <v>42</v>
      </c>
      <c r="L187" s="26" t="s">
        <v>42</v>
      </c>
      <c r="M187" s="60" t="s">
        <v>42</v>
      </c>
      <c r="N187" s="26" t="s">
        <v>78</v>
      </c>
      <c r="O187" s="26" t="s">
        <v>78</v>
      </c>
      <c r="P187" s="26" t="s">
        <v>78</v>
      </c>
      <c r="Q187" s="26" t="s">
        <v>78</v>
      </c>
      <c r="S187" s="26"/>
      <c r="T187" s="26" t="s">
        <v>78</v>
      </c>
      <c r="U187" s="26" t="s">
        <v>78</v>
      </c>
      <c r="V187" s="26" t="s">
        <v>78</v>
      </c>
      <c r="W187" s="26" t="s">
        <v>78</v>
      </c>
      <c r="X187" s="26" t="s">
        <v>78</v>
      </c>
      <c r="Y187" s="26" t="s">
        <v>42</v>
      </c>
      <c r="Z187" s="26" t="s">
        <v>42</v>
      </c>
      <c r="AA187" s="26" t="s">
        <v>42</v>
      </c>
      <c r="AB187" s="26" t="s">
        <v>42</v>
      </c>
      <c r="AC187" s="26" t="s">
        <v>78</v>
      </c>
      <c r="AD187" s="26" t="s">
        <v>78</v>
      </c>
      <c r="AE187" s="26" t="s">
        <v>78</v>
      </c>
      <c r="AF187" s="26" t="s">
        <v>78</v>
      </c>
      <c r="AH187" s="26"/>
      <c r="AI187" s="26"/>
      <c r="AJ187" s="26"/>
      <c r="AM187" s="26"/>
      <c r="AN187" s="26"/>
      <c r="AO187" s="26"/>
      <c r="AP187" s="26"/>
      <c r="AQ187" s="26"/>
      <c r="AR187" s="26"/>
    </row>
    <row r="188" spans="1:44" outlineLevel="1" x14ac:dyDescent="0.25">
      <c r="A188" s="20" t="s">
        <v>371</v>
      </c>
      <c r="B188" s="21" t="s">
        <v>370</v>
      </c>
      <c r="E188" s="26" t="s">
        <v>78</v>
      </c>
      <c r="F188" s="26" t="s">
        <v>78</v>
      </c>
      <c r="G188" s="26" t="s">
        <v>78</v>
      </c>
      <c r="H188" s="26" t="s">
        <v>78</v>
      </c>
      <c r="I188" s="26" t="s">
        <v>78</v>
      </c>
      <c r="J188" s="26" t="s">
        <v>42</v>
      </c>
      <c r="K188" s="26" t="s">
        <v>42</v>
      </c>
      <c r="L188" s="26" t="s">
        <v>42</v>
      </c>
      <c r="M188" s="60" t="s">
        <v>42</v>
      </c>
      <c r="N188" s="26" t="s">
        <v>78</v>
      </c>
      <c r="O188" s="26" t="s">
        <v>78</v>
      </c>
      <c r="P188" s="26" t="s">
        <v>78</v>
      </c>
      <c r="Q188" s="26" t="s">
        <v>78</v>
      </c>
      <c r="S188" s="26"/>
      <c r="T188" s="26" t="s">
        <v>78</v>
      </c>
      <c r="U188" s="26" t="s">
        <v>78</v>
      </c>
      <c r="V188" s="26" t="s">
        <v>78</v>
      </c>
      <c r="W188" s="26" t="s">
        <v>78</v>
      </c>
      <c r="X188" s="26" t="s">
        <v>78</v>
      </c>
      <c r="Y188" s="26" t="s">
        <v>42</v>
      </c>
      <c r="Z188" s="26" t="s">
        <v>42</v>
      </c>
      <c r="AA188" s="26" t="s">
        <v>42</v>
      </c>
      <c r="AB188" s="26" t="s">
        <v>42</v>
      </c>
      <c r="AC188" s="26" t="s">
        <v>78</v>
      </c>
      <c r="AD188" s="26" t="s">
        <v>78</v>
      </c>
      <c r="AE188" s="26" t="s">
        <v>78</v>
      </c>
      <c r="AF188" s="26" t="s">
        <v>78</v>
      </c>
      <c r="AH188" s="26"/>
      <c r="AI188" s="26"/>
      <c r="AJ188" s="26"/>
      <c r="AM188" s="26"/>
      <c r="AN188" s="26"/>
      <c r="AO188" s="26"/>
      <c r="AP188" s="26"/>
      <c r="AQ188" s="26"/>
      <c r="AR188" s="26"/>
    </row>
    <row r="189" spans="1:44" outlineLevel="1" x14ac:dyDescent="0.25">
      <c r="A189" s="20" t="s">
        <v>369</v>
      </c>
      <c r="B189" t="s">
        <v>877</v>
      </c>
      <c r="E189" s="26" t="s">
        <v>78</v>
      </c>
      <c r="F189" s="26" t="s">
        <v>78</v>
      </c>
      <c r="G189" s="26" t="s">
        <v>78</v>
      </c>
      <c r="H189" s="26" t="s">
        <v>78</v>
      </c>
      <c r="I189" s="26" t="s">
        <v>78</v>
      </c>
      <c r="J189" s="26" t="s">
        <v>42</v>
      </c>
      <c r="K189" s="26" t="s">
        <v>42</v>
      </c>
      <c r="L189" s="26" t="s">
        <v>42</v>
      </c>
      <c r="M189" s="60" t="s">
        <v>42</v>
      </c>
      <c r="N189" s="26" t="s">
        <v>78</v>
      </c>
      <c r="O189" s="26" t="s">
        <v>78</v>
      </c>
      <c r="P189" s="26" t="s">
        <v>78</v>
      </c>
      <c r="Q189" s="26" t="s">
        <v>78</v>
      </c>
      <c r="S189" s="26"/>
      <c r="T189" s="26" t="s">
        <v>78</v>
      </c>
      <c r="U189" s="26" t="s">
        <v>78</v>
      </c>
      <c r="V189" s="26" t="s">
        <v>78</v>
      </c>
      <c r="W189" s="26" t="s">
        <v>78</v>
      </c>
      <c r="X189" s="26" t="s">
        <v>78</v>
      </c>
      <c r="Y189" s="26" t="s">
        <v>42</v>
      </c>
      <c r="Z189" s="26" t="s">
        <v>42</v>
      </c>
      <c r="AA189" s="26" t="s">
        <v>42</v>
      </c>
      <c r="AB189" s="26" t="s">
        <v>42</v>
      </c>
      <c r="AC189" s="26" t="s">
        <v>78</v>
      </c>
      <c r="AD189" s="26" t="s">
        <v>78</v>
      </c>
      <c r="AE189" s="26" t="s">
        <v>78</v>
      </c>
      <c r="AF189" s="26" t="s">
        <v>78</v>
      </c>
      <c r="AH189" s="26"/>
      <c r="AI189" s="26"/>
      <c r="AJ189" s="26"/>
      <c r="AM189" s="26"/>
      <c r="AN189" s="26"/>
      <c r="AO189" s="26"/>
      <c r="AP189" s="26"/>
      <c r="AQ189" s="26"/>
      <c r="AR189" s="26"/>
    </row>
    <row r="190" spans="1:44" ht="30" outlineLevel="1" x14ac:dyDescent="0.25">
      <c r="A190" s="20" t="s">
        <v>368</v>
      </c>
      <c r="B190" s="21" t="s">
        <v>359</v>
      </c>
      <c r="E190" s="26" t="s">
        <v>78</v>
      </c>
      <c r="F190" s="26" t="s">
        <v>78</v>
      </c>
      <c r="G190" s="26" t="s">
        <v>78</v>
      </c>
      <c r="H190" s="26" t="s">
        <v>78</v>
      </c>
      <c r="I190" s="26" t="s">
        <v>78</v>
      </c>
      <c r="J190" s="26" t="s">
        <v>42</v>
      </c>
      <c r="K190" s="26" t="s">
        <v>42</v>
      </c>
      <c r="L190" s="26" t="s">
        <v>42</v>
      </c>
      <c r="M190" s="60" t="s">
        <v>42</v>
      </c>
      <c r="N190" s="26" t="s">
        <v>78</v>
      </c>
      <c r="O190" s="26" t="s">
        <v>78</v>
      </c>
      <c r="P190" s="26" t="s">
        <v>78</v>
      </c>
      <c r="Q190" s="26" t="s">
        <v>78</v>
      </c>
      <c r="S190" s="26"/>
      <c r="T190" s="26" t="s">
        <v>78</v>
      </c>
      <c r="U190" s="26" t="s">
        <v>78</v>
      </c>
      <c r="V190" s="26" t="s">
        <v>78</v>
      </c>
      <c r="W190" s="26" t="s">
        <v>78</v>
      </c>
      <c r="X190" s="26" t="s">
        <v>78</v>
      </c>
      <c r="Y190" s="26" t="s">
        <v>42</v>
      </c>
      <c r="Z190" s="26" t="s">
        <v>42</v>
      </c>
      <c r="AA190" s="26" t="s">
        <v>42</v>
      </c>
      <c r="AB190" s="26" t="s">
        <v>42</v>
      </c>
      <c r="AC190" s="26" t="s">
        <v>78</v>
      </c>
      <c r="AD190" s="26" t="s">
        <v>78</v>
      </c>
      <c r="AE190" s="26" t="s">
        <v>78</v>
      </c>
      <c r="AF190" s="26" t="s">
        <v>78</v>
      </c>
      <c r="AH190" s="26"/>
      <c r="AI190" s="26"/>
      <c r="AJ190" s="26"/>
      <c r="AM190" s="26"/>
      <c r="AN190" s="26"/>
      <c r="AO190" s="26"/>
      <c r="AP190" s="26"/>
      <c r="AQ190" s="26"/>
      <c r="AR190" s="26"/>
    </row>
    <row r="191" spans="1:44" outlineLevel="1" x14ac:dyDescent="0.25">
      <c r="A191" s="20" t="s">
        <v>367</v>
      </c>
      <c r="B191" s="27" t="s">
        <v>366</v>
      </c>
      <c r="E191" s="26" t="s">
        <v>78</v>
      </c>
      <c r="F191" s="26" t="s">
        <v>78</v>
      </c>
      <c r="G191" s="26" t="s">
        <v>78</v>
      </c>
      <c r="H191" s="26" t="s">
        <v>78</v>
      </c>
      <c r="I191" s="26" t="s">
        <v>78</v>
      </c>
      <c r="J191" s="26" t="s">
        <v>42</v>
      </c>
      <c r="K191" s="26" t="s">
        <v>42</v>
      </c>
      <c r="L191" s="26" t="s">
        <v>42</v>
      </c>
      <c r="M191" s="60" t="s">
        <v>42</v>
      </c>
      <c r="N191" s="26" t="s">
        <v>78</v>
      </c>
      <c r="O191" s="26" t="s">
        <v>78</v>
      </c>
      <c r="P191" s="26" t="s">
        <v>78</v>
      </c>
      <c r="Q191" s="26" t="s">
        <v>78</v>
      </c>
      <c r="S191" s="26"/>
      <c r="T191" s="26" t="s">
        <v>78</v>
      </c>
      <c r="U191" s="26" t="s">
        <v>78</v>
      </c>
      <c r="V191" s="26" t="s">
        <v>78</v>
      </c>
      <c r="W191" s="26" t="s">
        <v>78</v>
      </c>
      <c r="X191" s="26" t="s">
        <v>78</v>
      </c>
      <c r="Y191" s="26" t="s">
        <v>42</v>
      </c>
      <c r="Z191" s="26" t="s">
        <v>42</v>
      </c>
      <c r="AA191" s="26" t="s">
        <v>42</v>
      </c>
      <c r="AB191" s="26" t="s">
        <v>42</v>
      </c>
      <c r="AC191" s="26" t="s">
        <v>78</v>
      </c>
      <c r="AD191" s="26" t="s">
        <v>78</v>
      </c>
      <c r="AE191" s="26" t="s">
        <v>78</v>
      </c>
      <c r="AF191" s="26" t="s">
        <v>78</v>
      </c>
      <c r="AH191" s="26"/>
      <c r="AI191" s="26"/>
      <c r="AJ191" s="26"/>
      <c r="AM191" s="26"/>
      <c r="AN191" s="26"/>
      <c r="AO191" s="26"/>
      <c r="AP191" s="26"/>
      <c r="AQ191" s="26"/>
      <c r="AR191" s="26"/>
    </row>
    <row r="192" spans="1:44" outlineLevel="1" x14ac:dyDescent="0.25">
      <c r="A192" s="31" t="s">
        <v>85</v>
      </c>
      <c r="B192" s="37" t="s">
        <v>908</v>
      </c>
      <c r="E192" s="26" t="s">
        <v>78</v>
      </c>
      <c r="F192" s="26" t="s">
        <v>78</v>
      </c>
      <c r="G192" s="26" t="s">
        <v>78</v>
      </c>
      <c r="H192" s="26" t="s">
        <v>78</v>
      </c>
      <c r="I192" s="26" t="s">
        <v>78</v>
      </c>
      <c r="J192" s="26" t="s">
        <v>78</v>
      </c>
      <c r="K192" s="26" t="s">
        <v>78</v>
      </c>
      <c r="L192" s="26" t="s">
        <v>78</v>
      </c>
      <c r="M192" s="26" t="s">
        <v>78</v>
      </c>
      <c r="N192" s="26" t="s">
        <v>78</v>
      </c>
      <c r="O192" s="26" t="s">
        <v>78</v>
      </c>
      <c r="P192" s="26" t="s">
        <v>78</v>
      </c>
      <c r="Q192" s="26" t="s">
        <v>78</v>
      </c>
      <c r="S192" s="26"/>
      <c r="T192" s="26" t="s">
        <v>78</v>
      </c>
      <c r="U192" s="26" t="s">
        <v>78</v>
      </c>
      <c r="V192" s="26" t="s">
        <v>78</v>
      </c>
      <c r="W192" s="26" t="s">
        <v>78</v>
      </c>
      <c r="X192" s="26" t="s">
        <v>78</v>
      </c>
      <c r="Y192" s="26" t="s">
        <v>78</v>
      </c>
      <c r="Z192" s="26" t="s">
        <v>78</v>
      </c>
      <c r="AA192" s="26" t="s">
        <v>78</v>
      </c>
      <c r="AB192" s="26" t="s">
        <v>78</v>
      </c>
      <c r="AC192" s="26" t="s">
        <v>78</v>
      </c>
      <c r="AD192" s="26" t="s">
        <v>78</v>
      </c>
      <c r="AE192" s="26" t="s">
        <v>78</v>
      </c>
      <c r="AF192" s="26" t="s">
        <v>78</v>
      </c>
      <c r="AH192" s="26"/>
      <c r="AI192" s="26"/>
      <c r="AJ192" s="26"/>
      <c r="AK192" s="26"/>
      <c r="AM192" s="26"/>
      <c r="AN192" s="26"/>
      <c r="AO192" s="26"/>
      <c r="AP192" s="26"/>
      <c r="AQ192" s="26"/>
      <c r="AR192" s="26"/>
    </row>
    <row r="193" spans="1:44" outlineLevel="1" x14ac:dyDescent="0.25">
      <c r="A193" s="31" t="s">
        <v>85</v>
      </c>
      <c r="B193" s="37" t="s">
        <v>909</v>
      </c>
      <c r="E193" s="26" t="s">
        <v>78</v>
      </c>
      <c r="F193" s="26" t="s">
        <v>78</v>
      </c>
      <c r="G193" s="26" t="s">
        <v>78</v>
      </c>
      <c r="H193" s="26" t="s">
        <v>78</v>
      </c>
      <c r="I193" s="26" t="s">
        <v>78</v>
      </c>
      <c r="J193" s="26" t="s">
        <v>78</v>
      </c>
      <c r="K193" s="26" t="s">
        <v>78</v>
      </c>
      <c r="L193" s="26" t="s">
        <v>78</v>
      </c>
      <c r="M193" s="26" t="s">
        <v>78</v>
      </c>
      <c r="N193" s="26" t="s">
        <v>78</v>
      </c>
      <c r="O193" s="26" t="s">
        <v>78</v>
      </c>
      <c r="P193" s="26" t="s">
        <v>78</v>
      </c>
      <c r="Q193" s="26" t="s">
        <v>78</v>
      </c>
      <c r="S193" s="26"/>
      <c r="T193" s="26" t="s">
        <v>78</v>
      </c>
      <c r="U193" s="26" t="s">
        <v>78</v>
      </c>
      <c r="V193" s="26" t="s">
        <v>78</v>
      </c>
      <c r="W193" s="26" t="s">
        <v>78</v>
      </c>
      <c r="X193" s="26" t="s">
        <v>78</v>
      </c>
      <c r="Y193" s="26" t="s">
        <v>78</v>
      </c>
      <c r="Z193" s="26" t="s">
        <v>78</v>
      </c>
      <c r="AA193" s="26" t="s">
        <v>78</v>
      </c>
      <c r="AB193" s="26" t="s">
        <v>78</v>
      </c>
      <c r="AC193" s="26" t="s">
        <v>78</v>
      </c>
      <c r="AD193" s="26" t="s">
        <v>78</v>
      </c>
      <c r="AE193" s="26" t="s">
        <v>78</v>
      </c>
      <c r="AF193" s="26" t="s">
        <v>78</v>
      </c>
      <c r="AH193" s="26"/>
      <c r="AI193" s="26"/>
      <c r="AJ193" s="26"/>
      <c r="AK193" s="26"/>
      <c r="AM193" s="26"/>
      <c r="AN193" s="26"/>
      <c r="AO193" s="26"/>
      <c r="AP193" s="26"/>
      <c r="AQ193" s="26"/>
      <c r="AR193" s="26"/>
    </row>
    <row r="194" spans="1:44" outlineLevel="1" x14ac:dyDescent="0.25">
      <c r="A194" s="31" t="s">
        <v>85</v>
      </c>
      <c r="B194" s="37" t="s">
        <v>910</v>
      </c>
      <c r="E194" s="26" t="s">
        <v>78</v>
      </c>
      <c r="F194" s="26" t="s">
        <v>78</v>
      </c>
      <c r="G194" s="26" t="s">
        <v>78</v>
      </c>
      <c r="H194" s="26" t="s">
        <v>78</v>
      </c>
      <c r="I194" s="26" t="s">
        <v>78</v>
      </c>
      <c r="J194" s="26" t="s">
        <v>78</v>
      </c>
      <c r="K194" s="26" t="s">
        <v>78</v>
      </c>
      <c r="L194" s="26" t="s">
        <v>78</v>
      </c>
      <c r="M194" s="26" t="s">
        <v>78</v>
      </c>
      <c r="N194" s="26" t="s">
        <v>78</v>
      </c>
      <c r="O194" s="26" t="s">
        <v>78</v>
      </c>
      <c r="P194" s="26" t="s">
        <v>78</v>
      </c>
      <c r="Q194" s="26" t="s">
        <v>78</v>
      </c>
      <c r="S194" s="26"/>
      <c r="T194" s="26" t="s">
        <v>78</v>
      </c>
      <c r="U194" s="26" t="s">
        <v>78</v>
      </c>
      <c r="V194" s="26" t="s">
        <v>78</v>
      </c>
      <c r="W194" s="26" t="s">
        <v>78</v>
      </c>
      <c r="X194" s="26" t="s">
        <v>78</v>
      </c>
      <c r="Y194" s="26" t="s">
        <v>78</v>
      </c>
      <c r="Z194" s="26" t="s">
        <v>78</v>
      </c>
      <c r="AA194" s="26" t="s">
        <v>78</v>
      </c>
      <c r="AB194" s="26" t="s">
        <v>78</v>
      </c>
      <c r="AC194" s="26" t="s">
        <v>78</v>
      </c>
      <c r="AD194" s="26" t="s">
        <v>78</v>
      </c>
      <c r="AE194" s="26" t="s">
        <v>78</v>
      </c>
      <c r="AF194" s="26" t="s">
        <v>78</v>
      </c>
      <c r="AH194" s="26"/>
      <c r="AI194" s="26"/>
      <c r="AJ194" s="26"/>
      <c r="AK194" s="26"/>
      <c r="AM194" s="26"/>
      <c r="AN194" s="26"/>
      <c r="AO194" s="26"/>
      <c r="AP194" s="26"/>
      <c r="AQ194" s="26"/>
      <c r="AR194" s="26"/>
    </row>
    <row r="195" spans="1:44" x14ac:dyDescent="0.25">
      <c r="A195" s="19" t="s">
        <v>822</v>
      </c>
      <c r="B195" s="19" t="s">
        <v>365</v>
      </c>
      <c r="E195" s="26" t="s">
        <v>78</v>
      </c>
      <c r="F195" s="26" t="s">
        <v>78</v>
      </c>
      <c r="G195" s="26" t="s">
        <v>78</v>
      </c>
      <c r="H195" s="26" t="s">
        <v>78</v>
      </c>
      <c r="I195" s="26" t="s">
        <v>78</v>
      </c>
      <c r="J195" s="26" t="s">
        <v>78</v>
      </c>
      <c r="K195" s="26" t="s">
        <v>78</v>
      </c>
      <c r="L195" s="26" t="s">
        <v>78</v>
      </c>
      <c r="M195" s="26" t="s">
        <v>78</v>
      </c>
      <c r="N195" s="26" t="s">
        <v>78</v>
      </c>
      <c r="O195" s="26" t="s">
        <v>78</v>
      </c>
      <c r="P195" s="26" t="s">
        <v>78</v>
      </c>
      <c r="Q195" s="26" t="s">
        <v>78</v>
      </c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H195" s="26"/>
      <c r="AI195" s="26"/>
      <c r="AJ195" s="26"/>
      <c r="AM195" s="26"/>
      <c r="AN195" s="26"/>
      <c r="AO195" s="26"/>
      <c r="AP195" s="26"/>
      <c r="AQ195" s="26"/>
      <c r="AR195" s="26"/>
    </row>
    <row r="196" spans="1:44" outlineLevel="1" x14ac:dyDescent="0.25">
      <c r="A196" t="s">
        <v>823</v>
      </c>
      <c r="B196" s="27" t="s">
        <v>364</v>
      </c>
      <c r="E196" s="26" t="s">
        <v>78</v>
      </c>
      <c r="F196" s="26" t="s">
        <v>78</v>
      </c>
      <c r="G196" s="26" t="s">
        <v>78</v>
      </c>
      <c r="H196" s="26" t="s">
        <v>78</v>
      </c>
      <c r="I196" s="26" t="s">
        <v>78</v>
      </c>
      <c r="J196" s="26" t="s">
        <v>78</v>
      </c>
      <c r="K196" s="26" t="s">
        <v>78</v>
      </c>
      <c r="L196" s="26" t="s">
        <v>78</v>
      </c>
      <c r="M196" s="26" t="s">
        <v>78</v>
      </c>
      <c r="N196" s="26" t="s">
        <v>78</v>
      </c>
      <c r="O196" s="26" t="s">
        <v>78</v>
      </c>
      <c r="P196" s="26" t="s">
        <v>78</v>
      </c>
      <c r="Q196" s="26" t="s">
        <v>78</v>
      </c>
      <c r="S196" s="26"/>
      <c r="T196" s="26" t="s">
        <v>78</v>
      </c>
      <c r="U196" s="26" t="s">
        <v>78</v>
      </c>
      <c r="V196" s="26" t="s">
        <v>78</v>
      </c>
      <c r="W196" s="26" t="s">
        <v>78</v>
      </c>
      <c r="X196" s="26" t="s">
        <v>78</v>
      </c>
      <c r="Y196" s="26" t="s">
        <v>78</v>
      </c>
      <c r="Z196" s="26" t="s">
        <v>78</v>
      </c>
      <c r="AA196" s="26" t="s">
        <v>78</v>
      </c>
      <c r="AB196" s="26" t="s">
        <v>78</v>
      </c>
      <c r="AC196" s="26" t="s">
        <v>78</v>
      </c>
      <c r="AD196" s="26" t="s">
        <v>78</v>
      </c>
      <c r="AE196" s="26" t="s">
        <v>78</v>
      </c>
      <c r="AF196" s="26" t="s">
        <v>78</v>
      </c>
      <c r="AH196" s="26"/>
      <c r="AI196" s="26"/>
      <c r="AJ196" s="26"/>
      <c r="AM196" s="26"/>
      <c r="AN196" s="26"/>
      <c r="AO196" s="26"/>
      <c r="AP196" s="26"/>
      <c r="AQ196" s="26"/>
      <c r="AR196" s="26"/>
    </row>
    <row r="197" spans="1:44" outlineLevel="1" x14ac:dyDescent="0.25">
      <c r="A197" t="s">
        <v>824</v>
      </c>
      <c r="B197" s="27" t="s">
        <v>363</v>
      </c>
      <c r="E197" s="26" t="s">
        <v>78</v>
      </c>
      <c r="F197" s="26" t="s">
        <v>78</v>
      </c>
      <c r="G197" s="26" t="s">
        <v>78</v>
      </c>
      <c r="H197" s="26" t="s">
        <v>78</v>
      </c>
      <c r="I197" s="26" t="s">
        <v>78</v>
      </c>
      <c r="J197" s="26" t="s">
        <v>78</v>
      </c>
      <c r="K197" s="26" t="s">
        <v>78</v>
      </c>
      <c r="L197" s="26" t="s">
        <v>78</v>
      </c>
      <c r="M197" s="26" t="s">
        <v>78</v>
      </c>
      <c r="N197" s="26" t="s">
        <v>78</v>
      </c>
      <c r="O197" s="26" t="s">
        <v>78</v>
      </c>
      <c r="P197" s="26" t="s">
        <v>78</v>
      </c>
      <c r="Q197" s="26" t="s">
        <v>78</v>
      </c>
      <c r="S197" s="26"/>
      <c r="T197" s="26" t="s">
        <v>78</v>
      </c>
      <c r="U197" s="26" t="s">
        <v>78</v>
      </c>
      <c r="V197" s="26" t="s">
        <v>78</v>
      </c>
      <c r="W197" s="26" t="s">
        <v>78</v>
      </c>
      <c r="X197" s="26" t="s">
        <v>78</v>
      </c>
      <c r="Y197" s="26" t="s">
        <v>78</v>
      </c>
      <c r="Z197" s="26" t="s">
        <v>78</v>
      </c>
      <c r="AA197" s="26" t="s">
        <v>78</v>
      </c>
      <c r="AB197" s="26" t="s">
        <v>78</v>
      </c>
      <c r="AC197" s="26" t="s">
        <v>78</v>
      </c>
      <c r="AD197" s="26" t="s">
        <v>78</v>
      </c>
      <c r="AE197" s="26" t="s">
        <v>78</v>
      </c>
      <c r="AF197" s="26" t="s">
        <v>78</v>
      </c>
      <c r="AH197" s="26"/>
      <c r="AI197" s="26"/>
      <c r="AJ197" s="26"/>
      <c r="AM197" s="26"/>
      <c r="AN197" s="26"/>
      <c r="AO197" s="26"/>
      <c r="AP197" s="26"/>
      <c r="AQ197" s="26"/>
      <c r="AR197" s="26"/>
    </row>
    <row r="198" spans="1:44" outlineLevel="1" x14ac:dyDescent="0.25">
      <c r="A198" t="s">
        <v>825</v>
      </c>
      <c r="B198" s="21" t="s">
        <v>362</v>
      </c>
      <c r="E198" s="26" t="s">
        <v>78</v>
      </c>
      <c r="F198" s="26" t="s">
        <v>78</v>
      </c>
      <c r="G198" s="26" t="s">
        <v>78</v>
      </c>
      <c r="H198" s="26" t="s">
        <v>78</v>
      </c>
      <c r="I198" s="26" t="s">
        <v>78</v>
      </c>
      <c r="J198" s="26" t="s">
        <v>78</v>
      </c>
      <c r="K198" s="26" t="s">
        <v>78</v>
      </c>
      <c r="L198" s="26" t="s">
        <v>78</v>
      </c>
      <c r="M198" s="26" t="s">
        <v>78</v>
      </c>
      <c r="N198" s="26" t="s">
        <v>78</v>
      </c>
      <c r="O198" s="26" t="s">
        <v>78</v>
      </c>
      <c r="P198" s="26" t="s">
        <v>78</v>
      </c>
      <c r="Q198" s="26" t="s">
        <v>78</v>
      </c>
      <c r="S198" s="26"/>
      <c r="T198" s="26" t="s">
        <v>78</v>
      </c>
      <c r="U198" s="26" t="s">
        <v>78</v>
      </c>
      <c r="V198" s="26" t="s">
        <v>78</v>
      </c>
      <c r="W198" s="26" t="s">
        <v>78</v>
      </c>
      <c r="X198" s="26" t="s">
        <v>78</v>
      </c>
      <c r="Y198" s="26" t="s">
        <v>78</v>
      </c>
      <c r="Z198" s="26" t="s">
        <v>78</v>
      </c>
      <c r="AA198" s="26" t="s">
        <v>78</v>
      </c>
      <c r="AB198" s="26" t="s">
        <v>78</v>
      </c>
      <c r="AC198" s="26" t="s">
        <v>78</v>
      </c>
      <c r="AD198" s="26" t="s">
        <v>78</v>
      </c>
      <c r="AE198" s="26" t="s">
        <v>78</v>
      </c>
      <c r="AF198" s="26" t="s">
        <v>78</v>
      </c>
      <c r="AH198" s="26"/>
      <c r="AI198" s="26"/>
      <c r="AJ198" s="26"/>
      <c r="AM198" s="26"/>
      <c r="AN198" s="26"/>
      <c r="AO198" s="26"/>
      <c r="AP198" s="26"/>
      <c r="AQ198" s="26"/>
      <c r="AR198" s="26"/>
    </row>
    <row r="199" spans="1:44" outlineLevel="1" x14ac:dyDescent="0.25">
      <c r="A199" t="s">
        <v>827</v>
      </c>
      <c r="B199" s="27" t="s">
        <v>361</v>
      </c>
      <c r="E199" s="26" t="s">
        <v>78</v>
      </c>
      <c r="F199" s="26" t="s">
        <v>78</v>
      </c>
      <c r="G199" s="26" t="s">
        <v>78</v>
      </c>
      <c r="H199" s="26" t="s">
        <v>78</v>
      </c>
      <c r="I199" s="26" t="s">
        <v>78</v>
      </c>
      <c r="J199" s="26" t="s">
        <v>78</v>
      </c>
      <c r="K199" s="26" t="s">
        <v>78</v>
      </c>
      <c r="L199" s="26" t="s">
        <v>78</v>
      </c>
      <c r="M199" s="26" t="s">
        <v>78</v>
      </c>
      <c r="N199" s="26" t="s">
        <v>78</v>
      </c>
      <c r="O199" s="26" t="s">
        <v>78</v>
      </c>
      <c r="P199" s="26" t="s">
        <v>78</v>
      </c>
      <c r="Q199" s="26" t="s">
        <v>78</v>
      </c>
      <c r="S199" s="26"/>
      <c r="T199" s="26" t="s">
        <v>78</v>
      </c>
      <c r="U199" s="26" t="s">
        <v>78</v>
      </c>
      <c r="V199" s="26" t="s">
        <v>78</v>
      </c>
      <c r="W199" s="26" t="s">
        <v>78</v>
      </c>
      <c r="X199" s="26" t="s">
        <v>78</v>
      </c>
      <c r="Y199" s="26" t="s">
        <v>78</v>
      </c>
      <c r="Z199" s="26" t="s">
        <v>78</v>
      </c>
      <c r="AA199" s="26" t="s">
        <v>78</v>
      </c>
      <c r="AB199" s="26" t="s">
        <v>78</v>
      </c>
      <c r="AC199" s="26" t="s">
        <v>78</v>
      </c>
      <c r="AD199" s="26" t="s">
        <v>78</v>
      </c>
      <c r="AE199" s="26" t="s">
        <v>78</v>
      </c>
      <c r="AF199" s="26" t="s">
        <v>78</v>
      </c>
      <c r="AH199" s="26"/>
      <c r="AI199" s="26"/>
      <c r="AJ199" s="26"/>
      <c r="AM199" s="26"/>
      <c r="AN199" s="26"/>
      <c r="AO199" s="26"/>
      <c r="AP199" s="26"/>
      <c r="AQ199" s="26"/>
      <c r="AR199" s="26"/>
    </row>
    <row r="200" spans="1:44" outlineLevel="1" x14ac:dyDescent="0.25">
      <c r="A200" t="s">
        <v>826</v>
      </c>
      <c r="B200" s="27" t="s">
        <v>360</v>
      </c>
      <c r="E200" s="26" t="s">
        <v>78</v>
      </c>
      <c r="F200" s="26" t="s">
        <v>78</v>
      </c>
      <c r="G200" s="26" t="s">
        <v>78</v>
      </c>
      <c r="H200" s="26" t="s">
        <v>78</v>
      </c>
      <c r="I200" s="26" t="s">
        <v>78</v>
      </c>
      <c r="J200" s="26" t="s">
        <v>78</v>
      </c>
      <c r="K200" s="26" t="s">
        <v>78</v>
      </c>
      <c r="L200" s="26" t="s">
        <v>78</v>
      </c>
      <c r="M200" s="26" t="s">
        <v>78</v>
      </c>
      <c r="N200" s="26" t="s">
        <v>78</v>
      </c>
      <c r="O200" s="26" t="s">
        <v>78</v>
      </c>
      <c r="P200" s="26" t="s">
        <v>78</v>
      </c>
      <c r="Q200" s="26" t="s">
        <v>78</v>
      </c>
      <c r="S200" s="26"/>
      <c r="T200" s="26" t="s">
        <v>78</v>
      </c>
      <c r="U200" s="26" t="s">
        <v>78</v>
      </c>
      <c r="V200" s="26" t="s">
        <v>78</v>
      </c>
      <c r="W200" s="26" t="s">
        <v>78</v>
      </c>
      <c r="X200" s="26" t="s">
        <v>78</v>
      </c>
      <c r="Y200" s="26" t="s">
        <v>78</v>
      </c>
      <c r="Z200" s="26" t="s">
        <v>78</v>
      </c>
      <c r="AA200" s="26" t="s">
        <v>78</v>
      </c>
      <c r="AB200" s="26" t="s">
        <v>78</v>
      </c>
      <c r="AC200" s="26" t="s">
        <v>78</v>
      </c>
      <c r="AD200" s="26" t="s">
        <v>78</v>
      </c>
      <c r="AE200" s="26" t="s">
        <v>78</v>
      </c>
      <c r="AF200" s="26" t="s">
        <v>78</v>
      </c>
      <c r="AH200" s="26"/>
      <c r="AI200" s="26"/>
      <c r="AJ200" s="26"/>
      <c r="AM200" s="26"/>
      <c r="AN200" s="26"/>
      <c r="AO200" s="26"/>
      <c r="AP200" s="26"/>
      <c r="AQ200" s="26"/>
      <c r="AR200" s="26"/>
    </row>
    <row r="201" spans="1:44" ht="30" outlineLevel="1" x14ac:dyDescent="0.25">
      <c r="A201" t="s">
        <v>878</v>
      </c>
      <c r="B201" s="21" t="s">
        <v>359</v>
      </c>
      <c r="E201" s="26" t="s">
        <v>78</v>
      </c>
      <c r="F201" s="26" t="s">
        <v>78</v>
      </c>
      <c r="G201" s="26" t="s">
        <v>78</v>
      </c>
      <c r="H201" s="26" t="s">
        <v>78</v>
      </c>
      <c r="I201" s="26" t="s">
        <v>78</v>
      </c>
      <c r="J201" s="26" t="s">
        <v>78</v>
      </c>
      <c r="K201" s="26" t="s">
        <v>78</v>
      </c>
      <c r="L201" s="26" t="s">
        <v>78</v>
      </c>
      <c r="M201" s="26" t="s">
        <v>78</v>
      </c>
      <c r="N201" s="26" t="s">
        <v>78</v>
      </c>
      <c r="O201" s="26" t="s">
        <v>78</v>
      </c>
      <c r="P201" s="26" t="s">
        <v>78</v>
      </c>
      <c r="Q201" s="26" t="s">
        <v>78</v>
      </c>
      <c r="S201" s="26"/>
      <c r="T201" s="26" t="s">
        <v>78</v>
      </c>
      <c r="U201" s="26" t="s">
        <v>78</v>
      </c>
      <c r="V201" s="26" t="s">
        <v>78</v>
      </c>
      <c r="W201" s="26" t="s">
        <v>78</v>
      </c>
      <c r="X201" s="26" t="s">
        <v>78</v>
      </c>
      <c r="Y201" s="26" t="s">
        <v>78</v>
      </c>
      <c r="Z201" s="26" t="s">
        <v>78</v>
      </c>
      <c r="AA201" s="26" t="s">
        <v>78</v>
      </c>
      <c r="AB201" s="26" t="s">
        <v>78</v>
      </c>
      <c r="AC201" s="26" t="s">
        <v>78</v>
      </c>
      <c r="AD201" s="26" t="s">
        <v>78</v>
      </c>
      <c r="AE201" s="26" t="s">
        <v>78</v>
      </c>
      <c r="AF201" s="26" t="s">
        <v>78</v>
      </c>
      <c r="AH201" s="26"/>
      <c r="AI201" s="26"/>
      <c r="AJ201" s="26"/>
      <c r="AM201" s="26"/>
      <c r="AN201" s="26"/>
      <c r="AO201" s="26"/>
      <c r="AP201" s="26"/>
      <c r="AQ201" s="26"/>
      <c r="AR201" s="26"/>
    </row>
    <row r="202" spans="1:44" x14ac:dyDescent="0.25">
      <c r="A202" t="s">
        <v>879</v>
      </c>
      <c r="B202" t="s">
        <v>880</v>
      </c>
      <c r="D202"/>
      <c r="E202" s="17" t="s">
        <v>78</v>
      </c>
      <c r="F202" s="17" t="s">
        <v>78</v>
      </c>
      <c r="G202" s="17" t="s">
        <v>78</v>
      </c>
      <c r="H202" s="17" t="s">
        <v>78</v>
      </c>
      <c r="I202" s="17" t="s">
        <v>78</v>
      </c>
      <c r="J202" s="17" t="s">
        <v>78</v>
      </c>
      <c r="K202" s="17" t="s">
        <v>78</v>
      </c>
      <c r="L202" s="17" t="s">
        <v>78</v>
      </c>
      <c r="M202" s="17" t="s">
        <v>78</v>
      </c>
      <c r="N202" s="17" t="s">
        <v>78</v>
      </c>
      <c r="O202" s="17" t="s">
        <v>78</v>
      </c>
      <c r="P202" s="17" t="s">
        <v>78</v>
      </c>
      <c r="Q202" s="17" t="s">
        <v>78</v>
      </c>
      <c r="S202" s="17"/>
      <c r="T202" s="17" t="s">
        <v>78</v>
      </c>
      <c r="U202" s="17" t="s">
        <v>78</v>
      </c>
      <c r="V202" s="17" t="s">
        <v>78</v>
      </c>
      <c r="W202" s="17" t="s">
        <v>78</v>
      </c>
      <c r="X202" s="17" t="s">
        <v>78</v>
      </c>
      <c r="Y202" s="17" t="s">
        <v>78</v>
      </c>
      <c r="Z202" s="17" t="s">
        <v>78</v>
      </c>
      <c r="AA202" s="17" t="s">
        <v>78</v>
      </c>
      <c r="AB202" s="17" t="s">
        <v>78</v>
      </c>
      <c r="AC202" s="17" t="s">
        <v>78</v>
      </c>
      <c r="AD202" s="17" t="s">
        <v>78</v>
      </c>
      <c r="AE202" s="17" t="s">
        <v>78</v>
      </c>
      <c r="AF202" s="17" t="s">
        <v>78</v>
      </c>
    </row>
    <row r="203" spans="1:44" x14ac:dyDescent="0.25">
      <c r="A203" s="94" t="s">
        <v>886</v>
      </c>
      <c r="B203" s="95" t="s">
        <v>887</v>
      </c>
      <c r="D203"/>
      <c r="E203" s="17"/>
      <c r="F203" s="17"/>
      <c r="G203" s="17"/>
      <c r="H203" s="17"/>
      <c r="I203" s="17"/>
      <c r="J203" s="17"/>
      <c r="K203" s="17"/>
      <c r="L203" s="17"/>
      <c r="M203" s="17"/>
      <c r="N203" s="93" t="s">
        <v>42</v>
      </c>
      <c r="O203" s="93" t="s">
        <v>42</v>
      </c>
      <c r="P203" s="93" t="s">
        <v>42</v>
      </c>
      <c r="Q203" s="93" t="s">
        <v>42</v>
      </c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93" t="s">
        <v>42</v>
      </c>
      <c r="AD203" s="93" t="s">
        <v>42</v>
      </c>
      <c r="AE203" s="93" t="s">
        <v>42</v>
      </c>
      <c r="AF203" s="93" t="s">
        <v>42</v>
      </c>
    </row>
    <row r="204" spans="1:44" outlineLevel="1" x14ac:dyDescent="0.25">
      <c r="A204" t="s">
        <v>888</v>
      </c>
      <c r="B204" t="s">
        <v>364</v>
      </c>
      <c r="D204"/>
      <c r="E204" s="17"/>
      <c r="F204" s="17"/>
      <c r="G204" s="17"/>
      <c r="H204" s="17"/>
      <c r="I204" s="17"/>
      <c r="J204" s="17"/>
      <c r="K204" s="17"/>
      <c r="L204" s="17"/>
      <c r="M204" s="17"/>
      <c r="N204" s="17" t="s">
        <v>42</v>
      </c>
      <c r="O204" s="17" t="s">
        <v>42</v>
      </c>
      <c r="P204" s="17" t="s">
        <v>42</v>
      </c>
      <c r="Q204" s="17" t="s">
        <v>42</v>
      </c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 t="s">
        <v>42</v>
      </c>
      <c r="AD204" s="17" t="s">
        <v>42</v>
      </c>
      <c r="AE204" s="17" t="s">
        <v>42</v>
      </c>
      <c r="AF204" s="17" t="s">
        <v>42</v>
      </c>
    </row>
    <row r="205" spans="1:44" outlineLevel="1" x14ac:dyDescent="0.25">
      <c r="A205" t="s">
        <v>889</v>
      </c>
      <c r="B205" t="s">
        <v>363</v>
      </c>
      <c r="D205"/>
      <c r="E205" s="17"/>
      <c r="F205" s="17"/>
      <c r="G205" s="17"/>
      <c r="H205" s="17"/>
      <c r="I205" s="17"/>
      <c r="J205" s="17"/>
      <c r="K205" s="17"/>
      <c r="L205" s="17"/>
      <c r="M205" s="17"/>
      <c r="N205" s="17" t="s">
        <v>42</v>
      </c>
      <c r="O205" s="17" t="s">
        <v>42</v>
      </c>
      <c r="P205" s="17" t="s">
        <v>42</v>
      </c>
      <c r="Q205" s="17" t="s">
        <v>42</v>
      </c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 t="s">
        <v>42</v>
      </c>
      <c r="AD205" s="17" t="s">
        <v>42</v>
      </c>
      <c r="AE205" s="17" t="s">
        <v>42</v>
      </c>
      <c r="AF205" s="17" t="s">
        <v>42</v>
      </c>
    </row>
    <row r="206" spans="1:44" outlineLevel="1" x14ac:dyDescent="0.25">
      <c r="A206" t="s">
        <v>890</v>
      </c>
      <c r="B206" t="s">
        <v>877</v>
      </c>
      <c r="D206"/>
      <c r="E206" s="17"/>
      <c r="F206" s="17"/>
      <c r="G206" s="17"/>
      <c r="H206" s="17"/>
      <c r="I206" s="17"/>
      <c r="J206" s="17"/>
      <c r="K206" s="17"/>
      <c r="L206" s="17"/>
      <c r="M206" s="17"/>
      <c r="N206" s="17" t="s">
        <v>42</v>
      </c>
      <c r="O206" s="17" t="s">
        <v>42</v>
      </c>
      <c r="P206" s="17" t="s">
        <v>42</v>
      </c>
      <c r="Q206" s="17" t="s">
        <v>42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 t="s">
        <v>42</v>
      </c>
      <c r="AD206" s="17" t="s">
        <v>42</v>
      </c>
      <c r="AE206" s="17" t="s">
        <v>42</v>
      </c>
      <c r="AF206" s="17" t="s">
        <v>42</v>
      </c>
    </row>
    <row r="207" spans="1:44" outlineLevel="1" x14ac:dyDescent="0.25">
      <c r="A207" t="s">
        <v>891</v>
      </c>
      <c r="B207" t="s">
        <v>395</v>
      </c>
      <c r="D207"/>
      <c r="E207" s="17"/>
      <c r="F207" s="17"/>
      <c r="G207" s="17"/>
      <c r="H207" s="17"/>
      <c r="I207" s="17"/>
      <c r="J207" s="17"/>
      <c r="K207" s="17"/>
      <c r="L207" s="17"/>
      <c r="M207" s="17"/>
      <c r="N207" s="17" t="s">
        <v>42</v>
      </c>
      <c r="O207" s="17" t="s">
        <v>42</v>
      </c>
      <c r="P207" s="17" t="s">
        <v>42</v>
      </c>
      <c r="Q207" s="17" t="s">
        <v>42</v>
      </c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 t="s">
        <v>42</v>
      </c>
      <c r="AD207" s="17" t="s">
        <v>42</v>
      </c>
      <c r="AE207" s="17" t="s">
        <v>42</v>
      </c>
      <c r="AF207" s="17" t="s">
        <v>42</v>
      </c>
    </row>
    <row r="208" spans="1:44" outlineLevel="1" x14ac:dyDescent="0.25">
      <c r="A208" t="s">
        <v>892</v>
      </c>
      <c r="B208" t="s">
        <v>893</v>
      </c>
      <c r="D208"/>
      <c r="E208" s="17"/>
      <c r="F208" s="17"/>
      <c r="G208" s="17"/>
      <c r="H208" s="17"/>
      <c r="I208" s="17"/>
      <c r="J208" s="17"/>
      <c r="K208" s="17"/>
      <c r="L208" s="17"/>
      <c r="M208" s="17"/>
      <c r="N208" s="17" t="s">
        <v>42</v>
      </c>
      <c r="O208" s="17" t="s">
        <v>42</v>
      </c>
      <c r="P208" s="17" t="s">
        <v>42</v>
      </c>
      <c r="Q208" s="17" t="s">
        <v>42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 t="s">
        <v>42</v>
      </c>
      <c r="AD208" s="17" t="s">
        <v>42</v>
      </c>
      <c r="AE208" s="17" t="s">
        <v>42</v>
      </c>
      <c r="AF208" s="17" t="s">
        <v>42</v>
      </c>
    </row>
    <row r="209" spans="1:44" x14ac:dyDescent="0.25">
      <c r="A209" s="11">
        <v>2</v>
      </c>
      <c r="B209" s="12" t="s">
        <v>358</v>
      </c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H209" s="26"/>
      <c r="AI209" s="26"/>
      <c r="AJ209" s="26"/>
      <c r="AM209" s="26"/>
      <c r="AN209" s="26"/>
      <c r="AO209" s="26"/>
      <c r="AP209" s="26"/>
      <c r="AQ209" s="26"/>
      <c r="AR209" s="26"/>
    </row>
    <row r="210" spans="1:44" ht="90" x14ac:dyDescent="0.25">
      <c r="A210" s="18" t="s">
        <v>158</v>
      </c>
      <c r="B210" s="19" t="s">
        <v>828</v>
      </c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H210" s="26"/>
      <c r="AI210" s="26"/>
      <c r="AJ210" s="26"/>
      <c r="AM210" s="26"/>
      <c r="AN210" s="26"/>
      <c r="AO210" s="26"/>
      <c r="AP210" s="26"/>
      <c r="AQ210" s="26"/>
      <c r="AR210" s="26"/>
    </row>
    <row r="211" spans="1:44" x14ac:dyDescent="0.25">
      <c r="A211" s="20" t="s">
        <v>160</v>
      </c>
      <c r="B211" s="21" t="s">
        <v>357</v>
      </c>
      <c r="D211" s="26" t="s">
        <v>42</v>
      </c>
      <c r="E211" s="26" t="s">
        <v>42</v>
      </c>
      <c r="F211" s="26" t="s">
        <v>42</v>
      </c>
      <c r="G211" s="60" t="s">
        <v>42</v>
      </c>
      <c r="H211" s="26" t="s">
        <v>42</v>
      </c>
      <c r="I211" s="26" t="s">
        <v>42</v>
      </c>
      <c r="J211" s="26" t="s">
        <v>42</v>
      </c>
      <c r="K211" s="26" t="s">
        <v>42</v>
      </c>
      <c r="L211" s="26" t="s">
        <v>42</v>
      </c>
      <c r="M211" s="60" t="s">
        <v>42</v>
      </c>
      <c r="N211" s="26" t="s">
        <v>42</v>
      </c>
      <c r="O211" s="60" t="s">
        <v>42</v>
      </c>
      <c r="P211" s="26" t="s">
        <v>42</v>
      </c>
      <c r="Q211" s="26" t="s">
        <v>42</v>
      </c>
      <c r="S211" s="26" t="s">
        <v>42</v>
      </c>
      <c r="T211" s="26" t="s">
        <v>42</v>
      </c>
      <c r="U211" s="26" t="s">
        <v>42</v>
      </c>
      <c r="V211" s="26" t="s">
        <v>42</v>
      </c>
      <c r="W211" s="26" t="s">
        <v>42</v>
      </c>
      <c r="X211" s="26" t="s">
        <v>42</v>
      </c>
      <c r="Y211" s="26" t="s">
        <v>42</v>
      </c>
      <c r="Z211" s="26" t="s">
        <v>42</v>
      </c>
      <c r="AA211" s="26" t="s">
        <v>42</v>
      </c>
      <c r="AB211" s="26" t="s">
        <v>42</v>
      </c>
      <c r="AC211" s="26" t="s">
        <v>42</v>
      </c>
      <c r="AD211" s="26" t="s">
        <v>42</v>
      </c>
      <c r="AE211" s="26" t="s">
        <v>42</v>
      </c>
      <c r="AF211" s="26" t="s">
        <v>42</v>
      </c>
      <c r="AH211" s="26" t="s">
        <v>42</v>
      </c>
      <c r="AI211" s="26" t="s">
        <v>42</v>
      </c>
      <c r="AJ211" s="26" t="s">
        <v>42</v>
      </c>
      <c r="AK211" s="26" t="s">
        <v>42</v>
      </c>
      <c r="AM211" s="26"/>
      <c r="AN211" s="26"/>
      <c r="AO211" s="26"/>
      <c r="AP211" s="26"/>
      <c r="AQ211" s="26"/>
      <c r="AR211" s="26"/>
    </row>
    <row r="212" spans="1:44" x14ac:dyDescent="0.25">
      <c r="A212" s="20" t="s">
        <v>162</v>
      </c>
      <c r="B212" s="21" t="s">
        <v>356</v>
      </c>
      <c r="D212" s="26" t="s">
        <v>42</v>
      </c>
      <c r="E212" s="26" t="s">
        <v>42</v>
      </c>
      <c r="F212" s="26" t="s">
        <v>42</v>
      </c>
      <c r="G212" s="60" t="s">
        <v>42</v>
      </c>
      <c r="H212" s="26" t="s">
        <v>42</v>
      </c>
      <c r="I212" s="26" t="s">
        <v>42</v>
      </c>
      <c r="J212" s="26" t="s">
        <v>42</v>
      </c>
      <c r="K212" s="26" t="s">
        <v>42</v>
      </c>
      <c r="L212" s="26" t="s">
        <v>42</v>
      </c>
      <c r="M212" s="60" t="s">
        <v>42</v>
      </c>
      <c r="N212" s="26" t="s">
        <v>42</v>
      </c>
      <c r="O212" s="60" t="s">
        <v>42</v>
      </c>
      <c r="P212" s="26" t="s">
        <v>42</v>
      </c>
      <c r="Q212" s="26" t="s">
        <v>42</v>
      </c>
      <c r="S212" s="26" t="s">
        <v>42</v>
      </c>
      <c r="T212" s="26" t="s">
        <v>42</v>
      </c>
      <c r="U212" s="26" t="s">
        <v>42</v>
      </c>
      <c r="V212" s="26" t="s">
        <v>42</v>
      </c>
      <c r="W212" s="26" t="s">
        <v>42</v>
      </c>
      <c r="X212" s="26" t="s">
        <v>42</v>
      </c>
      <c r="Y212" s="26" t="s">
        <v>42</v>
      </c>
      <c r="Z212" s="26" t="s">
        <v>42</v>
      </c>
      <c r="AA212" s="26" t="s">
        <v>42</v>
      </c>
      <c r="AB212" s="26" t="s">
        <v>42</v>
      </c>
      <c r="AC212" s="26" t="s">
        <v>42</v>
      </c>
      <c r="AD212" s="26" t="s">
        <v>42</v>
      </c>
      <c r="AE212" s="26" t="s">
        <v>42</v>
      </c>
      <c r="AF212" s="26" t="s">
        <v>42</v>
      </c>
      <c r="AH212" s="26" t="s">
        <v>42</v>
      </c>
      <c r="AI212" s="26" t="s">
        <v>42</v>
      </c>
      <c r="AJ212" s="26" t="s">
        <v>42</v>
      </c>
      <c r="AK212" s="26" t="s">
        <v>42</v>
      </c>
      <c r="AM212" s="26"/>
      <c r="AN212" s="26"/>
      <c r="AO212" s="26"/>
      <c r="AP212" s="26"/>
      <c r="AQ212" s="26"/>
      <c r="AR212" s="26"/>
    </row>
    <row r="213" spans="1:44" x14ac:dyDescent="0.25">
      <c r="A213" s="20" t="s">
        <v>355</v>
      </c>
      <c r="B213" s="21" t="s">
        <v>354</v>
      </c>
      <c r="O213" s="60"/>
      <c r="Q213" s="26"/>
      <c r="S213" s="26" t="s">
        <v>42</v>
      </c>
      <c r="T213" s="26" t="s">
        <v>42</v>
      </c>
      <c r="U213" s="26" t="s">
        <v>42</v>
      </c>
      <c r="V213" s="26" t="s">
        <v>42</v>
      </c>
      <c r="W213" s="26" t="s">
        <v>42</v>
      </c>
      <c r="X213" s="26" t="s">
        <v>42</v>
      </c>
      <c r="Y213" s="26" t="s">
        <v>42</v>
      </c>
      <c r="Z213" s="26" t="s">
        <v>42</v>
      </c>
      <c r="AA213" s="26" t="s">
        <v>42</v>
      </c>
      <c r="AB213" s="26" t="s">
        <v>42</v>
      </c>
      <c r="AC213" s="26" t="s">
        <v>42</v>
      </c>
      <c r="AD213" s="26" t="s">
        <v>42</v>
      </c>
      <c r="AE213" s="26" t="s">
        <v>42</v>
      </c>
      <c r="AF213" s="26" t="s">
        <v>42</v>
      </c>
      <c r="AH213" s="26" t="s">
        <v>42</v>
      </c>
      <c r="AI213" s="26" t="s">
        <v>42</v>
      </c>
      <c r="AJ213" s="26" t="s">
        <v>42</v>
      </c>
      <c r="AK213" s="26" t="s">
        <v>42</v>
      </c>
      <c r="AM213" s="26"/>
      <c r="AN213" s="26"/>
      <c r="AO213" s="26"/>
      <c r="AP213" s="26"/>
      <c r="AQ213" s="26"/>
      <c r="AR213" s="26"/>
    </row>
    <row r="214" spans="1:44" x14ac:dyDescent="0.25">
      <c r="A214" s="20" t="s">
        <v>164</v>
      </c>
      <c r="B214" s="21" t="s">
        <v>353</v>
      </c>
      <c r="D214" s="26" t="s">
        <v>42</v>
      </c>
      <c r="E214" s="26" t="s">
        <v>42</v>
      </c>
      <c r="F214" s="26" t="s">
        <v>42</v>
      </c>
      <c r="G214" s="60" t="s">
        <v>42</v>
      </c>
      <c r="H214" s="26" t="s">
        <v>42</v>
      </c>
      <c r="I214" s="26" t="s">
        <v>42</v>
      </c>
      <c r="J214" s="26" t="s">
        <v>42</v>
      </c>
      <c r="K214" s="26" t="s">
        <v>42</v>
      </c>
      <c r="L214" s="26" t="s">
        <v>42</v>
      </c>
      <c r="M214" s="60" t="s">
        <v>42</v>
      </c>
      <c r="N214" s="26" t="s">
        <v>42</v>
      </c>
      <c r="O214" s="60" t="s">
        <v>42</v>
      </c>
      <c r="P214" s="26" t="s">
        <v>42</v>
      </c>
      <c r="Q214" s="26" t="s">
        <v>42</v>
      </c>
      <c r="S214" s="26" t="s">
        <v>42</v>
      </c>
      <c r="T214" s="26" t="s">
        <v>42</v>
      </c>
      <c r="U214" s="26" t="s">
        <v>42</v>
      </c>
      <c r="V214" s="26" t="s">
        <v>42</v>
      </c>
      <c r="W214" s="26" t="s">
        <v>42</v>
      </c>
      <c r="X214" s="26" t="s">
        <v>42</v>
      </c>
      <c r="Y214" s="26" t="s">
        <v>42</v>
      </c>
      <c r="Z214" s="26" t="s">
        <v>42</v>
      </c>
      <c r="AA214" s="26" t="s">
        <v>42</v>
      </c>
      <c r="AB214" s="26" t="s">
        <v>42</v>
      </c>
      <c r="AC214" s="26" t="s">
        <v>42</v>
      </c>
      <c r="AD214" s="26" t="s">
        <v>42</v>
      </c>
      <c r="AE214" s="26" t="s">
        <v>42</v>
      </c>
      <c r="AF214" s="26" t="s">
        <v>42</v>
      </c>
      <c r="AH214" s="26" t="s">
        <v>42</v>
      </c>
      <c r="AI214" s="26" t="s">
        <v>42</v>
      </c>
      <c r="AJ214" s="26" t="s">
        <v>42</v>
      </c>
      <c r="AK214" s="26" t="s">
        <v>42</v>
      </c>
      <c r="AM214" s="26"/>
      <c r="AN214" s="26"/>
      <c r="AO214" s="26"/>
      <c r="AP214" s="26"/>
      <c r="AQ214" s="26"/>
      <c r="AR214" s="26"/>
    </row>
    <row r="215" spans="1:44" ht="30" x14ac:dyDescent="0.25">
      <c r="A215" s="20" t="s">
        <v>170</v>
      </c>
      <c r="B215" s="21" t="s">
        <v>173</v>
      </c>
      <c r="C215" t="s">
        <v>352</v>
      </c>
      <c r="E215" s="26" t="s">
        <v>78</v>
      </c>
      <c r="F215" s="26" t="s">
        <v>78</v>
      </c>
      <c r="G215" s="60" t="s">
        <v>78</v>
      </c>
      <c r="H215" s="26" t="s">
        <v>78</v>
      </c>
      <c r="I215" s="26" t="s">
        <v>78</v>
      </c>
      <c r="N215" s="26" t="s">
        <v>78</v>
      </c>
      <c r="O215" s="60" t="s">
        <v>78</v>
      </c>
      <c r="P215" s="26" t="s">
        <v>78</v>
      </c>
      <c r="Q215" s="26" t="s">
        <v>78</v>
      </c>
      <c r="S215" s="26"/>
      <c r="T215" s="26" t="s">
        <v>78</v>
      </c>
      <c r="U215" s="26" t="s">
        <v>78</v>
      </c>
      <c r="V215" s="26" t="s">
        <v>78</v>
      </c>
      <c r="W215" s="26" t="s">
        <v>78</v>
      </c>
      <c r="X215" s="26" t="s">
        <v>78</v>
      </c>
      <c r="Y215" s="26"/>
      <c r="Z215" s="26"/>
      <c r="AA215" s="26"/>
      <c r="AB215" s="26"/>
      <c r="AC215" s="26" t="s">
        <v>78</v>
      </c>
      <c r="AD215" s="26" t="s">
        <v>78</v>
      </c>
      <c r="AE215" s="26" t="s">
        <v>78</v>
      </c>
      <c r="AF215" s="26" t="s">
        <v>78</v>
      </c>
      <c r="AH215" s="26"/>
      <c r="AI215" s="26" t="s">
        <v>78</v>
      </c>
      <c r="AJ215" s="26"/>
      <c r="AK215" s="26" t="s">
        <v>78</v>
      </c>
      <c r="AM215" s="26"/>
      <c r="AN215" s="26"/>
      <c r="AO215" s="26"/>
      <c r="AP215" s="26"/>
      <c r="AQ215" s="26"/>
      <c r="AR215" s="26"/>
    </row>
    <row r="216" spans="1:44" x14ac:dyDescent="0.25">
      <c r="A216" t="s">
        <v>829</v>
      </c>
      <c r="B216" s="21" t="s">
        <v>351</v>
      </c>
      <c r="S216" s="26" t="s">
        <v>42</v>
      </c>
      <c r="T216" s="26" t="s">
        <v>42</v>
      </c>
      <c r="U216" s="26" t="s">
        <v>42</v>
      </c>
      <c r="V216" s="26" t="s">
        <v>42</v>
      </c>
      <c r="W216" s="26" t="s">
        <v>42</v>
      </c>
      <c r="X216" s="26" t="s">
        <v>42</v>
      </c>
      <c r="Y216" s="26" t="s">
        <v>42</v>
      </c>
      <c r="Z216" s="26" t="s">
        <v>42</v>
      </c>
      <c r="AA216" s="26" t="s">
        <v>42</v>
      </c>
      <c r="AB216" s="26" t="s">
        <v>42</v>
      </c>
      <c r="AC216" s="26" t="s">
        <v>42</v>
      </c>
      <c r="AD216" s="26" t="s">
        <v>42</v>
      </c>
      <c r="AE216" s="26" t="s">
        <v>42</v>
      </c>
      <c r="AF216" s="26" t="s">
        <v>42</v>
      </c>
      <c r="AH216" s="26"/>
      <c r="AI216" s="26"/>
      <c r="AJ216" s="26"/>
      <c r="AM216" s="26"/>
      <c r="AN216" s="26"/>
      <c r="AO216" s="26"/>
      <c r="AP216" s="26"/>
      <c r="AQ216" s="26"/>
      <c r="AR216" s="26"/>
    </row>
    <row r="217" spans="1:44" ht="30" x14ac:dyDescent="0.25">
      <c r="A217" s="18" t="s">
        <v>175</v>
      </c>
      <c r="B217" s="19" t="s">
        <v>350</v>
      </c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H217" s="26"/>
      <c r="AI217" s="26"/>
      <c r="AJ217" s="26"/>
      <c r="AM217" s="26"/>
      <c r="AN217" s="26"/>
      <c r="AO217" s="26"/>
      <c r="AP217" s="26"/>
      <c r="AQ217" s="26"/>
      <c r="AR217" s="26"/>
    </row>
    <row r="218" spans="1:44" outlineLevel="1" x14ac:dyDescent="0.25">
      <c r="A218" s="20" t="s">
        <v>349</v>
      </c>
      <c r="B218" s="21" t="s">
        <v>348</v>
      </c>
      <c r="C218" t="s">
        <v>333</v>
      </c>
      <c r="D218" s="26" t="s">
        <v>42</v>
      </c>
      <c r="E218" s="26" t="s">
        <v>42</v>
      </c>
      <c r="F218" s="26" t="s">
        <v>42</v>
      </c>
      <c r="G218" s="60" t="s">
        <v>42</v>
      </c>
      <c r="H218" s="26" t="s">
        <v>42</v>
      </c>
      <c r="I218" s="26" t="s">
        <v>42</v>
      </c>
      <c r="J218" s="26" t="s">
        <v>42</v>
      </c>
      <c r="K218" s="26" t="s">
        <v>42</v>
      </c>
      <c r="L218" s="26" t="s">
        <v>42</v>
      </c>
      <c r="M218" s="60" t="s">
        <v>42</v>
      </c>
      <c r="N218" s="26" t="s">
        <v>42</v>
      </c>
      <c r="O218" s="60" t="s">
        <v>42</v>
      </c>
      <c r="P218" s="26" t="s">
        <v>42</v>
      </c>
      <c r="Q218" s="26" t="s">
        <v>42</v>
      </c>
      <c r="S218" s="26" t="s">
        <v>42</v>
      </c>
      <c r="T218" s="26" t="s">
        <v>42</v>
      </c>
      <c r="U218" s="26" t="s">
        <v>42</v>
      </c>
      <c r="V218" s="26" t="s">
        <v>42</v>
      </c>
      <c r="W218" s="26" t="s">
        <v>42</v>
      </c>
      <c r="X218" s="26" t="s">
        <v>42</v>
      </c>
      <c r="Y218" s="26" t="s">
        <v>42</v>
      </c>
      <c r="Z218" s="26" t="s">
        <v>42</v>
      </c>
      <c r="AA218" s="26" t="s">
        <v>42</v>
      </c>
      <c r="AB218" s="26" t="s">
        <v>42</v>
      </c>
      <c r="AC218" s="26" t="s">
        <v>42</v>
      </c>
      <c r="AD218" s="26" t="s">
        <v>42</v>
      </c>
      <c r="AE218" s="26" t="s">
        <v>42</v>
      </c>
      <c r="AF218" s="26" t="s">
        <v>42</v>
      </c>
      <c r="AH218" s="26" t="s">
        <v>42</v>
      </c>
      <c r="AI218" s="26" t="s">
        <v>42</v>
      </c>
      <c r="AJ218" s="26" t="s">
        <v>42</v>
      </c>
      <c r="AK218" s="26" t="s">
        <v>42</v>
      </c>
      <c r="AM218" s="26"/>
      <c r="AN218" s="26"/>
      <c r="AO218" s="26"/>
      <c r="AP218" s="26"/>
      <c r="AQ218" s="26"/>
      <c r="AR218" s="26"/>
    </row>
    <row r="219" spans="1:44" outlineLevel="1" x14ac:dyDescent="0.25">
      <c r="A219" s="20" t="s">
        <v>347</v>
      </c>
      <c r="B219" s="21" t="s">
        <v>346</v>
      </c>
      <c r="C219" t="s">
        <v>333</v>
      </c>
      <c r="D219" s="26" t="s">
        <v>42</v>
      </c>
      <c r="E219" s="26" t="s">
        <v>42</v>
      </c>
      <c r="F219" s="26" t="s">
        <v>42</v>
      </c>
      <c r="G219" s="60" t="s">
        <v>42</v>
      </c>
      <c r="H219" s="26" t="s">
        <v>42</v>
      </c>
      <c r="I219" s="26" t="s">
        <v>42</v>
      </c>
      <c r="J219" s="26" t="s">
        <v>42</v>
      </c>
      <c r="K219" s="26" t="s">
        <v>42</v>
      </c>
      <c r="L219" s="26" t="s">
        <v>42</v>
      </c>
      <c r="M219" s="60" t="s">
        <v>42</v>
      </c>
      <c r="N219" s="26" t="s">
        <v>42</v>
      </c>
      <c r="O219" s="60" t="s">
        <v>42</v>
      </c>
      <c r="P219" s="26" t="s">
        <v>42</v>
      </c>
      <c r="Q219" s="26" t="s">
        <v>42</v>
      </c>
      <c r="S219" s="26" t="s">
        <v>42</v>
      </c>
      <c r="T219" s="26" t="s">
        <v>42</v>
      </c>
      <c r="U219" s="26" t="s">
        <v>42</v>
      </c>
      <c r="V219" s="26" t="s">
        <v>42</v>
      </c>
      <c r="W219" s="26" t="s">
        <v>42</v>
      </c>
      <c r="X219" s="26" t="s">
        <v>42</v>
      </c>
      <c r="Y219" s="26" t="s">
        <v>42</v>
      </c>
      <c r="Z219" s="26" t="s">
        <v>42</v>
      </c>
      <c r="AA219" s="26" t="s">
        <v>42</v>
      </c>
      <c r="AB219" s="26" t="s">
        <v>42</v>
      </c>
      <c r="AC219" s="26" t="s">
        <v>42</v>
      </c>
      <c r="AD219" s="26" t="s">
        <v>42</v>
      </c>
      <c r="AE219" s="26" t="s">
        <v>42</v>
      </c>
      <c r="AF219" s="26" t="s">
        <v>42</v>
      </c>
      <c r="AH219" s="26" t="s">
        <v>42</v>
      </c>
      <c r="AI219" s="26" t="s">
        <v>42</v>
      </c>
      <c r="AJ219" s="26" t="s">
        <v>42</v>
      </c>
      <c r="AK219" s="26" t="s">
        <v>42</v>
      </c>
      <c r="AM219" s="26"/>
      <c r="AN219" s="26"/>
      <c r="AO219" s="26"/>
      <c r="AP219" s="26"/>
      <c r="AQ219" s="26"/>
      <c r="AR219" s="26"/>
    </row>
    <row r="220" spans="1:44" outlineLevel="1" x14ac:dyDescent="0.25">
      <c r="A220" s="20" t="s">
        <v>345</v>
      </c>
      <c r="B220" s="21" t="s">
        <v>344</v>
      </c>
      <c r="C220" t="s">
        <v>333</v>
      </c>
      <c r="D220" s="26" t="s">
        <v>42</v>
      </c>
      <c r="E220" s="26" t="s">
        <v>42</v>
      </c>
      <c r="F220" s="26" t="s">
        <v>42</v>
      </c>
      <c r="G220" s="60" t="s">
        <v>42</v>
      </c>
      <c r="H220" s="26" t="s">
        <v>42</v>
      </c>
      <c r="I220" s="26" t="s">
        <v>42</v>
      </c>
      <c r="J220" s="26" t="s">
        <v>42</v>
      </c>
      <c r="K220" s="26" t="s">
        <v>42</v>
      </c>
      <c r="L220" s="26" t="s">
        <v>42</v>
      </c>
      <c r="M220" s="60" t="s">
        <v>42</v>
      </c>
      <c r="N220" s="26" t="s">
        <v>42</v>
      </c>
      <c r="O220" s="60" t="s">
        <v>42</v>
      </c>
      <c r="P220" s="26" t="s">
        <v>42</v>
      </c>
      <c r="Q220" s="26" t="s">
        <v>42</v>
      </c>
      <c r="S220" s="26" t="s">
        <v>42</v>
      </c>
      <c r="T220" s="26" t="s">
        <v>42</v>
      </c>
      <c r="U220" s="26" t="s">
        <v>42</v>
      </c>
      <c r="V220" s="26" t="s">
        <v>42</v>
      </c>
      <c r="W220" s="26" t="s">
        <v>42</v>
      </c>
      <c r="X220" s="26" t="s">
        <v>42</v>
      </c>
      <c r="Y220" s="26" t="s">
        <v>42</v>
      </c>
      <c r="Z220" s="26" t="s">
        <v>42</v>
      </c>
      <c r="AA220" s="26" t="s">
        <v>42</v>
      </c>
      <c r="AB220" s="26" t="s">
        <v>42</v>
      </c>
      <c r="AC220" s="26" t="s">
        <v>42</v>
      </c>
      <c r="AD220" s="26" t="s">
        <v>42</v>
      </c>
      <c r="AE220" s="26" t="s">
        <v>42</v>
      </c>
      <c r="AF220" s="26" t="s">
        <v>42</v>
      </c>
      <c r="AH220" s="26" t="s">
        <v>42</v>
      </c>
      <c r="AI220" s="26" t="s">
        <v>42</v>
      </c>
      <c r="AJ220" s="26" t="s">
        <v>42</v>
      </c>
      <c r="AK220" s="26" t="s">
        <v>42</v>
      </c>
      <c r="AM220" s="26"/>
      <c r="AN220" s="26"/>
      <c r="AO220" s="26"/>
      <c r="AP220" s="26"/>
      <c r="AQ220" s="26"/>
      <c r="AR220" s="26"/>
    </row>
    <row r="221" spans="1:44" outlineLevel="1" x14ac:dyDescent="0.25">
      <c r="A221" s="20" t="s">
        <v>343</v>
      </c>
      <c r="B221" s="21" t="s">
        <v>342</v>
      </c>
      <c r="C221" t="s">
        <v>333</v>
      </c>
      <c r="D221" s="26" t="s">
        <v>42</v>
      </c>
      <c r="E221" s="26" t="s">
        <v>42</v>
      </c>
      <c r="F221" s="26" t="s">
        <v>42</v>
      </c>
      <c r="G221" s="60" t="s">
        <v>42</v>
      </c>
      <c r="H221" s="26" t="s">
        <v>42</v>
      </c>
      <c r="I221" s="26" t="s">
        <v>42</v>
      </c>
      <c r="J221" s="26" t="s">
        <v>42</v>
      </c>
      <c r="K221" s="26" t="s">
        <v>42</v>
      </c>
      <c r="L221" s="26" t="s">
        <v>42</v>
      </c>
      <c r="M221" s="60" t="s">
        <v>42</v>
      </c>
      <c r="N221" s="26" t="s">
        <v>42</v>
      </c>
      <c r="O221" s="60" t="s">
        <v>42</v>
      </c>
      <c r="P221" s="26" t="s">
        <v>42</v>
      </c>
      <c r="Q221" s="26" t="s">
        <v>42</v>
      </c>
      <c r="S221" s="26" t="s">
        <v>42</v>
      </c>
      <c r="T221" s="26" t="s">
        <v>42</v>
      </c>
      <c r="U221" s="26" t="s">
        <v>42</v>
      </c>
      <c r="V221" s="26" t="s">
        <v>42</v>
      </c>
      <c r="W221" s="26" t="s">
        <v>42</v>
      </c>
      <c r="X221" s="26" t="s">
        <v>42</v>
      </c>
      <c r="Y221" s="26" t="s">
        <v>42</v>
      </c>
      <c r="Z221" s="26" t="s">
        <v>42</v>
      </c>
      <c r="AA221" s="26" t="s">
        <v>42</v>
      </c>
      <c r="AB221" s="26" t="s">
        <v>42</v>
      </c>
      <c r="AC221" s="26" t="s">
        <v>42</v>
      </c>
      <c r="AD221" s="26" t="s">
        <v>42</v>
      </c>
      <c r="AE221" s="26" t="s">
        <v>42</v>
      </c>
      <c r="AF221" s="26" t="s">
        <v>42</v>
      </c>
      <c r="AH221" s="26" t="s">
        <v>42</v>
      </c>
      <c r="AI221" s="26" t="s">
        <v>42</v>
      </c>
      <c r="AJ221" s="26" t="s">
        <v>42</v>
      </c>
      <c r="AK221" s="26" t="s">
        <v>42</v>
      </c>
      <c r="AM221" s="26"/>
      <c r="AN221" s="26"/>
      <c r="AO221" s="26"/>
      <c r="AP221" s="26"/>
      <c r="AQ221" s="26"/>
      <c r="AR221" s="26"/>
    </row>
    <row r="222" spans="1:44" outlineLevel="1" x14ac:dyDescent="0.25">
      <c r="A222" s="20" t="s">
        <v>341</v>
      </c>
      <c r="B222" s="21" t="s">
        <v>340</v>
      </c>
      <c r="C222" t="s">
        <v>333</v>
      </c>
      <c r="D222" s="26" t="s">
        <v>42</v>
      </c>
      <c r="E222" s="26" t="s">
        <v>42</v>
      </c>
      <c r="F222" s="26" t="s">
        <v>42</v>
      </c>
      <c r="G222" s="60" t="s">
        <v>42</v>
      </c>
      <c r="H222" s="26" t="s">
        <v>42</v>
      </c>
      <c r="I222" s="26" t="s">
        <v>42</v>
      </c>
      <c r="J222" s="26" t="s">
        <v>42</v>
      </c>
      <c r="K222" s="26" t="s">
        <v>42</v>
      </c>
      <c r="L222" s="26" t="s">
        <v>42</v>
      </c>
      <c r="M222" s="60" t="s">
        <v>42</v>
      </c>
      <c r="N222" s="26" t="s">
        <v>42</v>
      </c>
      <c r="O222" s="60" t="s">
        <v>42</v>
      </c>
      <c r="P222" s="26" t="s">
        <v>42</v>
      </c>
      <c r="Q222" s="26" t="s">
        <v>42</v>
      </c>
      <c r="S222" s="26" t="s">
        <v>42</v>
      </c>
      <c r="T222" s="26" t="s">
        <v>42</v>
      </c>
      <c r="U222" s="26" t="s">
        <v>42</v>
      </c>
      <c r="V222" s="26" t="s">
        <v>42</v>
      </c>
      <c r="W222" s="26" t="s">
        <v>42</v>
      </c>
      <c r="X222" s="26" t="s">
        <v>42</v>
      </c>
      <c r="Y222" s="26" t="s">
        <v>42</v>
      </c>
      <c r="Z222" s="26" t="s">
        <v>42</v>
      </c>
      <c r="AA222" s="26" t="s">
        <v>42</v>
      </c>
      <c r="AB222" s="26" t="s">
        <v>42</v>
      </c>
      <c r="AC222" s="26" t="s">
        <v>42</v>
      </c>
      <c r="AD222" s="26" t="s">
        <v>42</v>
      </c>
      <c r="AE222" s="26" t="s">
        <v>42</v>
      </c>
      <c r="AF222" s="26" t="s">
        <v>42</v>
      </c>
      <c r="AH222" s="26" t="s">
        <v>42</v>
      </c>
      <c r="AI222" s="26" t="s">
        <v>42</v>
      </c>
      <c r="AJ222" s="26" t="s">
        <v>42</v>
      </c>
      <c r="AK222" s="26" t="s">
        <v>42</v>
      </c>
      <c r="AM222" s="26"/>
      <c r="AN222" s="26"/>
      <c r="AO222" s="26"/>
      <c r="AP222" s="26"/>
      <c r="AQ222" s="26"/>
      <c r="AR222" s="26"/>
    </row>
    <row r="223" spans="1:44" outlineLevel="1" x14ac:dyDescent="0.25">
      <c r="A223" s="20" t="s">
        <v>339</v>
      </c>
      <c r="B223" s="21" t="s">
        <v>338</v>
      </c>
      <c r="C223" t="s">
        <v>333</v>
      </c>
      <c r="D223" s="26" t="s">
        <v>42</v>
      </c>
      <c r="E223" s="26" t="s">
        <v>42</v>
      </c>
      <c r="F223" s="26" t="s">
        <v>42</v>
      </c>
      <c r="G223" s="60" t="s">
        <v>42</v>
      </c>
      <c r="H223" s="26" t="s">
        <v>42</v>
      </c>
      <c r="I223" s="26" t="s">
        <v>42</v>
      </c>
      <c r="J223" s="26" t="s">
        <v>42</v>
      </c>
      <c r="K223" s="26" t="s">
        <v>42</v>
      </c>
      <c r="L223" s="26" t="s">
        <v>42</v>
      </c>
      <c r="M223" s="60" t="s">
        <v>42</v>
      </c>
      <c r="N223" s="26" t="s">
        <v>42</v>
      </c>
      <c r="O223" s="60" t="s">
        <v>42</v>
      </c>
      <c r="P223" s="26" t="s">
        <v>42</v>
      </c>
      <c r="Q223" s="26" t="s">
        <v>42</v>
      </c>
      <c r="S223" s="26" t="s">
        <v>42</v>
      </c>
      <c r="T223" s="26" t="s">
        <v>42</v>
      </c>
      <c r="U223" s="26" t="s">
        <v>42</v>
      </c>
      <c r="V223" s="26" t="s">
        <v>42</v>
      </c>
      <c r="W223" s="26" t="s">
        <v>42</v>
      </c>
      <c r="X223" s="26" t="s">
        <v>42</v>
      </c>
      <c r="Y223" s="26" t="s">
        <v>42</v>
      </c>
      <c r="Z223" s="26" t="s">
        <v>42</v>
      </c>
      <c r="AA223" s="26" t="s">
        <v>42</v>
      </c>
      <c r="AB223" s="26" t="s">
        <v>42</v>
      </c>
      <c r="AC223" s="26" t="s">
        <v>42</v>
      </c>
      <c r="AD223" s="26" t="s">
        <v>42</v>
      </c>
      <c r="AE223" s="26" t="s">
        <v>42</v>
      </c>
      <c r="AF223" s="26" t="s">
        <v>42</v>
      </c>
      <c r="AH223" s="26" t="s">
        <v>42</v>
      </c>
      <c r="AI223" s="26" t="s">
        <v>42</v>
      </c>
      <c r="AJ223" s="26" t="s">
        <v>42</v>
      </c>
      <c r="AK223" s="26" t="s">
        <v>42</v>
      </c>
      <c r="AM223" s="26"/>
      <c r="AN223" s="26"/>
      <c r="AO223" s="26"/>
      <c r="AP223" s="26"/>
      <c r="AQ223" s="26"/>
      <c r="AR223" s="26"/>
    </row>
    <row r="224" spans="1:44" outlineLevel="1" x14ac:dyDescent="0.25">
      <c r="A224" s="20" t="s">
        <v>337</v>
      </c>
      <c r="B224" s="21" t="s">
        <v>336</v>
      </c>
      <c r="C224" t="s">
        <v>333</v>
      </c>
      <c r="D224" s="26" t="s">
        <v>42</v>
      </c>
      <c r="E224" s="26" t="s">
        <v>42</v>
      </c>
      <c r="F224" s="26" t="s">
        <v>42</v>
      </c>
      <c r="G224" s="60" t="s">
        <v>42</v>
      </c>
      <c r="H224" s="26" t="s">
        <v>42</v>
      </c>
      <c r="I224" s="26" t="s">
        <v>42</v>
      </c>
      <c r="J224" s="26" t="s">
        <v>42</v>
      </c>
      <c r="K224" s="26" t="s">
        <v>42</v>
      </c>
      <c r="L224" s="26" t="s">
        <v>42</v>
      </c>
      <c r="M224" s="60" t="s">
        <v>42</v>
      </c>
      <c r="N224" s="26" t="s">
        <v>42</v>
      </c>
      <c r="O224" s="60" t="s">
        <v>42</v>
      </c>
      <c r="P224" s="26" t="s">
        <v>42</v>
      </c>
      <c r="Q224" s="26" t="s">
        <v>42</v>
      </c>
      <c r="S224" s="26" t="s">
        <v>42</v>
      </c>
      <c r="T224" s="26" t="s">
        <v>42</v>
      </c>
      <c r="U224" s="26" t="s">
        <v>42</v>
      </c>
      <c r="V224" s="26" t="s">
        <v>42</v>
      </c>
      <c r="W224" s="26" t="s">
        <v>42</v>
      </c>
      <c r="X224" s="26" t="s">
        <v>42</v>
      </c>
      <c r="Y224" s="26" t="s">
        <v>42</v>
      </c>
      <c r="Z224" s="26" t="s">
        <v>42</v>
      </c>
      <c r="AA224" s="26" t="s">
        <v>42</v>
      </c>
      <c r="AB224" s="26" t="s">
        <v>42</v>
      </c>
      <c r="AC224" s="26" t="s">
        <v>42</v>
      </c>
      <c r="AD224" s="26" t="s">
        <v>42</v>
      </c>
      <c r="AE224" s="26" t="s">
        <v>42</v>
      </c>
      <c r="AF224" s="26" t="s">
        <v>42</v>
      </c>
      <c r="AH224" s="26" t="s">
        <v>42</v>
      </c>
      <c r="AI224" s="26" t="s">
        <v>42</v>
      </c>
      <c r="AJ224" s="26" t="s">
        <v>42</v>
      </c>
      <c r="AK224" s="26" t="s">
        <v>42</v>
      </c>
      <c r="AM224" s="26"/>
      <c r="AN224" s="26"/>
      <c r="AO224" s="26"/>
      <c r="AP224" s="26"/>
      <c r="AQ224" s="26"/>
      <c r="AR224" s="26"/>
    </row>
    <row r="225" spans="1:44" outlineLevel="1" x14ac:dyDescent="0.25">
      <c r="A225" s="20" t="s">
        <v>335</v>
      </c>
      <c r="B225" s="21" t="s">
        <v>334</v>
      </c>
      <c r="C225" t="s">
        <v>333</v>
      </c>
      <c r="D225" s="26" t="s">
        <v>42</v>
      </c>
      <c r="E225" s="26" t="s">
        <v>42</v>
      </c>
      <c r="F225" s="26" t="s">
        <v>42</v>
      </c>
      <c r="G225" s="60" t="s">
        <v>42</v>
      </c>
      <c r="H225" s="26" t="s">
        <v>42</v>
      </c>
      <c r="I225" s="26" t="s">
        <v>42</v>
      </c>
      <c r="J225" s="26" t="s">
        <v>42</v>
      </c>
      <c r="K225" s="26" t="s">
        <v>42</v>
      </c>
      <c r="L225" s="26" t="s">
        <v>42</v>
      </c>
      <c r="M225" s="60" t="s">
        <v>42</v>
      </c>
      <c r="N225" s="26" t="s">
        <v>42</v>
      </c>
      <c r="O225" s="60" t="s">
        <v>42</v>
      </c>
      <c r="P225" s="26" t="s">
        <v>42</v>
      </c>
      <c r="Q225" s="26" t="s">
        <v>42</v>
      </c>
      <c r="S225" s="26" t="s">
        <v>42</v>
      </c>
      <c r="T225" s="26" t="s">
        <v>42</v>
      </c>
      <c r="U225" s="26" t="s">
        <v>42</v>
      </c>
      <c r="V225" s="26" t="s">
        <v>42</v>
      </c>
      <c r="W225" s="26" t="s">
        <v>42</v>
      </c>
      <c r="X225" s="26" t="s">
        <v>42</v>
      </c>
      <c r="Y225" s="26" t="s">
        <v>42</v>
      </c>
      <c r="Z225" s="26" t="s">
        <v>42</v>
      </c>
      <c r="AA225" s="26" t="s">
        <v>42</v>
      </c>
      <c r="AB225" s="26" t="s">
        <v>42</v>
      </c>
      <c r="AC225" s="26" t="s">
        <v>42</v>
      </c>
      <c r="AD225" s="26" t="s">
        <v>42</v>
      </c>
      <c r="AE225" s="26" t="s">
        <v>42</v>
      </c>
      <c r="AF225" s="26" t="s">
        <v>42</v>
      </c>
      <c r="AH225" s="26" t="s">
        <v>42</v>
      </c>
      <c r="AI225" s="26" t="s">
        <v>42</v>
      </c>
      <c r="AJ225" s="26" t="s">
        <v>42</v>
      </c>
      <c r="AK225" s="26" t="s">
        <v>42</v>
      </c>
      <c r="AM225" s="26"/>
      <c r="AN225" s="26"/>
      <c r="AO225" s="26"/>
      <c r="AP225" s="26"/>
      <c r="AQ225" s="26"/>
      <c r="AR225" s="26"/>
    </row>
    <row r="226" spans="1:44" outlineLevel="1" x14ac:dyDescent="0.25">
      <c r="A226" s="91" t="s">
        <v>830</v>
      </c>
      <c r="B226" s="21" t="s">
        <v>332</v>
      </c>
      <c r="D226" s="26" t="s">
        <v>42</v>
      </c>
      <c r="E226" s="26" t="s">
        <v>42</v>
      </c>
      <c r="F226" s="26" t="s">
        <v>42</v>
      </c>
      <c r="G226" s="26"/>
      <c r="J226" s="26" t="s">
        <v>42</v>
      </c>
      <c r="M226" s="26"/>
      <c r="N226" s="26" t="s">
        <v>42</v>
      </c>
      <c r="S226" s="26" t="s">
        <v>42</v>
      </c>
      <c r="T226" s="26" t="s">
        <v>42</v>
      </c>
      <c r="U226" s="26" t="s">
        <v>42</v>
      </c>
      <c r="V226" s="26"/>
      <c r="W226" s="26"/>
      <c r="X226" s="26"/>
      <c r="Y226" s="26" t="s">
        <v>42</v>
      </c>
      <c r="Z226" s="26"/>
      <c r="AA226" s="26"/>
      <c r="AB226" s="26"/>
      <c r="AC226" s="26" t="s">
        <v>42</v>
      </c>
      <c r="AD226" s="26"/>
      <c r="AE226" s="26"/>
      <c r="AF226" s="26"/>
      <c r="AH226" s="26"/>
      <c r="AI226" s="26"/>
      <c r="AJ226" s="26"/>
      <c r="AM226" s="26"/>
      <c r="AN226" s="26"/>
      <c r="AO226" s="26"/>
      <c r="AP226" s="26"/>
      <c r="AQ226" s="26"/>
      <c r="AR226" s="26"/>
    </row>
    <row r="227" spans="1:44" outlineLevel="1" x14ac:dyDescent="0.25">
      <c r="A227" s="91" t="s">
        <v>831</v>
      </c>
      <c r="B227" s="21" t="s">
        <v>331</v>
      </c>
      <c r="D227" s="26" t="s">
        <v>42</v>
      </c>
      <c r="E227" s="26" t="s">
        <v>42</v>
      </c>
      <c r="F227" s="26" t="s">
        <v>42</v>
      </c>
      <c r="G227" s="26" t="s">
        <v>42</v>
      </c>
      <c r="I227" s="26" t="s">
        <v>78</v>
      </c>
      <c r="J227" s="26" t="s">
        <v>42</v>
      </c>
      <c r="K227" s="26" t="s">
        <v>42</v>
      </c>
      <c r="M227" s="26" t="s">
        <v>78</v>
      </c>
      <c r="N227" s="26" t="s">
        <v>42</v>
      </c>
      <c r="O227" s="26" t="s">
        <v>42</v>
      </c>
      <c r="Q227" s="26" t="s">
        <v>78</v>
      </c>
      <c r="S227" s="26" t="s">
        <v>42</v>
      </c>
      <c r="T227" s="26" t="s">
        <v>42</v>
      </c>
      <c r="U227" s="26" t="s">
        <v>42</v>
      </c>
      <c r="V227" s="26" t="s">
        <v>42</v>
      </c>
      <c r="W227" s="26"/>
      <c r="X227" s="26" t="s">
        <v>78</v>
      </c>
      <c r="Y227" s="26" t="s">
        <v>42</v>
      </c>
      <c r="Z227" s="26" t="s">
        <v>42</v>
      </c>
      <c r="AA227" s="26"/>
      <c r="AB227" s="26" t="s">
        <v>78</v>
      </c>
      <c r="AC227" s="26" t="s">
        <v>42</v>
      </c>
      <c r="AD227" s="26" t="s">
        <v>42</v>
      </c>
      <c r="AE227" s="26"/>
      <c r="AF227" s="26" t="s">
        <v>78</v>
      </c>
      <c r="AH227" s="26"/>
      <c r="AI227" s="26"/>
      <c r="AJ227" s="26"/>
      <c r="AM227" s="26"/>
      <c r="AN227" s="26"/>
      <c r="AO227" s="26"/>
      <c r="AP227" s="26"/>
      <c r="AQ227" s="26"/>
      <c r="AR227" s="26"/>
    </row>
    <row r="228" spans="1:44" ht="30" x14ac:dyDescent="0.25">
      <c r="A228" s="18" t="s">
        <v>178</v>
      </c>
      <c r="B228" s="19" t="s">
        <v>330</v>
      </c>
      <c r="C228" s="45" t="s">
        <v>329</v>
      </c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H228" s="26"/>
      <c r="AI228" s="26"/>
      <c r="AJ228" s="26"/>
      <c r="AM228" s="26"/>
      <c r="AN228" s="26"/>
      <c r="AO228" s="26"/>
      <c r="AP228" s="26"/>
      <c r="AQ228" s="26"/>
      <c r="AR228" s="26"/>
    </row>
    <row r="229" spans="1:44" x14ac:dyDescent="0.25">
      <c r="A229" s="20" t="s">
        <v>180</v>
      </c>
      <c r="B229" s="21" t="s">
        <v>181</v>
      </c>
      <c r="D229" s="26" t="s">
        <v>42</v>
      </c>
      <c r="E229" s="26" t="s">
        <v>42</v>
      </c>
      <c r="F229" s="26" t="s">
        <v>42</v>
      </c>
      <c r="G229" s="60" t="s">
        <v>42</v>
      </c>
      <c r="H229" s="26" t="s">
        <v>42</v>
      </c>
      <c r="I229" s="26" t="s">
        <v>42</v>
      </c>
      <c r="N229" s="26" t="s">
        <v>42</v>
      </c>
      <c r="O229" s="60" t="s">
        <v>42</v>
      </c>
      <c r="P229" s="26" t="s">
        <v>42</v>
      </c>
      <c r="Q229" s="26" t="s">
        <v>42</v>
      </c>
      <c r="S229" s="26" t="s">
        <v>42</v>
      </c>
      <c r="T229" s="26" t="s">
        <v>42</v>
      </c>
      <c r="U229" s="26" t="s">
        <v>42</v>
      </c>
      <c r="V229" s="26" t="s">
        <v>42</v>
      </c>
      <c r="W229" s="26" t="s">
        <v>42</v>
      </c>
      <c r="X229" s="26" t="s">
        <v>42</v>
      </c>
      <c r="Y229" s="26"/>
      <c r="Z229" s="26"/>
      <c r="AA229" s="26"/>
      <c r="AB229" s="26"/>
      <c r="AC229" s="26" t="s">
        <v>42</v>
      </c>
      <c r="AD229" s="26" t="s">
        <v>42</v>
      </c>
      <c r="AE229" s="26" t="s">
        <v>42</v>
      </c>
      <c r="AF229" s="26" t="s">
        <v>42</v>
      </c>
      <c r="AH229" s="26" t="s">
        <v>42</v>
      </c>
      <c r="AI229" s="26" t="s">
        <v>42</v>
      </c>
      <c r="AJ229" s="26"/>
      <c r="AK229" s="26" t="s">
        <v>42</v>
      </c>
      <c r="AM229" s="26"/>
      <c r="AN229" s="26"/>
      <c r="AO229" s="26"/>
      <c r="AP229" s="26"/>
      <c r="AQ229" s="26"/>
      <c r="AR229" s="26"/>
    </row>
    <row r="230" spans="1:44" hidden="1" outlineLevel="1" x14ac:dyDescent="0.25">
      <c r="A230" s="20" t="s">
        <v>182</v>
      </c>
      <c r="B230" s="21" t="s">
        <v>183</v>
      </c>
      <c r="D230" s="26" t="s">
        <v>42</v>
      </c>
      <c r="E230" s="26" t="s">
        <v>42</v>
      </c>
      <c r="F230" s="26" t="s">
        <v>42</v>
      </c>
      <c r="G230" s="60" t="s">
        <v>42</v>
      </c>
      <c r="H230" s="26" t="s">
        <v>42</v>
      </c>
      <c r="I230" s="26" t="s">
        <v>42</v>
      </c>
      <c r="N230" s="26" t="s">
        <v>42</v>
      </c>
      <c r="O230" s="60" t="s">
        <v>42</v>
      </c>
      <c r="P230" s="26" t="s">
        <v>42</v>
      </c>
      <c r="Q230" s="26" t="s">
        <v>42</v>
      </c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H230" s="26"/>
      <c r="AI230" s="26"/>
      <c r="AJ230" s="26"/>
      <c r="AK230" s="26"/>
      <c r="AM230" s="26"/>
      <c r="AN230" s="26"/>
      <c r="AO230" s="26"/>
      <c r="AP230" s="26"/>
      <c r="AQ230" s="26"/>
      <c r="AR230" s="26"/>
    </row>
    <row r="231" spans="1:44" hidden="1" outlineLevel="1" x14ac:dyDescent="0.25">
      <c r="A231" s="20" t="s">
        <v>184</v>
      </c>
      <c r="B231" s="21" t="s">
        <v>328</v>
      </c>
      <c r="O231" s="60"/>
      <c r="Q231" s="26"/>
      <c r="S231" s="26" t="s">
        <v>42</v>
      </c>
      <c r="T231" s="26" t="s">
        <v>42</v>
      </c>
      <c r="U231" s="26" t="s">
        <v>42</v>
      </c>
      <c r="V231" s="26" t="s">
        <v>42</v>
      </c>
      <c r="W231" s="26" t="s">
        <v>42</v>
      </c>
      <c r="X231" s="26" t="s">
        <v>42</v>
      </c>
      <c r="Y231" s="26"/>
      <c r="Z231" s="26"/>
      <c r="AA231" s="26"/>
      <c r="AB231" s="26"/>
      <c r="AC231" s="26" t="s">
        <v>42</v>
      </c>
      <c r="AD231" s="26" t="s">
        <v>42</v>
      </c>
      <c r="AE231" s="26" t="s">
        <v>42</v>
      </c>
      <c r="AF231" s="26" t="s">
        <v>42</v>
      </c>
      <c r="AH231" s="26" t="s">
        <v>42</v>
      </c>
      <c r="AI231" s="26" t="s">
        <v>42</v>
      </c>
      <c r="AJ231" s="26"/>
      <c r="AK231" s="26" t="s">
        <v>42</v>
      </c>
      <c r="AM231" s="26"/>
      <c r="AN231" s="26"/>
      <c r="AO231" s="26"/>
      <c r="AP231" s="26"/>
      <c r="AQ231" s="26"/>
      <c r="AR231" s="26"/>
    </row>
    <row r="232" spans="1:44" hidden="1" outlineLevel="1" x14ac:dyDescent="0.25">
      <c r="A232" s="20" t="s">
        <v>186</v>
      </c>
      <c r="B232" s="21" t="s">
        <v>187</v>
      </c>
      <c r="D232" s="26" t="s">
        <v>42</v>
      </c>
      <c r="E232" s="26" t="s">
        <v>42</v>
      </c>
      <c r="F232" s="26" t="s">
        <v>42</v>
      </c>
      <c r="G232" s="60" t="s">
        <v>42</v>
      </c>
      <c r="H232" s="26" t="s">
        <v>42</v>
      </c>
      <c r="I232" s="26" t="s">
        <v>42</v>
      </c>
      <c r="N232" s="26" t="s">
        <v>42</v>
      </c>
      <c r="O232" s="60" t="s">
        <v>42</v>
      </c>
      <c r="P232" s="26" t="s">
        <v>42</v>
      </c>
      <c r="Q232" s="26" t="s">
        <v>42</v>
      </c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H232" s="26"/>
      <c r="AI232" s="26"/>
      <c r="AJ232" s="26"/>
      <c r="AM232" s="26"/>
      <c r="AN232" s="26"/>
      <c r="AO232" s="26"/>
      <c r="AP232" s="26"/>
      <c r="AQ232" s="26"/>
      <c r="AR232" s="26"/>
    </row>
    <row r="233" spans="1:44" hidden="1" outlineLevel="1" x14ac:dyDescent="0.25">
      <c r="A233" s="20" t="s">
        <v>188</v>
      </c>
      <c r="B233" s="21" t="s">
        <v>189</v>
      </c>
      <c r="C233" s="21" t="s">
        <v>190</v>
      </c>
      <c r="D233" s="26" t="s">
        <v>78</v>
      </c>
      <c r="E233" s="26" t="s">
        <v>78</v>
      </c>
      <c r="F233" s="26" t="s">
        <v>78</v>
      </c>
      <c r="G233" s="26" t="s">
        <v>78</v>
      </c>
      <c r="H233" s="26" t="s">
        <v>78</v>
      </c>
      <c r="I233" s="26" t="s">
        <v>78</v>
      </c>
      <c r="S233" s="26" t="s">
        <v>78</v>
      </c>
      <c r="T233" s="26" t="s">
        <v>78</v>
      </c>
      <c r="U233" s="26" t="s">
        <v>78</v>
      </c>
      <c r="V233" s="26" t="s">
        <v>78</v>
      </c>
      <c r="W233" s="26" t="s">
        <v>78</v>
      </c>
      <c r="X233" s="26" t="s">
        <v>78</v>
      </c>
      <c r="Y233" s="26"/>
      <c r="Z233" s="26"/>
      <c r="AA233" s="26"/>
      <c r="AB233" s="26"/>
      <c r="AC233" s="26"/>
      <c r="AD233" s="26"/>
      <c r="AE233" s="26"/>
      <c r="AH233" s="26" t="s">
        <v>78</v>
      </c>
      <c r="AI233" s="26" t="s">
        <v>78</v>
      </c>
      <c r="AJ233" s="26"/>
      <c r="AM233" s="26"/>
      <c r="AN233" s="26"/>
      <c r="AO233" s="26"/>
      <c r="AP233" s="26"/>
      <c r="AQ233" s="26"/>
      <c r="AR233" s="26"/>
    </row>
    <row r="234" spans="1:44" hidden="1" outlineLevel="1" x14ac:dyDescent="0.25">
      <c r="A234" s="20" t="s">
        <v>191</v>
      </c>
      <c r="B234" s="21" t="s">
        <v>192</v>
      </c>
      <c r="C234" s="21" t="s">
        <v>190</v>
      </c>
      <c r="D234" s="26" t="s">
        <v>78</v>
      </c>
      <c r="E234" s="26" t="s">
        <v>78</v>
      </c>
      <c r="F234" s="26" t="s">
        <v>78</v>
      </c>
      <c r="G234" s="26" t="s">
        <v>78</v>
      </c>
      <c r="H234" s="26" t="s">
        <v>78</v>
      </c>
      <c r="I234" s="26" t="s">
        <v>78</v>
      </c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H234" s="26"/>
      <c r="AI234" s="26"/>
      <c r="AJ234" s="26"/>
      <c r="AM234" s="26"/>
      <c r="AN234" s="26"/>
      <c r="AO234" s="26"/>
      <c r="AP234" s="26"/>
      <c r="AQ234" s="26"/>
      <c r="AR234" s="26"/>
    </row>
    <row r="235" spans="1:44" hidden="1" outlineLevel="1" x14ac:dyDescent="0.25">
      <c r="A235" s="20" t="s">
        <v>193</v>
      </c>
      <c r="B235" s="21" t="s">
        <v>194</v>
      </c>
      <c r="C235" s="21" t="s">
        <v>190</v>
      </c>
      <c r="S235" s="26" t="s">
        <v>78</v>
      </c>
      <c r="T235" s="26" t="s">
        <v>78</v>
      </c>
      <c r="U235" s="26" t="s">
        <v>78</v>
      </c>
      <c r="V235" s="26" t="s">
        <v>78</v>
      </c>
      <c r="W235" s="26" t="s">
        <v>78</v>
      </c>
      <c r="X235" s="26" t="s">
        <v>78</v>
      </c>
      <c r="Y235" s="26"/>
      <c r="Z235" s="26"/>
      <c r="AA235" s="26"/>
      <c r="AB235" s="26"/>
      <c r="AC235" s="26"/>
      <c r="AD235" s="26"/>
      <c r="AE235" s="26"/>
      <c r="AH235" s="26" t="s">
        <v>78</v>
      </c>
      <c r="AI235" s="26" t="s">
        <v>78</v>
      </c>
      <c r="AJ235" s="26"/>
      <c r="AM235" s="26"/>
      <c r="AN235" s="26"/>
      <c r="AO235" s="26"/>
      <c r="AP235" s="26"/>
      <c r="AQ235" s="26"/>
      <c r="AR235" s="26"/>
    </row>
    <row r="236" spans="1:44" hidden="1" outlineLevel="1" x14ac:dyDescent="0.25">
      <c r="A236" s="20" t="s">
        <v>195</v>
      </c>
      <c r="B236" s="21" t="s">
        <v>196</v>
      </c>
      <c r="C236" s="21" t="s">
        <v>190</v>
      </c>
      <c r="D236" s="26" t="s">
        <v>78</v>
      </c>
      <c r="E236" s="26" t="s">
        <v>78</v>
      </c>
      <c r="F236" s="26" t="s">
        <v>78</v>
      </c>
      <c r="G236" s="26" t="s">
        <v>78</v>
      </c>
      <c r="H236" s="26" t="s">
        <v>78</v>
      </c>
      <c r="I236" s="26" t="s">
        <v>78</v>
      </c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H236" s="26"/>
      <c r="AI236" s="26"/>
      <c r="AJ236" s="26"/>
      <c r="AM236" s="26"/>
      <c r="AN236" s="26"/>
      <c r="AO236" s="26"/>
      <c r="AP236" s="26"/>
      <c r="AQ236" s="26"/>
      <c r="AR236" s="26"/>
    </row>
    <row r="237" spans="1:44" ht="16.5" hidden="1" outlineLevel="1" x14ac:dyDescent="0.25">
      <c r="A237" s="31" t="s">
        <v>894</v>
      </c>
      <c r="B237" s="21" t="s">
        <v>895</v>
      </c>
      <c r="C237" s="21"/>
      <c r="D237" s="26" t="s">
        <v>42</v>
      </c>
      <c r="E237" s="26" t="s">
        <v>42</v>
      </c>
      <c r="F237" s="26" t="s">
        <v>42</v>
      </c>
      <c r="G237" s="60" t="s">
        <v>42</v>
      </c>
      <c r="H237" s="26" t="s">
        <v>42</v>
      </c>
      <c r="I237" s="26" t="s">
        <v>42</v>
      </c>
      <c r="N237" s="26" t="s">
        <v>42</v>
      </c>
      <c r="O237" s="26" t="s">
        <v>42</v>
      </c>
      <c r="P237" s="26" t="s">
        <v>42</v>
      </c>
      <c r="Q237" s="26" t="s">
        <v>42</v>
      </c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H237" s="26"/>
      <c r="AI237" s="26"/>
      <c r="AJ237" s="26"/>
      <c r="AM237" s="26"/>
      <c r="AN237" s="26"/>
      <c r="AO237" s="26"/>
      <c r="AP237" s="26"/>
      <c r="AQ237" s="26"/>
      <c r="AR237" s="26"/>
    </row>
    <row r="238" spans="1:44" ht="16.5" hidden="1" outlineLevel="1" x14ac:dyDescent="0.25">
      <c r="A238" s="31" t="s">
        <v>894</v>
      </c>
      <c r="B238" s="21" t="s">
        <v>896</v>
      </c>
      <c r="C238" s="21"/>
      <c r="D238" s="26" t="s">
        <v>42</v>
      </c>
      <c r="E238" s="26" t="s">
        <v>42</v>
      </c>
      <c r="F238" s="26" t="s">
        <v>42</v>
      </c>
      <c r="G238" s="60" t="s">
        <v>42</v>
      </c>
      <c r="H238" s="26" t="s">
        <v>42</v>
      </c>
      <c r="I238" s="26" t="s">
        <v>42</v>
      </c>
      <c r="N238" s="26" t="s">
        <v>42</v>
      </c>
      <c r="O238" s="26" t="s">
        <v>42</v>
      </c>
      <c r="P238" s="26" t="s">
        <v>42</v>
      </c>
      <c r="Q238" s="26" t="s">
        <v>42</v>
      </c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H238" s="26"/>
      <c r="AI238" s="26"/>
      <c r="AJ238" s="26"/>
      <c r="AM238" s="26"/>
      <c r="AN238" s="26"/>
      <c r="AO238" s="26"/>
      <c r="AP238" s="26"/>
      <c r="AQ238" s="26"/>
      <c r="AR238" s="26"/>
    </row>
    <row r="239" spans="1:44" ht="30" hidden="1" outlineLevel="1" x14ac:dyDescent="0.25">
      <c r="A239" s="31" t="s">
        <v>894</v>
      </c>
      <c r="B239" s="21" t="s">
        <v>897</v>
      </c>
      <c r="C239" s="21"/>
      <c r="D239" s="26" t="s">
        <v>42</v>
      </c>
      <c r="E239" s="26" t="s">
        <v>42</v>
      </c>
      <c r="F239" s="26" t="s">
        <v>42</v>
      </c>
      <c r="G239" s="60" t="s">
        <v>42</v>
      </c>
      <c r="H239" s="26" t="s">
        <v>42</v>
      </c>
      <c r="I239" s="26" t="s">
        <v>42</v>
      </c>
      <c r="N239" s="26" t="s">
        <v>42</v>
      </c>
      <c r="O239" s="26" t="s">
        <v>42</v>
      </c>
      <c r="P239" s="26" t="s">
        <v>42</v>
      </c>
      <c r="Q239" s="26" t="s">
        <v>42</v>
      </c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H239" s="26"/>
      <c r="AI239" s="26"/>
      <c r="AJ239" s="26"/>
      <c r="AM239" s="26"/>
      <c r="AN239" s="26"/>
      <c r="AO239" s="26"/>
      <c r="AP239" s="26"/>
      <c r="AQ239" s="26"/>
      <c r="AR239" s="26"/>
    </row>
    <row r="240" spans="1:44" ht="30" hidden="1" outlineLevel="1" x14ac:dyDescent="0.25">
      <c r="A240" s="31" t="s">
        <v>894</v>
      </c>
      <c r="B240" s="21" t="s">
        <v>898</v>
      </c>
      <c r="C240" s="21"/>
      <c r="D240" s="26" t="s">
        <v>42</v>
      </c>
      <c r="E240" s="26" t="s">
        <v>42</v>
      </c>
      <c r="F240" s="26" t="s">
        <v>42</v>
      </c>
      <c r="G240" s="60" t="s">
        <v>42</v>
      </c>
      <c r="H240" s="26" t="s">
        <v>42</v>
      </c>
      <c r="I240" s="26" t="s">
        <v>42</v>
      </c>
      <c r="N240" s="26" t="s">
        <v>42</v>
      </c>
      <c r="O240" s="26" t="s">
        <v>42</v>
      </c>
      <c r="P240" s="26" t="s">
        <v>42</v>
      </c>
      <c r="Q240" s="26" t="s">
        <v>42</v>
      </c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H240" s="26"/>
      <c r="AI240" s="26"/>
      <c r="AJ240" s="26"/>
      <c r="AM240" s="26"/>
      <c r="AN240" s="26"/>
      <c r="AO240" s="26"/>
      <c r="AP240" s="26"/>
      <c r="AQ240" s="26"/>
      <c r="AR240" s="26"/>
    </row>
    <row r="241" spans="1:44" ht="30.75" customHeight="1" collapsed="1" x14ac:dyDescent="0.25">
      <c r="A241" s="20" t="s">
        <v>197</v>
      </c>
      <c r="B241" s="21" t="s">
        <v>327</v>
      </c>
      <c r="C241" s="45" t="s">
        <v>326</v>
      </c>
      <c r="E241" s="26" t="s">
        <v>42</v>
      </c>
      <c r="F241" s="26" t="s">
        <v>42</v>
      </c>
      <c r="G241" s="60" t="s">
        <v>42</v>
      </c>
      <c r="H241" s="26" t="s">
        <v>42</v>
      </c>
      <c r="I241" s="26" t="s">
        <v>42</v>
      </c>
      <c r="J241" s="26" t="s">
        <v>42</v>
      </c>
      <c r="K241" s="26" t="s">
        <v>42</v>
      </c>
      <c r="L241" s="26" t="s">
        <v>42</v>
      </c>
      <c r="M241" s="60" t="s">
        <v>42</v>
      </c>
      <c r="N241" s="26" t="s">
        <v>42</v>
      </c>
      <c r="O241" s="60" t="s">
        <v>42</v>
      </c>
      <c r="P241" s="26" t="s">
        <v>42</v>
      </c>
      <c r="Q241" s="26" t="s">
        <v>42</v>
      </c>
      <c r="S241" s="26"/>
      <c r="T241" s="26" t="s">
        <v>42</v>
      </c>
      <c r="U241" s="26" t="s">
        <v>42</v>
      </c>
      <c r="V241" s="26" t="s">
        <v>42</v>
      </c>
      <c r="W241" s="26" t="s">
        <v>42</v>
      </c>
      <c r="X241" s="26" t="s">
        <v>42</v>
      </c>
      <c r="Y241" s="26" t="s">
        <v>42</v>
      </c>
      <c r="Z241" s="26" t="s">
        <v>42</v>
      </c>
      <c r="AA241" s="26" t="s">
        <v>42</v>
      </c>
      <c r="AB241" s="26" t="s">
        <v>42</v>
      </c>
      <c r="AC241" s="26" t="s">
        <v>42</v>
      </c>
      <c r="AD241" s="26" t="s">
        <v>42</v>
      </c>
      <c r="AE241" s="26" t="s">
        <v>42</v>
      </c>
      <c r="AF241" s="26" t="s">
        <v>42</v>
      </c>
      <c r="AH241" s="26" t="s">
        <v>42</v>
      </c>
      <c r="AI241" s="26" t="s">
        <v>42</v>
      </c>
      <c r="AJ241" s="68" t="s">
        <v>42</v>
      </c>
      <c r="AK241" s="26" t="s">
        <v>42</v>
      </c>
      <c r="AM241" s="26"/>
      <c r="AN241" s="26"/>
      <c r="AO241" s="26"/>
      <c r="AP241" s="26"/>
      <c r="AQ241" s="26"/>
      <c r="AR241" s="26"/>
    </row>
    <row r="242" spans="1:44" outlineLevel="1" x14ac:dyDescent="0.25">
      <c r="A242" s="20" t="s">
        <v>199</v>
      </c>
      <c r="B242" s="21" t="s">
        <v>200</v>
      </c>
      <c r="E242" s="26" t="s">
        <v>42</v>
      </c>
      <c r="F242" s="26" t="s">
        <v>42</v>
      </c>
      <c r="G242" s="60" t="s">
        <v>42</v>
      </c>
      <c r="H242" s="26" t="s">
        <v>42</v>
      </c>
      <c r="I242" s="26" t="s">
        <v>42</v>
      </c>
      <c r="J242" s="26" t="s">
        <v>42</v>
      </c>
      <c r="K242" s="26" t="s">
        <v>42</v>
      </c>
      <c r="L242" s="26" t="s">
        <v>42</v>
      </c>
      <c r="M242" s="60" t="s">
        <v>42</v>
      </c>
      <c r="N242" s="26" t="s">
        <v>42</v>
      </c>
      <c r="O242" s="60" t="s">
        <v>42</v>
      </c>
      <c r="P242" s="26" t="s">
        <v>42</v>
      </c>
      <c r="Q242" s="26" t="s">
        <v>42</v>
      </c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H242" s="26"/>
      <c r="AI242" s="26"/>
      <c r="AJ242" s="26"/>
      <c r="AM242" s="26"/>
      <c r="AN242" s="26"/>
      <c r="AO242" s="26"/>
      <c r="AP242" s="26"/>
      <c r="AQ242" s="26"/>
      <c r="AR242" s="26"/>
    </row>
    <row r="243" spans="1:44" ht="30" outlineLevel="1" x14ac:dyDescent="0.25">
      <c r="A243" s="20" t="s">
        <v>201</v>
      </c>
      <c r="B243" s="21" t="s">
        <v>202</v>
      </c>
      <c r="O243" s="60"/>
      <c r="Q243" s="26"/>
      <c r="S243" s="26"/>
      <c r="T243" s="26" t="s">
        <v>42</v>
      </c>
      <c r="U243" s="26" t="s">
        <v>42</v>
      </c>
      <c r="V243" s="26" t="s">
        <v>42</v>
      </c>
      <c r="W243" s="26" t="s">
        <v>42</v>
      </c>
      <c r="X243" s="26" t="s">
        <v>42</v>
      </c>
      <c r="Y243" s="26" t="s">
        <v>42</v>
      </c>
      <c r="Z243" s="26" t="s">
        <v>42</v>
      </c>
      <c r="AA243" s="26" t="s">
        <v>42</v>
      </c>
      <c r="AB243" s="26" t="s">
        <v>42</v>
      </c>
      <c r="AC243" s="26" t="s">
        <v>42</v>
      </c>
      <c r="AD243" s="26" t="s">
        <v>42</v>
      </c>
      <c r="AE243" s="26" t="s">
        <v>42</v>
      </c>
      <c r="AF243" s="26" t="s">
        <v>42</v>
      </c>
      <c r="AH243" s="26" t="s">
        <v>42</v>
      </c>
      <c r="AI243" s="26" t="s">
        <v>42</v>
      </c>
      <c r="AJ243" s="68" t="s">
        <v>42</v>
      </c>
      <c r="AK243" s="26" t="s">
        <v>42</v>
      </c>
      <c r="AM243" s="26"/>
      <c r="AN243" s="26"/>
      <c r="AO243" s="26"/>
      <c r="AP243" s="26"/>
      <c r="AQ243" s="26"/>
      <c r="AR243" s="26"/>
    </row>
    <row r="244" spans="1:44" ht="30" outlineLevel="1" x14ac:dyDescent="0.25">
      <c r="A244" s="20" t="s">
        <v>203</v>
      </c>
      <c r="B244" s="21" t="s">
        <v>204</v>
      </c>
      <c r="E244" s="26" t="s">
        <v>42</v>
      </c>
      <c r="F244" s="26" t="s">
        <v>42</v>
      </c>
      <c r="G244" s="60" t="s">
        <v>42</v>
      </c>
      <c r="H244" s="26" t="s">
        <v>42</v>
      </c>
      <c r="I244" s="26" t="s">
        <v>42</v>
      </c>
      <c r="J244" s="26" t="s">
        <v>42</v>
      </c>
      <c r="K244" s="26" t="s">
        <v>42</v>
      </c>
      <c r="L244" s="26" t="s">
        <v>42</v>
      </c>
      <c r="M244" s="60" t="s">
        <v>42</v>
      </c>
      <c r="N244" s="26" t="s">
        <v>42</v>
      </c>
      <c r="O244" s="60" t="s">
        <v>42</v>
      </c>
      <c r="P244" s="26" t="s">
        <v>42</v>
      </c>
      <c r="Q244" s="26" t="s">
        <v>42</v>
      </c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H244" s="26"/>
      <c r="AI244" s="26"/>
      <c r="AJ244" s="26"/>
      <c r="AM244" s="26"/>
      <c r="AN244" s="26"/>
      <c r="AO244" s="26"/>
      <c r="AP244" s="26"/>
      <c r="AQ244" s="26"/>
      <c r="AR244" s="26"/>
    </row>
    <row r="245" spans="1:44" x14ac:dyDescent="0.25">
      <c r="A245" s="20" t="s">
        <v>325</v>
      </c>
      <c r="B245" s="21" t="s">
        <v>208</v>
      </c>
      <c r="D245" s="26" t="s">
        <v>42</v>
      </c>
      <c r="E245" s="26" t="s">
        <v>42</v>
      </c>
      <c r="F245" s="26" t="s">
        <v>42</v>
      </c>
      <c r="G245" s="60" t="s">
        <v>42</v>
      </c>
      <c r="H245" s="26" t="s">
        <v>42</v>
      </c>
      <c r="I245" s="26" t="s">
        <v>42</v>
      </c>
      <c r="S245" s="26" t="s">
        <v>42</v>
      </c>
      <c r="T245" s="26" t="s">
        <v>42</v>
      </c>
      <c r="U245" s="26" t="s">
        <v>42</v>
      </c>
      <c r="V245" s="26" t="s">
        <v>42</v>
      </c>
      <c r="W245" s="26" t="s">
        <v>42</v>
      </c>
      <c r="X245" s="26" t="s">
        <v>42</v>
      </c>
      <c r="Y245" s="26"/>
      <c r="Z245" s="26"/>
      <c r="AA245" s="26"/>
      <c r="AB245" s="26"/>
      <c r="AC245" s="26"/>
      <c r="AD245" s="26"/>
      <c r="AE245" s="26"/>
      <c r="AH245" s="26" t="s">
        <v>42</v>
      </c>
      <c r="AI245" s="26" t="s">
        <v>42</v>
      </c>
      <c r="AJ245" s="26"/>
      <c r="AM245" s="26"/>
      <c r="AN245" s="26"/>
      <c r="AO245" s="26"/>
      <c r="AP245" s="26"/>
      <c r="AQ245" s="26"/>
      <c r="AR245" s="26"/>
    </row>
    <row r="246" spans="1:44" hidden="1" outlineLevel="1" x14ac:dyDescent="0.25">
      <c r="A246" s="20" t="s">
        <v>324</v>
      </c>
      <c r="B246" s="21" t="s">
        <v>210</v>
      </c>
      <c r="D246" s="26" t="s">
        <v>42</v>
      </c>
      <c r="E246" s="26" t="s">
        <v>42</v>
      </c>
      <c r="F246" s="26" t="s">
        <v>42</v>
      </c>
      <c r="G246" s="60" t="s">
        <v>42</v>
      </c>
      <c r="H246" s="26" t="s">
        <v>42</v>
      </c>
      <c r="I246" s="26" t="s">
        <v>42</v>
      </c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H246" s="26"/>
      <c r="AI246" s="26"/>
      <c r="AJ246" s="26"/>
      <c r="AM246" s="26"/>
      <c r="AN246" s="26"/>
      <c r="AO246" s="26"/>
      <c r="AP246" s="26"/>
      <c r="AQ246" s="26"/>
      <c r="AR246" s="26"/>
    </row>
    <row r="247" spans="1:44" hidden="1" outlineLevel="1" x14ac:dyDescent="0.25">
      <c r="A247" s="20" t="s">
        <v>323</v>
      </c>
      <c r="B247" s="21" t="s">
        <v>212</v>
      </c>
      <c r="S247" s="26" t="s">
        <v>42</v>
      </c>
      <c r="T247" s="26" t="s">
        <v>42</v>
      </c>
      <c r="U247" s="26" t="s">
        <v>42</v>
      </c>
      <c r="V247" s="26" t="s">
        <v>42</v>
      </c>
      <c r="W247" s="26" t="s">
        <v>42</v>
      </c>
      <c r="X247" s="26" t="s">
        <v>42</v>
      </c>
      <c r="Y247" s="26"/>
      <c r="Z247" s="26"/>
      <c r="AA247" s="26"/>
      <c r="AB247" s="26"/>
      <c r="AC247" s="26"/>
      <c r="AD247" s="26"/>
      <c r="AE247" s="26"/>
      <c r="AH247" s="26" t="s">
        <v>42</v>
      </c>
      <c r="AI247" s="26" t="s">
        <v>42</v>
      </c>
      <c r="AJ247" s="26"/>
      <c r="AM247" s="26"/>
      <c r="AN247" s="26"/>
      <c r="AO247" s="26"/>
      <c r="AP247" s="26"/>
      <c r="AQ247" s="26"/>
      <c r="AR247" s="26"/>
    </row>
    <row r="248" spans="1:44" hidden="1" outlineLevel="1" x14ac:dyDescent="0.25">
      <c r="A248" s="20" t="s">
        <v>322</v>
      </c>
      <c r="B248" s="21" t="s">
        <v>214</v>
      </c>
      <c r="D248" s="26" t="s">
        <v>42</v>
      </c>
      <c r="E248" s="26" t="s">
        <v>42</v>
      </c>
      <c r="F248" s="26" t="s">
        <v>42</v>
      </c>
      <c r="G248" s="60" t="s">
        <v>42</v>
      </c>
      <c r="H248" s="26" t="s">
        <v>42</v>
      </c>
      <c r="I248" s="26" t="s">
        <v>42</v>
      </c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H248" s="26"/>
      <c r="AI248" s="26"/>
      <c r="AJ248" s="26"/>
      <c r="AM248" s="26"/>
      <c r="AN248" s="26"/>
      <c r="AO248" s="26"/>
      <c r="AP248" s="26"/>
      <c r="AQ248" s="26"/>
      <c r="AR248" s="26"/>
    </row>
    <row r="249" spans="1:44" collapsed="1" x14ac:dyDescent="0.25">
      <c r="A249" t="s">
        <v>832</v>
      </c>
      <c r="B249" s="27" t="s">
        <v>215</v>
      </c>
      <c r="S249" s="26"/>
      <c r="T249" s="26"/>
      <c r="U249" s="26"/>
      <c r="V249" s="26"/>
      <c r="W249" s="26"/>
      <c r="X249" s="26"/>
      <c r="Y249" s="64"/>
      <c r="Z249" s="64"/>
      <c r="AA249" s="64"/>
      <c r="AB249" s="64"/>
      <c r="AC249" s="64"/>
      <c r="AD249" s="64"/>
      <c r="AE249" s="64"/>
      <c r="AF249" s="64"/>
      <c r="AH249" s="26" t="s">
        <v>78</v>
      </c>
      <c r="AI249" s="26" t="s">
        <v>78</v>
      </c>
      <c r="AJ249" s="64" t="s">
        <v>78</v>
      </c>
      <c r="AK249" s="17" t="s">
        <v>78</v>
      </c>
      <c r="AM249" s="26"/>
      <c r="AN249" s="26"/>
      <c r="AO249" s="26"/>
      <c r="AP249" s="26"/>
      <c r="AQ249" s="26"/>
      <c r="AR249" s="26"/>
    </row>
    <row r="250" spans="1:44" x14ac:dyDescent="0.25">
      <c r="A250" t="s">
        <v>833</v>
      </c>
      <c r="B250" s="27" t="s">
        <v>216</v>
      </c>
      <c r="S250" s="26"/>
      <c r="T250" s="26"/>
      <c r="U250" s="26"/>
      <c r="V250" s="26"/>
      <c r="W250" s="26"/>
      <c r="X250" s="26"/>
      <c r="Y250" s="64"/>
      <c r="Z250" s="64"/>
      <c r="AA250" s="64"/>
      <c r="AB250" s="64"/>
      <c r="AC250" s="64"/>
      <c r="AD250" s="64"/>
      <c r="AE250" s="64"/>
      <c r="AF250" s="64"/>
      <c r="AH250" s="26" t="s">
        <v>78</v>
      </c>
      <c r="AI250" s="26" t="s">
        <v>78</v>
      </c>
      <c r="AJ250" s="64" t="s">
        <v>78</v>
      </c>
      <c r="AK250" s="17" t="s">
        <v>78</v>
      </c>
      <c r="AM250" s="26"/>
      <c r="AN250" s="26"/>
      <c r="AO250" s="26"/>
      <c r="AP250" s="26"/>
      <c r="AQ250" s="26"/>
      <c r="AR250" s="26"/>
    </row>
    <row r="251" spans="1:44" x14ac:dyDescent="0.25">
      <c r="A251" t="s">
        <v>834</v>
      </c>
      <c r="B251" s="21" t="s">
        <v>217</v>
      </c>
      <c r="C251" t="s">
        <v>218</v>
      </c>
      <c r="E251" s="64" t="s">
        <v>78</v>
      </c>
      <c r="F251" s="64" t="s">
        <v>78</v>
      </c>
      <c r="G251" s="65" t="s">
        <v>78</v>
      </c>
      <c r="H251" s="64" t="s">
        <v>78</v>
      </c>
      <c r="I251" s="64" t="s">
        <v>78</v>
      </c>
      <c r="S251" s="64"/>
      <c r="T251" s="64" t="s">
        <v>78</v>
      </c>
      <c r="U251" s="64" t="s">
        <v>78</v>
      </c>
      <c r="V251" s="64" t="s">
        <v>78</v>
      </c>
      <c r="W251" s="64" t="s">
        <v>78</v>
      </c>
      <c r="X251" s="64" t="s">
        <v>78</v>
      </c>
      <c r="AH251" s="26"/>
      <c r="AI251" s="64" t="s">
        <v>78</v>
      </c>
      <c r="AM251" s="26"/>
      <c r="AN251" s="26"/>
      <c r="AO251" s="26"/>
      <c r="AP251" s="26"/>
      <c r="AQ251" s="26"/>
      <c r="AR251" s="26"/>
    </row>
    <row r="252" spans="1:44" ht="30" x14ac:dyDescent="0.25">
      <c r="A252" s="67" t="s">
        <v>205</v>
      </c>
      <c r="B252" s="66" t="s">
        <v>835</v>
      </c>
      <c r="C252" t="s">
        <v>874</v>
      </c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H252" s="26"/>
      <c r="AI252" s="26"/>
      <c r="AJ252" s="26"/>
      <c r="AM252" s="26"/>
      <c r="AN252" s="26"/>
      <c r="AO252" s="26"/>
      <c r="AP252" s="26"/>
      <c r="AQ252" s="26"/>
      <c r="AR252" s="26"/>
    </row>
    <row r="253" spans="1:44" x14ac:dyDescent="0.25">
      <c r="A253" s="20" t="s">
        <v>207</v>
      </c>
      <c r="B253" s="21" t="s">
        <v>221</v>
      </c>
      <c r="C253" t="s">
        <v>222</v>
      </c>
      <c r="E253" s="64" t="s">
        <v>78</v>
      </c>
      <c r="F253" s="64" t="s">
        <v>78</v>
      </c>
      <c r="G253" s="65" t="s">
        <v>78</v>
      </c>
      <c r="H253" s="64" t="s">
        <v>78</v>
      </c>
      <c r="I253" s="64" t="s">
        <v>78</v>
      </c>
      <c r="J253" s="26" t="s">
        <v>42</v>
      </c>
      <c r="K253" s="26" t="s">
        <v>42</v>
      </c>
      <c r="L253" s="26" t="s">
        <v>42</v>
      </c>
      <c r="M253" s="60" t="s">
        <v>42</v>
      </c>
      <c r="N253" s="64" t="s">
        <v>78</v>
      </c>
      <c r="O253" s="65" t="s">
        <v>78</v>
      </c>
      <c r="P253" s="64" t="s">
        <v>78</v>
      </c>
      <c r="Q253" s="64" t="s">
        <v>78</v>
      </c>
      <c r="S253" s="26"/>
      <c r="T253" s="64" t="s">
        <v>78</v>
      </c>
      <c r="U253" s="64" t="s">
        <v>78</v>
      </c>
      <c r="V253" s="64" t="s">
        <v>78</v>
      </c>
      <c r="W253" s="64" t="s">
        <v>78</v>
      </c>
      <c r="X253" s="64" t="s">
        <v>78</v>
      </c>
      <c r="Y253" s="26" t="s">
        <v>42</v>
      </c>
      <c r="Z253" s="26" t="s">
        <v>42</v>
      </c>
      <c r="AA253" s="26" t="s">
        <v>42</v>
      </c>
      <c r="AB253" s="26" t="s">
        <v>42</v>
      </c>
      <c r="AC253" s="64" t="s">
        <v>78</v>
      </c>
      <c r="AD253" s="65" t="s">
        <v>78</v>
      </c>
      <c r="AE253" s="64" t="s">
        <v>78</v>
      </c>
      <c r="AF253" s="64" t="s">
        <v>78</v>
      </c>
      <c r="AH253" s="26"/>
      <c r="AI253" s="64" t="s">
        <v>78</v>
      </c>
      <c r="AJ253" s="26" t="s">
        <v>42</v>
      </c>
      <c r="AK253" s="26" t="s">
        <v>78</v>
      </c>
      <c r="AM253" s="26"/>
      <c r="AN253" s="26"/>
      <c r="AO253" s="26"/>
      <c r="AP253" s="26"/>
      <c r="AQ253" s="26"/>
      <c r="AR253" s="26"/>
    </row>
    <row r="254" spans="1:44" x14ac:dyDescent="0.25">
      <c r="A254" s="20" t="s">
        <v>209</v>
      </c>
      <c r="B254" s="21" t="s">
        <v>224</v>
      </c>
      <c r="C254" t="s">
        <v>222</v>
      </c>
      <c r="E254" s="64" t="s">
        <v>78</v>
      </c>
      <c r="F254" s="64" t="s">
        <v>78</v>
      </c>
      <c r="G254" s="65" t="s">
        <v>78</v>
      </c>
      <c r="H254" s="64" t="s">
        <v>78</v>
      </c>
      <c r="I254" s="64" t="s">
        <v>78</v>
      </c>
      <c r="J254" s="26" t="s">
        <v>42</v>
      </c>
      <c r="K254" s="26" t="s">
        <v>42</v>
      </c>
      <c r="L254" s="26" t="s">
        <v>42</v>
      </c>
      <c r="M254" s="60" t="s">
        <v>42</v>
      </c>
      <c r="N254" s="64" t="s">
        <v>78</v>
      </c>
      <c r="O254" s="65" t="s">
        <v>78</v>
      </c>
      <c r="P254" s="64" t="s">
        <v>78</v>
      </c>
      <c r="Q254" s="64" t="s">
        <v>78</v>
      </c>
      <c r="S254" s="26"/>
      <c r="T254" s="64" t="s">
        <v>78</v>
      </c>
      <c r="U254" s="64" t="s">
        <v>78</v>
      </c>
      <c r="V254" s="64" t="s">
        <v>78</v>
      </c>
      <c r="W254" s="64" t="s">
        <v>78</v>
      </c>
      <c r="X254" s="64" t="s">
        <v>78</v>
      </c>
      <c r="Y254" s="26" t="s">
        <v>42</v>
      </c>
      <c r="Z254" s="26" t="s">
        <v>42</v>
      </c>
      <c r="AA254" s="26" t="s">
        <v>42</v>
      </c>
      <c r="AB254" s="26" t="s">
        <v>42</v>
      </c>
      <c r="AC254" s="64" t="s">
        <v>78</v>
      </c>
      <c r="AD254" s="65" t="s">
        <v>78</v>
      </c>
      <c r="AE254" s="64" t="s">
        <v>78</v>
      </c>
      <c r="AF254" s="64" t="s">
        <v>78</v>
      </c>
      <c r="AH254" s="26"/>
      <c r="AI254" s="64" t="s">
        <v>78</v>
      </c>
      <c r="AJ254" s="26" t="s">
        <v>42</v>
      </c>
      <c r="AK254" s="26" t="s">
        <v>78</v>
      </c>
      <c r="AM254" s="26"/>
      <c r="AN254" s="26"/>
      <c r="AO254" s="26"/>
      <c r="AP254" s="26"/>
      <c r="AQ254" s="26"/>
      <c r="AR254" s="26"/>
    </row>
    <row r="255" spans="1:44" x14ac:dyDescent="0.25">
      <c r="A255" s="20" t="s">
        <v>211</v>
      </c>
      <c r="B255" t="s">
        <v>226</v>
      </c>
      <c r="C255" t="s">
        <v>227</v>
      </c>
      <c r="D255" s="26" t="s">
        <v>78</v>
      </c>
      <c r="E255" s="64" t="s">
        <v>78</v>
      </c>
      <c r="F255" s="64" t="s">
        <v>78</v>
      </c>
      <c r="G255" s="65" t="s">
        <v>78</v>
      </c>
      <c r="H255" s="64" t="s">
        <v>78</v>
      </c>
      <c r="I255" s="64" t="s">
        <v>78</v>
      </c>
      <c r="J255" s="26" t="s">
        <v>42</v>
      </c>
      <c r="K255" s="26" t="s">
        <v>42</v>
      </c>
      <c r="L255" s="26" t="s">
        <v>42</v>
      </c>
      <c r="M255" s="60" t="s">
        <v>42</v>
      </c>
      <c r="N255" s="64" t="s">
        <v>42</v>
      </c>
      <c r="O255" s="65" t="s">
        <v>42</v>
      </c>
      <c r="P255" s="64" t="s">
        <v>42</v>
      </c>
      <c r="Q255" s="64" t="s">
        <v>42</v>
      </c>
      <c r="S255" s="26" t="s">
        <v>78</v>
      </c>
      <c r="T255" s="64" t="s">
        <v>78</v>
      </c>
      <c r="U255" s="64" t="s">
        <v>78</v>
      </c>
      <c r="V255" s="64" t="s">
        <v>78</v>
      </c>
      <c r="W255" s="64" t="s">
        <v>78</v>
      </c>
      <c r="X255" s="64" t="s">
        <v>78</v>
      </c>
      <c r="Y255" s="26" t="s">
        <v>42</v>
      </c>
      <c r="Z255" s="26" t="s">
        <v>42</v>
      </c>
      <c r="AA255" s="26" t="s">
        <v>42</v>
      </c>
      <c r="AB255" s="26" t="s">
        <v>42</v>
      </c>
      <c r="AC255" s="64" t="s">
        <v>42</v>
      </c>
      <c r="AD255" s="65" t="s">
        <v>42</v>
      </c>
      <c r="AE255" s="64" t="s">
        <v>42</v>
      </c>
      <c r="AF255" s="64" t="s">
        <v>42</v>
      </c>
      <c r="AH255" s="26" t="s">
        <v>78</v>
      </c>
      <c r="AI255" s="64" t="s">
        <v>78</v>
      </c>
      <c r="AJ255" s="26" t="s">
        <v>42</v>
      </c>
      <c r="AK255" s="26" t="s">
        <v>42</v>
      </c>
      <c r="AM255" s="26"/>
      <c r="AN255" s="26"/>
      <c r="AO255" s="26"/>
      <c r="AP255" s="26"/>
      <c r="AQ255" s="26"/>
      <c r="AR255" s="26"/>
    </row>
    <row r="256" spans="1:44" x14ac:dyDescent="0.25">
      <c r="A256" t="s">
        <v>836</v>
      </c>
      <c r="B256" t="s">
        <v>837</v>
      </c>
      <c r="D256" s="17" t="s">
        <v>78</v>
      </c>
      <c r="E256" s="17" t="s">
        <v>78</v>
      </c>
      <c r="F256" s="17" t="s">
        <v>78</v>
      </c>
      <c r="G256" s="17" t="s">
        <v>78</v>
      </c>
      <c r="H256" s="17" t="s">
        <v>78</v>
      </c>
      <c r="I256" s="17" t="s">
        <v>78</v>
      </c>
      <c r="J256" s="17"/>
      <c r="K256" s="17"/>
      <c r="L256" s="17"/>
      <c r="M256" s="17"/>
      <c r="N256" s="17" t="s">
        <v>42</v>
      </c>
      <c r="O256" s="17" t="s">
        <v>42</v>
      </c>
      <c r="P256" s="17" t="s">
        <v>42</v>
      </c>
      <c r="Q256" s="17" t="s">
        <v>42</v>
      </c>
      <c r="S256" s="17" t="s">
        <v>78</v>
      </c>
      <c r="T256" s="17" t="s">
        <v>78</v>
      </c>
      <c r="U256" s="17" t="s">
        <v>78</v>
      </c>
      <c r="V256" s="17" t="s">
        <v>78</v>
      </c>
      <c r="W256" s="17" t="s">
        <v>78</v>
      </c>
      <c r="X256" s="17" t="s">
        <v>78</v>
      </c>
      <c r="Y256" s="17"/>
      <c r="Z256" s="17"/>
      <c r="AA256" s="17"/>
      <c r="AB256" s="17"/>
      <c r="AC256" s="17" t="s">
        <v>42</v>
      </c>
      <c r="AD256" s="17" t="s">
        <v>42</v>
      </c>
      <c r="AE256" s="17" t="s">
        <v>42</v>
      </c>
      <c r="AF256" s="17" t="s">
        <v>42</v>
      </c>
      <c r="AH256" s="17" t="s">
        <v>78</v>
      </c>
      <c r="AI256" s="17"/>
      <c r="AJ256" s="17"/>
      <c r="AK256" s="17" t="s">
        <v>42</v>
      </c>
    </row>
    <row r="257" spans="1:44" x14ac:dyDescent="0.25">
      <c r="A257" s="11">
        <v>3</v>
      </c>
      <c r="B257" s="12" t="s">
        <v>245</v>
      </c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H257" s="26"/>
      <c r="AI257" s="26"/>
      <c r="AJ257" s="26"/>
      <c r="AK257" s="26"/>
      <c r="AM257" s="26"/>
      <c r="AN257" s="26"/>
      <c r="AO257" s="26"/>
      <c r="AP257" s="26"/>
      <c r="AQ257" s="26"/>
      <c r="AR257" s="26"/>
    </row>
    <row r="258" spans="1:44" x14ac:dyDescent="0.25">
      <c r="A258" s="61" t="s">
        <v>246</v>
      </c>
      <c r="B258" s="27" t="s">
        <v>321</v>
      </c>
      <c r="D258" s="26" t="s">
        <v>42</v>
      </c>
      <c r="E258" s="26" t="s">
        <v>42</v>
      </c>
      <c r="F258" s="26" t="s">
        <v>42</v>
      </c>
      <c r="G258" s="60" t="s">
        <v>42</v>
      </c>
      <c r="H258" s="26" t="s">
        <v>42</v>
      </c>
      <c r="I258" s="26" t="s">
        <v>42</v>
      </c>
      <c r="J258" s="26" t="s">
        <v>42</v>
      </c>
      <c r="K258" s="26" t="s">
        <v>42</v>
      </c>
      <c r="L258" s="26" t="s">
        <v>42</v>
      </c>
      <c r="M258" s="60" t="s">
        <v>42</v>
      </c>
      <c r="N258" s="26" t="s">
        <v>42</v>
      </c>
      <c r="O258" s="60" t="s">
        <v>42</v>
      </c>
      <c r="P258" s="26" t="s">
        <v>42</v>
      </c>
      <c r="Q258" s="26" t="s">
        <v>42</v>
      </c>
      <c r="S258" s="26" t="s">
        <v>42</v>
      </c>
      <c r="T258" s="26" t="s">
        <v>42</v>
      </c>
      <c r="U258" s="26" t="s">
        <v>42</v>
      </c>
      <c r="V258" s="26" t="s">
        <v>42</v>
      </c>
      <c r="W258" s="26" t="s">
        <v>42</v>
      </c>
      <c r="X258" s="26" t="s">
        <v>42</v>
      </c>
      <c r="Y258" s="26" t="s">
        <v>42</v>
      </c>
      <c r="Z258" s="26" t="s">
        <v>42</v>
      </c>
      <c r="AA258" s="26" t="s">
        <v>42</v>
      </c>
      <c r="AB258" s="26" t="s">
        <v>42</v>
      </c>
      <c r="AC258" s="26" t="s">
        <v>42</v>
      </c>
      <c r="AD258" s="26" t="s">
        <v>42</v>
      </c>
      <c r="AE258" s="26" t="s">
        <v>42</v>
      </c>
      <c r="AF258" s="26" t="s">
        <v>42</v>
      </c>
      <c r="AH258" s="26" t="s">
        <v>42</v>
      </c>
      <c r="AI258" s="26" t="s">
        <v>42</v>
      </c>
      <c r="AJ258" s="26" t="s">
        <v>42</v>
      </c>
      <c r="AK258" s="26" t="s">
        <v>42</v>
      </c>
      <c r="AM258" s="26" t="s">
        <v>42</v>
      </c>
      <c r="AN258" s="26" t="s">
        <v>42</v>
      </c>
      <c r="AO258" s="26" t="s">
        <v>42</v>
      </c>
      <c r="AP258" s="26"/>
      <c r="AQ258" s="26"/>
      <c r="AR258" s="26"/>
    </row>
    <row r="259" spans="1:44" x14ac:dyDescent="0.25">
      <c r="A259" s="61" t="s">
        <v>248</v>
      </c>
      <c r="B259" s="27" t="s">
        <v>320</v>
      </c>
      <c r="D259" s="26" t="s">
        <v>42</v>
      </c>
      <c r="E259" s="26" t="s">
        <v>42</v>
      </c>
      <c r="F259" s="26" t="s">
        <v>42</v>
      </c>
      <c r="G259" s="60" t="s">
        <v>42</v>
      </c>
      <c r="H259" s="26" t="s">
        <v>42</v>
      </c>
      <c r="I259" s="26" t="s">
        <v>42</v>
      </c>
      <c r="J259" s="26" t="s">
        <v>42</v>
      </c>
      <c r="K259" s="26" t="s">
        <v>42</v>
      </c>
      <c r="L259" s="26" t="s">
        <v>42</v>
      </c>
      <c r="M259" s="60" t="s">
        <v>42</v>
      </c>
      <c r="N259" s="26" t="s">
        <v>42</v>
      </c>
      <c r="O259" s="60" t="s">
        <v>42</v>
      </c>
      <c r="P259" s="26" t="s">
        <v>42</v>
      </c>
      <c r="Q259" s="26" t="s">
        <v>42</v>
      </c>
      <c r="S259" s="26" t="s">
        <v>42</v>
      </c>
      <c r="T259" s="26" t="s">
        <v>42</v>
      </c>
      <c r="U259" s="26" t="s">
        <v>42</v>
      </c>
      <c r="V259" s="26" t="s">
        <v>42</v>
      </c>
      <c r="W259" s="26" t="s">
        <v>42</v>
      </c>
      <c r="X259" s="26" t="s">
        <v>42</v>
      </c>
      <c r="Y259" s="26" t="s">
        <v>42</v>
      </c>
      <c r="Z259" s="26" t="s">
        <v>42</v>
      </c>
      <c r="AA259" s="26" t="s">
        <v>42</v>
      </c>
      <c r="AB259" s="26" t="s">
        <v>42</v>
      </c>
      <c r="AC259" s="26" t="s">
        <v>42</v>
      </c>
      <c r="AD259" s="26" t="s">
        <v>42</v>
      </c>
      <c r="AE259" s="26" t="s">
        <v>42</v>
      </c>
      <c r="AF259" s="26" t="s">
        <v>42</v>
      </c>
      <c r="AH259" s="26" t="s">
        <v>42</v>
      </c>
      <c r="AI259" s="26" t="s">
        <v>42</v>
      </c>
      <c r="AJ259" s="26" t="s">
        <v>42</v>
      </c>
      <c r="AK259" s="26" t="s">
        <v>42</v>
      </c>
      <c r="AM259" s="26" t="s">
        <v>42</v>
      </c>
      <c r="AN259" s="26" t="s">
        <v>42</v>
      </c>
      <c r="AO259" s="26" t="s">
        <v>42</v>
      </c>
      <c r="AP259" s="26"/>
      <c r="AQ259" s="26"/>
      <c r="AR259" s="26"/>
    </row>
    <row r="260" spans="1:44" ht="45" x14ac:dyDescent="0.25">
      <c r="A260" s="61" t="s">
        <v>319</v>
      </c>
      <c r="B260" s="27" t="s">
        <v>251</v>
      </c>
      <c r="O260" s="60"/>
      <c r="Q260" s="26"/>
      <c r="S260" s="26" t="s">
        <v>42</v>
      </c>
      <c r="T260" s="26" t="s">
        <v>42</v>
      </c>
      <c r="U260" s="26" t="s">
        <v>42</v>
      </c>
      <c r="V260" s="26" t="s">
        <v>42</v>
      </c>
      <c r="W260" s="26" t="s">
        <v>42</v>
      </c>
      <c r="X260" s="26" t="s">
        <v>42</v>
      </c>
      <c r="Y260" s="26" t="s">
        <v>42</v>
      </c>
      <c r="Z260" s="26" t="s">
        <v>42</v>
      </c>
      <c r="AA260" s="26" t="s">
        <v>42</v>
      </c>
      <c r="AB260" s="26" t="s">
        <v>42</v>
      </c>
      <c r="AC260" s="26" t="s">
        <v>42</v>
      </c>
      <c r="AD260" s="26" t="s">
        <v>42</v>
      </c>
      <c r="AE260" s="26" t="s">
        <v>42</v>
      </c>
      <c r="AF260" s="26" t="s">
        <v>42</v>
      </c>
      <c r="AH260" s="63"/>
      <c r="AI260" s="63"/>
      <c r="AJ260" s="63"/>
      <c r="AK260" s="63"/>
      <c r="AM260" s="26"/>
      <c r="AN260" s="26" t="s">
        <v>42</v>
      </c>
      <c r="AO260" s="26"/>
      <c r="AP260" s="26"/>
      <c r="AQ260" s="26"/>
    </row>
    <row r="261" spans="1:44" ht="30" x14ac:dyDescent="0.25">
      <c r="A261" s="61" t="s">
        <v>252</v>
      </c>
      <c r="B261" s="27" t="s">
        <v>253</v>
      </c>
      <c r="O261" s="60"/>
      <c r="Q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H261" s="63"/>
      <c r="AI261" s="63"/>
      <c r="AJ261" s="63"/>
      <c r="AK261" s="63"/>
      <c r="AM261" s="26"/>
      <c r="AN261" s="26"/>
      <c r="AO261" s="26"/>
      <c r="AP261" s="26"/>
      <c r="AQ261" s="26"/>
    </row>
    <row r="262" spans="1:44" ht="45" x14ac:dyDescent="0.25">
      <c r="A262" s="61" t="s">
        <v>318</v>
      </c>
      <c r="B262" s="27" t="s">
        <v>317</v>
      </c>
      <c r="O262" s="60"/>
      <c r="Q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H262" s="26" t="s">
        <v>42</v>
      </c>
      <c r="AI262" s="26" t="s">
        <v>42</v>
      </c>
      <c r="AJ262" s="26" t="s">
        <v>42</v>
      </c>
      <c r="AK262" s="26" t="s">
        <v>42</v>
      </c>
      <c r="AM262" s="26"/>
      <c r="AN262" s="26"/>
      <c r="AO262" s="26" t="s">
        <v>42</v>
      </c>
      <c r="AP262" s="26"/>
      <c r="AQ262" s="26"/>
      <c r="AR262" s="26"/>
    </row>
    <row r="263" spans="1:44" ht="30" x14ac:dyDescent="0.25">
      <c r="A263" s="61" t="s">
        <v>256</v>
      </c>
      <c r="B263" s="27" t="s">
        <v>316</v>
      </c>
      <c r="D263" s="26" t="s">
        <v>42</v>
      </c>
      <c r="E263" s="26" t="s">
        <v>42</v>
      </c>
      <c r="F263" s="26" t="s">
        <v>42</v>
      </c>
      <c r="G263" s="60" t="s">
        <v>42</v>
      </c>
      <c r="H263" s="26" t="s">
        <v>42</v>
      </c>
      <c r="I263" s="26" t="s">
        <v>42</v>
      </c>
      <c r="J263" s="26" t="s">
        <v>42</v>
      </c>
      <c r="K263" s="26" t="s">
        <v>42</v>
      </c>
      <c r="L263" s="26" t="s">
        <v>42</v>
      </c>
      <c r="M263" s="60" t="s">
        <v>42</v>
      </c>
      <c r="N263" s="26" t="s">
        <v>42</v>
      </c>
      <c r="O263" s="60" t="s">
        <v>42</v>
      </c>
      <c r="P263" s="26" t="s">
        <v>42</v>
      </c>
      <c r="Q263" s="26" t="s">
        <v>42</v>
      </c>
      <c r="S263" s="62" t="s">
        <v>271</v>
      </c>
      <c r="T263" s="62" t="s">
        <v>271</v>
      </c>
      <c r="U263" s="62" t="s">
        <v>271</v>
      </c>
      <c r="V263" s="62" t="s">
        <v>271</v>
      </c>
      <c r="W263" s="62" t="s">
        <v>271</v>
      </c>
      <c r="X263" s="62" t="s">
        <v>271</v>
      </c>
      <c r="Y263" s="62" t="s">
        <v>271</v>
      </c>
      <c r="Z263" s="62" t="s">
        <v>271</v>
      </c>
      <c r="AA263" s="62" t="s">
        <v>271</v>
      </c>
      <c r="AB263" s="62" t="s">
        <v>271</v>
      </c>
      <c r="AC263" s="62" t="s">
        <v>271</v>
      </c>
      <c r="AD263" s="62" t="s">
        <v>271</v>
      </c>
      <c r="AE263" s="62" t="s">
        <v>271</v>
      </c>
      <c r="AF263" s="62" t="s">
        <v>271</v>
      </c>
      <c r="AH263" s="26"/>
      <c r="AI263" s="26"/>
      <c r="AJ263" s="26"/>
      <c r="AK263" s="26"/>
      <c r="AM263" s="26" t="s">
        <v>42</v>
      </c>
      <c r="AN263" s="62" t="s">
        <v>271</v>
      </c>
      <c r="AO263" s="62" t="s">
        <v>271</v>
      </c>
      <c r="AP263" s="26"/>
      <c r="AQ263" s="26"/>
      <c r="AR263" s="26"/>
    </row>
    <row r="264" spans="1:44" ht="30" x14ac:dyDescent="0.25">
      <c r="A264" s="61" t="s">
        <v>258</v>
      </c>
      <c r="B264" s="27" t="s">
        <v>315</v>
      </c>
      <c r="D264" s="26" t="s">
        <v>42</v>
      </c>
      <c r="E264" s="26" t="s">
        <v>42</v>
      </c>
      <c r="F264" s="26" t="s">
        <v>42</v>
      </c>
      <c r="G264" s="60" t="s">
        <v>42</v>
      </c>
      <c r="H264" s="26" t="s">
        <v>42</v>
      </c>
      <c r="I264" s="26" t="s">
        <v>42</v>
      </c>
      <c r="J264" s="26" t="s">
        <v>42</v>
      </c>
      <c r="K264" s="26" t="s">
        <v>42</v>
      </c>
      <c r="L264" s="26" t="s">
        <v>42</v>
      </c>
      <c r="M264" s="60" t="s">
        <v>42</v>
      </c>
      <c r="N264" s="26" t="s">
        <v>42</v>
      </c>
      <c r="O264" s="60" t="s">
        <v>42</v>
      </c>
      <c r="P264" s="26" t="s">
        <v>42</v>
      </c>
      <c r="Q264" s="26" t="s">
        <v>42</v>
      </c>
      <c r="S264" s="26" t="s">
        <v>42</v>
      </c>
      <c r="T264" s="26" t="s">
        <v>42</v>
      </c>
      <c r="U264" s="26" t="s">
        <v>42</v>
      </c>
      <c r="V264" s="26" t="s">
        <v>42</v>
      </c>
      <c r="W264" s="26" t="s">
        <v>42</v>
      </c>
      <c r="X264" s="26" t="s">
        <v>42</v>
      </c>
      <c r="Y264" s="26" t="s">
        <v>42</v>
      </c>
      <c r="Z264" s="26" t="s">
        <v>42</v>
      </c>
      <c r="AA264" s="26" t="s">
        <v>42</v>
      </c>
      <c r="AB264" s="26" t="s">
        <v>42</v>
      </c>
      <c r="AC264" s="26" t="s">
        <v>42</v>
      </c>
      <c r="AD264" s="26" t="s">
        <v>42</v>
      </c>
      <c r="AE264" s="26" t="s">
        <v>42</v>
      </c>
      <c r="AF264" s="26" t="s">
        <v>42</v>
      </c>
      <c r="AH264" s="26" t="s">
        <v>42</v>
      </c>
      <c r="AI264" s="26" t="s">
        <v>42</v>
      </c>
      <c r="AJ264" s="26" t="s">
        <v>42</v>
      </c>
      <c r="AK264" s="26" t="s">
        <v>42</v>
      </c>
      <c r="AM264" s="26" t="s">
        <v>42</v>
      </c>
      <c r="AN264" s="26" t="s">
        <v>42</v>
      </c>
      <c r="AO264" s="26" t="s">
        <v>42</v>
      </c>
      <c r="AP264" s="26"/>
      <c r="AQ264" s="26"/>
      <c r="AR264" s="26"/>
    </row>
    <row r="265" spans="1:44" x14ac:dyDescent="0.25"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H265" s="26"/>
      <c r="AI265" s="26"/>
      <c r="AJ265" s="26"/>
      <c r="AM265" s="26"/>
      <c r="AN265" s="26"/>
      <c r="AO265" s="26"/>
      <c r="AP265" s="26"/>
      <c r="AQ265" s="26"/>
      <c r="AR265" s="26"/>
    </row>
    <row r="266" spans="1:44" x14ac:dyDescent="0.25"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H266" s="26"/>
      <c r="AI266" s="26"/>
      <c r="AJ266" s="26"/>
      <c r="AM266" s="26"/>
      <c r="AN266" s="26"/>
      <c r="AO266" s="26"/>
      <c r="AP266" s="26"/>
      <c r="AQ266" s="26"/>
      <c r="AR266" s="26"/>
    </row>
    <row r="267" spans="1:44" x14ac:dyDescent="0.25"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H267" s="26"/>
      <c r="AI267" s="26"/>
      <c r="AJ267" s="26"/>
      <c r="AM267" s="26"/>
      <c r="AN267" s="26"/>
      <c r="AO267" s="26"/>
      <c r="AP267" s="26"/>
      <c r="AQ267" s="26"/>
      <c r="AR267" s="26"/>
    </row>
    <row r="268" spans="1:44" x14ac:dyDescent="0.25"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H268" s="26"/>
      <c r="AI268" s="26"/>
      <c r="AJ268" s="26"/>
      <c r="AM268" s="26"/>
      <c r="AN268" s="26"/>
      <c r="AO268" s="26"/>
      <c r="AP268" s="26"/>
      <c r="AQ268" s="26"/>
      <c r="AR268" s="26"/>
    </row>
    <row r="269" spans="1:44" x14ac:dyDescent="0.25"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H269" s="26"/>
      <c r="AI269" s="26"/>
      <c r="AJ269" s="26"/>
      <c r="AM269" s="26"/>
      <c r="AN269" s="26"/>
      <c r="AO269" s="26"/>
      <c r="AP269" s="26"/>
      <c r="AQ269" s="26"/>
      <c r="AR269" s="26"/>
    </row>
    <row r="270" spans="1:44" x14ac:dyDescent="0.25"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H270" s="26"/>
      <c r="AI270" s="26"/>
      <c r="AJ270" s="26"/>
      <c r="AM270" s="26"/>
      <c r="AN270" s="26"/>
      <c r="AO270" s="26"/>
      <c r="AP270" s="26"/>
      <c r="AQ270" s="26"/>
      <c r="AR270" s="26"/>
    </row>
    <row r="271" spans="1:44" x14ac:dyDescent="0.25"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H271" s="26"/>
      <c r="AI271" s="26"/>
      <c r="AJ271" s="26"/>
      <c r="AM271" s="26"/>
      <c r="AN271" s="26"/>
      <c r="AO271" s="26"/>
      <c r="AP271" s="26"/>
      <c r="AQ271" s="26"/>
      <c r="AR271" s="26"/>
    </row>
    <row r="272" spans="1:44" x14ac:dyDescent="0.25"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H272" s="26"/>
      <c r="AI272" s="26"/>
      <c r="AJ272" s="26"/>
      <c r="AM272" s="26"/>
      <c r="AN272" s="26"/>
      <c r="AO272" s="26"/>
      <c r="AP272" s="26"/>
      <c r="AQ272" s="26"/>
      <c r="AR272" s="26"/>
    </row>
    <row r="273" spans="19:44" x14ac:dyDescent="0.25"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H273" s="26"/>
      <c r="AI273" s="26"/>
      <c r="AJ273" s="26"/>
      <c r="AM273" s="26"/>
      <c r="AN273" s="26"/>
      <c r="AO273" s="26"/>
      <c r="AP273" s="26"/>
      <c r="AQ273" s="26"/>
      <c r="AR273" s="26"/>
    </row>
    <row r="274" spans="19:44" x14ac:dyDescent="0.25"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H274" s="26"/>
      <c r="AI274" s="26"/>
      <c r="AJ274" s="26"/>
      <c r="AM274" s="26"/>
      <c r="AN274" s="26"/>
      <c r="AO274" s="26"/>
      <c r="AP274" s="26"/>
      <c r="AQ274" s="26"/>
      <c r="AR274" s="26"/>
    </row>
    <row r="275" spans="19:44" x14ac:dyDescent="0.25"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H275" s="26"/>
      <c r="AI275" s="26"/>
      <c r="AJ275" s="26"/>
      <c r="AM275" s="26"/>
      <c r="AN275" s="26"/>
      <c r="AO275" s="26"/>
      <c r="AP275" s="26"/>
      <c r="AQ275" s="26"/>
      <c r="AR275" s="26"/>
    </row>
    <row r="276" spans="19:44" x14ac:dyDescent="0.25"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H276" s="26"/>
      <c r="AI276" s="26"/>
      <c r="AJ276" s="26"/>
      <c r="AM276" s="26"/>
      <c r="AN276" s="26"/>
      <c r="AO276" s="26"/>
      <c r="AP276" s="26"/>
      <c r="AQ276" s="26"/>
      <c r="AR276" s="26"/>
    </row>
    <row r="277" spans="19:44" x14ac:dyDescent="0.25"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H277" s="26"/>
      <c r="AI277" s="26"/>
      <c r="AJ277" s="26"/>
      <c r="AM277" s="26"/>
      <c r="AN277" s="26"/>
      <c r="AO277" s="26"/>
      <c r="AP277" s="26"/>
      <c r="AQ277" s="26"/>
      <c r="AR277" s="26"/>
    </row>
    <row r="278" spans="19:44" x14ac:dyDescent="0.25"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H278" s="26"/>
      <c r="AI278" s="26"/>
      <c r="AJ278" s="26"/>
      <c r="AM278" s="26"/>
      <c r="AN278" s="26"/>
      <c r="AO278" s="26"/>
      <c r="AP278" s="26"/>
      <c r="AQ278" s="26"/>
      <c r="AR278" s="26"/>
    </row>
    <row r="279" spans="19:44" x14ac:dyDescent="0.25"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H279" s="26"/>
      <c r="AI279" s="26"/>
      <c r="AJ279" s="26"/>
      <c r="AM279" s="26"/>
      <c r="AN279" s="26"/>
      <c r="AO279" s="26"/>
      <c r="AP279" s="26"/>
      <c r="AQ279" s="26"/>
      <c r="AR279" s="26"/>
    </row>
    <row r="280" spans="19:44" x14ac:dyDescent="0.25"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H280" s="26"/>
      <c r="AI280" s="26"/>
      <c r="AJ280" s="26"/>
      <c r="AM280" s="26"/>
      <c r="AN280" s="26"/>
      <c r="AO280" s="26"/>
      <c r="AP280" s="26"/>
      <c r="AQ280" s="26"/>
      <c r="AR280" s="26"/>
    </row>
    <row r="281" spans="19:44" x14ac:dyDescent="0.25"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H281" s="26"/>
      <c r="AI281" s="26"/>
      <c r="AJ281" s="26"/>
      <c r="AM281" s="26"/>
      <c r="AN281" s="26"/>
      <c r="AO281" s="26"/>
      <c r="AP281" s="26"/>
      <c r="AQ281" s="26"/>
      <c r="AR281" s="26"/>
    </row>
    <row r="282" spans="19:44" x14ac:dyDescent="0.25"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H282" s="26"/>
      <c r="AI282" s="26"/>
      <c r="AJ282" s="26"/>
      <c r="AM282" s="26"/>
      <c r="AN282" s="26"/>
      <c r="AO282" s="26"/>
      <c r="AP282" s="26"/>
      <c r="AQ282" s="26"/>
      <c r="AR282" s="26"/>
    </row>
    <row r="283" spans="19:44" x14ac:dyDescent="0.25"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H283" s="26"/>
      <c r="AI283" s="26"/>
      <c r="AJ283" s="26"/>
      <c r="AM283" s="26"/>
      <c r="AN283" s="26"/>
      <c r="AO283" s="26"/>
      <c r="AP283" s="26"/>
      <c r="AQ283" s="26"/>
      <c r="AR283" s="26"/>
    </row>
    <row r="284" spans="19:44" x14ac:dyDescent="0.25"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H284" s="26"/>
      <c r="AI284" s="26"/>
      <c r="AJ284" s="26"/>
      <c r="AM284" s="26"/>
      <c r="AN284" s="26"/>
      <c r="AO284" s="26"/>
      <c r="AP284" s="26"/>
      <c r="AQ284" s="26"/>
      <c r="AR284" s="26"/>
    </row>
    <row r="285" spans="19:44" x14ac:dyDescent="0.25"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H285" s="26"/>
      <c r="AI285" s="26"/>
      <c r="AJ285" s="26"/>
      <c r="AM285" s="26"/>
      <c r="AN285" s="26"/>
      <c r="AO285" s="26"/>
      <c r="AP285" s="26"/>
      <c r="AQ285" s="26"/>
      <c r="AR285" s="26"/>
    </row>
    <row r="286" spans="19:44" x14ac:dyDescent="0.25"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H286" s="26"/>
      <c r="AI286" s="26"/>
      <c r="AJ286" s="26"/>
      <c r="AM286" s="26"/>
      <c r="AN286" s="26"/>
      <c r="AO286" s="26"/>
      <c r="AP286" s="26"/>
      <c r="AQ286" s="26"/>
      <c r="AR286" s="26"/>
    </row>
    <row r="287" spans="19:44" x14ac:dyDescent="0.25"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H287" s="26"/>
      <c r="AI287" s="26"/>
      <c r="AJ287" s="26"/>
      <c r="AM287" s="26"/>
      <c r="AN287" s="26"/>
      <c r="AO287" s="26"/>
      <c r="AP287" s="26"/>
      <c r="AQ287" s="26"/>
      <c r="AR287" s="26"/>
    </row>
    <row r="288" spans="19:44" x14ac:dyDescent="0.25"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H288" s="26"/>
      <c r="AI288" s="26"/>
      <c r="AJ288" s="26"/>
      <c r="AM288" s="26"/>
      <c r="AN288" s="26"/>
      <c r="AO288" s="26"/>
      <c r="AP288" s="26"/>
      <c r="AQ288" s="26"/>
      <c r="AR288" s="26"/>
    </row>
    <row r="289" spans="19:44" x14ac:dyDescent="0.25"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H289" s="26"/>
      <c r="AI289" s="26"/>
      <c r="AJ289" s="26"/>
      <c r="AM289" s="26"/>
      <c r="AN289" s="26"/>
      <c r="AO289" s="26"/>
      <c r="AP289" s="26"/>
      <c r="AQ289" s="26"/>
      <c r="AR289" s="26"/>
    </row>
    <row r="290" spans="19:44" x14ac:dyDescent="0.25"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H290" s="26"/>
      <c r="AI290" s="26"/>
      <c r="AJ290" s="26"/>
      <c r="AM290" s="26"/>
      <c r="AN290" s="26"/>
      <c r="AO290" s="26"/>
      <c r="AP290" s="26"/>
      <c r="AQ290" s="26"/>
      <c r="AR290" s="26"/>
    </row>
    <row r="291" spans="19:44" x14ac:dyDescent="0.25"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H291" s="26"/>
      <c r="AI291" s="26"/>
      <c r="AJ291" s="26"/>
      <c r="AM291" s="26"/>
      <c r="AN291" s="26"/>
      <c r="AO291" s="26"/>
      <c r="AP291" s="26"/>
      <c r="AQ291" s="26"/>
      <c r="AR291" s="26"/>
    </row>
    <row r="292" spans="19:44" x14ac:dyDescent="0.25"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H292" s="26"/>
      <c r="AI292" s="26"/>
      <c r="AJ292" s="26"/>
      <c r="AM292" s="26"/>
      <c r="AN292" s="26"/>
      <c r="AO292" s="26"/>
      <c r="AP292" s="26"/>
      <c r="AQ292" s="26"/>
      <c r="AR292" s="26"/>
    </row>
    <row r="293" spans="19:44" x14ac:dyDescent="0.25"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H293" s="26"/>
      <c r="AI293" s="26"/>
      <c r="AJ293" s="26"/>
      <c r="AM293" s="26"/>
      <c r="AN293" s="26"/>
      <c r="AO293" s="26"/>
      <c r="AP293" s="26"/>
      <c r="AQ293" s="26"/>
      <c r="AR293" s="26"/>
    </row>
    <row r="294" spans="19:44" x14ac:dyDescent="0.25"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H294" s="26"/>
      <c r="AI294" s="26"/>
      <c r="AJ294" s="26"/>
      <c r="AM294" s="26"/>
      <c r="AN294" s="26"/>
      <c r="AO294" s="26"/>
      <c r="AP294" s="26"/>
      <c r="AQ294" s="26"/>
      <c r="AR294" s="26"/>
    </row>
    <row r="295" spans="19:44" x14ac:dyDescent="0.25"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H295" s="26"/>
      <c r="AI295" s="26"/>
      <c r="AJ295" s="26"/>
      <c r="AM295" s="26"/>
      <c r="AN295" s="26"/>
      <c r="AO295" s="26"/>
      <c r="AP295" s="26"/>
      <c r="AQ295" s="26"/>
      <c r="AR295" s="26"/>
    </row>
    <row r="296" spans="19:44" x14ac:dyDescent="0.25"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H296" s="26"/>
      <c r="AI296" s="26"/>
      <c r="AJ296" s="26"/>
      <c r="AM296" s="26"/>
      <c r="AN296" s="26"/>
      <c r="AO296" s="26"/>
      <c r="AP296" s="26"/>
      <c r="AQ296" s="26"/>
      <c r="AR296" s="26"/>
    </row>
    <row r="297" spans="19:44" x14ac:dyDescent="0.25"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H297" s="26"/>
      <c r="AI297" s="26"/>
      <c r="AJ297" s="26"/>
      <c r="AM297" s="26"/>
      <c r="AN297" s="26"/>
      <c r="AO297" s="26"/>
      <c r="AP297" s="26"/>
      <c r="AQ297" s="26"/>
      <c r="AR297" s="26"/>
    </row>
    <row r="298" spans="19:44" x14ac:dyDescent="0.25"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H298" s="26"/>
      <c r="AI298" s="26"/>
      <c r="AJ298" s="26"/>
      <c r="AM298" s="26"/>
      <c r="AN298" s="26"/>
      <c r="AO298" s="26"/>
      <c r="AP298" s="26"/>
      <c r="AQ298" s="26"/>
      <c r="AR298" s="26"/>
    </row>
    <row r="299" spans="19:44" x14ac:dyDescent="0.25"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H299" s="26"/>
      <c r="AI299" s="26"/>
      <c r="AJ299" s="26"/>
      <c r="AM299" s="26"/>
      <c r="AN299" s="26"/>
      <c r="AO299" s="26"/>
      <c r="AP299" s="26"/>
      <c r="AQ299" s="26"/>
      <c r="AR299" s="26"/>
    </row>
    <row r="300" spans="19:44" x14ac:dyDescent="0.25"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H300" s="26"/>
      <c r="AI300" s="26"/>
      <c r="AJ300" s="26"/>
      <c r="AM300" s="26"/>
      <c r="AN300" s="26"/>
      <c r="AO300" s="26"/>
      <c r="AP300" s="26"/>
      <c r="AQ300" s="26"/>
      <c r="AR300" s="26"/>
    </row>
    <row r="301" spans="19:44" x14ac:dyDescent="0.25"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H301" s="26"/>
      <c r="AI301" s="26"/>
      <c r="AJ301" s="26"/>
      <c r="AM301" s="26"/>
      <c r="AN301" s="26"/>
      <c r="AO301" s="26"/>
      <c r="AP301" s="26"/>
      <c r="AQ301" s="26"/>
      <c r="AR301" s="26"/>
    </row>
    <row r="302" spans="19:44" x14ac:dyDescent="0.25"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H302" s="26"/>
      <c r="AI302" s="26"/>
      <c r="AJ302" s="26"/>
      <c r="AM302" s="26"/>
      <c r="AN302" s="26"/>
      <c r="AO302" s="26"/>
      <c r="AP302" s="26"/>
      <c r="AQ302" s="26"/>
      <c r="AR302" s="26"/>
    </row>
    <row r="303" spans="19:44" x14ac:dyDescent="0.25"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H303" s="26"/>
      <c r="AI303" s="26"/>
      <c r="AJ303" s="26"/>
      <c r="AM303" s="26"/>
      <c r="AN303" s="26"/>
      <c r="AO303" s="26"/>
      <c r="AP303" s="26"/>
      <c r="AQ303" s="26"/>
      <c r="AR303" s="26"/>
    </row>
    <row r="304" spans="19:44" x14ac:dyDescent="0.25"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H304" s="26"/>
      <c r="AI304" s="26"/>
      <c r="AJ304" s="26"/>
      <c r="AM304" s="26"/>
      <c r="AN304" s="26"/>
      <c r="AO304" s="26"/>
      <c r="AP304" s="26"/>
      <c r="AQ304" s="26"/>
      <c r="AR304" s="26"/>
    </row>
    <row r="305" spans="19:44" x14ac:dyDescent="0.25"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H305" s="26"/>
      <c r="AI305" s="26"/>
      <c r="AJ305" s="26"/>
      <c r="AM305" s="26"/>
      <c r="AN305" s="26"/>
      <c r="AO305" s="26"/>
      <c r="AP305" s="26"/>
      <c r="AQ305" s="26"/>
      <c r="AR305" s="26"/>
    </row>
    <row r="306" spans="19:44" x14ac:dyDescent="0.25"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H306" s="26"/>
      <c r="AI306" s="26"/>
      <c r="AJ306" s="26"/>
      <c r="AM306" s="26"/>
      <c r="AN306" s="26"/>
      <c r="AO306" s="26"/>
      <c r="AP306" s="26"/>
      <c r="AQ306" s="26"/>
      <c r="AR306" s="26"/>
    </row>
    <row r="307" spans="19:44" x14ac:dyDescent="0.25"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H307" s="26"/>
      <c r="AI307" s="26"/>
      <c r="AJ307" s="26"/>
      <c r="AM307" s="26"/>
      <c r="AN307" s="26"/>
      <c r="AO307" s="26"/>
      <c r="AP307" s="26"/>
      <c r="AQ307" s="26"/>
      <c r="AR307" s="26"/>
    </row>
    <row r="308" spans="19:44" x14ac:dyDescent="0.25"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H308" s="26"/>
      <c r="AI308" s="26"/>
      <c r="AJ308" s="26"/>
      <c r="AM308" s="26"/>
      <c r="AN308" s="26"/>
      <c r="AO308" s="26"/>
      <c r="AP308" s="26"/>
      <c r="AQ308" s="26"/>
      <c r="AR308" s="26"/>
    </row>
    <row r="309" spans="19:44" x14ac:dyDescent="0.25"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H309" s="26"/>
      <c r="AI309" s="26"/>
      <c r="AJ309" s="26"/>
      <c r="AM309" s="26"/>
      <c r="AN309" s="26"/>
      <c r="AO309" s="26"/>
      <c r="AP309" s="26"/>
      <c r="AQ309" s="26"/>
      <c r="AR309" s="26"/>
    </row>
    <row r="310" spans="19:44" x14ac:dyDescent="0.25"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H310" s="26"/>
      <c r="AI310" s="26"/>
      <c r="AJ310" s="26"/>
      <c r="AM310" s="26"/>
      <c r="AN310" s="26"/>
      <c r="AO310" s="26"/>
      <c r="AP310" s="26"/>
      <c r="AQ310" s="26"/>
      <c r="AR310" s="26"/>
    </row>
    <row r="311" spans="19:44" x14ac:dyDescent="0.25"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H311" s="26"/>
      <c r="AI311" s="26"/>
      <c r="AJ311" s="26"/>
      <c r="AM311" s="26"/>
      <c r="AN311" s="26"/>
      <c r="AO311" s="26"/>
      <c r="AP311" s="26"/>
      <c r="AQ311" s="26"/>
      <c r="AR311" s="26"/>
    </row>
    <row r="312" spans="19:44" x14ac:dyDescent="0.25"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H312" s="26"/>
      <c r="AI312" s="26"/>
      <c r="AJ312" s="26"/>
      <c r="AM312" s="26"/>
      <c r="AN312" s="26"/>
      <c r="AO312" s="26"/>
      <c r="AP312" s="26"/>
      <c r="AQ312" s="26"/>
      <c r="AR312" s="26"/>
    </row>
    <row r="313" spans="19:44" x14ac:dyDescent="0.25"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H313" s="26"/>
      <c r="AI313" s="26"/>
      <c r="AJ313" s="26"/>
      <c r="AM313" s="26"/>
      <c r="AN313" s="26"/>
      <c r="AO313" s="26"/>
      <c r="AP313" s="26"/>
      <c r="AQ313" s="26"/>
      <c r="AR313" s="26"/>
    </row>
    <row r="314" spans="19:44" x14ac:dyDescent="0.25"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H314" s="26"/>
      <c r="AI314" s="26"/>
      <c r="AJ314" s="26"/>
      <c r="AM314" s="26"/>
      <c r="AN314" s="26"/>
      <c r="AO314" s="26"/>
      <c r="AP314" s="26"/>
      <c r="AQ314" s="26"/>
      <c r="AR314" s="26"/>
    </row>
    <row r="315" spans="19:44" x14ac:dyDescent="0.25"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H315" s="26"/>
      <c r="AI315" s="26"/>
      <c r="AJ315" s="26"/>
      <c r="AM315" s="26"/>
      <c r="AN315" s="26"/>
      <c r="AO315" s="26"/>
      <c r="AP315" s="26"/>
      <c r="AQ315" s="26"/>
      <c r="AR315" s="26"/>
    </row>
    <row r="316" spans="19:44" x14ac:dyDescent="0.25"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H316" s="26"/>
      <c r="AI316" s="26"/>
      <c r="AJ316" s="26"/>
      <c r="AM316" s="26"/>
      <c r="AN316" s="26"/>
      <c r="AO316" s="26"/>
      <c r="AP316" s="26"/>
      <c r="AQ316" s="26"/>
      <c r="AR316" s="26"/>
    </row>
    <row r="317" spans="19:44" x14ac:dyDescent="0.25"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H317" s="26"/>
      <c r="AI317" s="26"/>
      <c r="AJ317" s="26"/>
      <c r="AM317" s="26"/>
      <c r="AN317" s="26"/>
      <c r="AO317" s="26"/>
      <c r="AP317" s="26"/>
      <c r="AQ317" s="26"/>
      <c r="AR317" s="26"/>
    </row>
    <row r="318" spans="19:44" x14ac:dyDescent="0.25"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H318" s="26"/>
      <c r="AI318" s="26"/>
      <c r="AJ318" s="26"/>
      <c r="AM318" s="26"/>
      <c r="AN318" s="26"/>
      <c r="AO318" s="26"/>
      <c r="AP318" s="26"/>
      <c r="AQ318" s="26"/>
      <c r="AR318" s="26"/>
    </row>
    <row r="319" spans="19:44" x14ac:dyDescent="0.25"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H319" s="26"/>
      <c r="AI319" s="26"/>
      <c r="AJ319" s="26"/>
      <c r="AM319" s="26"/>
      <c r="AN319" s="26"/>
      <c r="AO319" s="26"/>
      <c r="AP319" s="26"/>
      <c r="AQ319" s="26"/>
      <c r="AR319" s="26"/>
    </row>
    <row r="320" spans="19:44" x14ac:dyDescent="0.25"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H320" s="26"/>
      <c r="AI320" s="26"/>
      <c r="AJ320" s="26"/>
      <c r="AM320" s="26"/>
      <c r="AN320" s="26"/>
      <c r="AO320" s="26"/>
      <c r="AP320" s="26"/>
      <c r="AQ320" s="26"/>
      <c r="AR320" s="26"/>
    </row>
    <row r="321" spans="19:44" x14ac:dyDescent="0.25"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H321" s="26"/>
      <c r="AI321" s="26"/>
      <c r="AJ321" s="26"/>
      <c r="AM321" s="26"/>
      <c r="AN321" s="26"/>
      <c r="AO321" s="26"/>
      <c r="AP321" s="26"/>
      <c r="AQ321" s="26"/>
      <c r="AR321" s="26"/>
    </row>
    <row r="322" spans="19:44" x14ac:dyDescent="0.25"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H322" s="26"/>
      <c r="AI322" s="26"/>
      <c r="AJ322" s="26"/>
      <c r="AM322" s="26"/>
      <c r="AN322" s="26"/>
      <c r="AO322" s="26"/>
      <c r="AP322" s="26"/>
      <c r="AQ322" s="26"/>
      <c r="AR322" s="26"/>
    </row>
    <row r="323" spans="19:44" x14ac:dyDescent="0.25"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H323" s="26"/>
      <c r="AI323" s="26"/>
      <c r="AJ323" s="26"/>
      <c r="AM323" s="26"/>
      <c r="AN323" s="26"/>
      <c r="AO323" s="26"/>
      <c r="AP323" s="26"/>
      <c r="AQ323" s="26"/>
      <c r="AR323" s="26"/>
    </row>
    <row r="324" spans="19:44" x14ac:dyDescent="0.25"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H324" s="26"/>
      <c r="AI324" s="26"/>
      <c r="AJ324" s="26"/>
      <c r="AM324" s="26"/>
      <c r="AN324" s="26"/>
      <c r="AO324" s="26"/>
      <c r="AP324" s="26"/>
      <c r="AQ324" s="26"/>
      <c r="AR324" s="26"/>
    </row>
    <row r="325" spans="19:44" x14ac:dyDescent="0.25"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H325" s="26"/>
      <c r="AI325" s="26"/>
      <c r="AJ325" s="26"/>
      <c r="AM325" s="26"/>
      <c r="AN325" s="26"/>
      <c r="AO325" s="26"/>
      <c r="AP325" s="26"/>
      <c r="AQ325" s="26"/>
      <c r="AR325" s="26"/>
    </row>
    <row r="326" spans="19:44" x14ac:dyDescent="0.25"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H326" s="26"/>
      <c r="AI326" s="26"/>
      <c r="AJ326" s="26"/>
      <c r="AM326" s="26"/>
      <c r="AN326" s="26"/>
      <c r="AO326" s="26"/>
      <c r="AP326" s="26"/>
      <c r="AQ326" s="26"/>
      <c r="AR326" s="26"/>
    </row>
    <row r="327" spans="19:44" x14ac:dyDescent="0.25"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H327" s="26"/>
      <c r="AI327" s="26"/>
      <c r="AJ327" s="26"/>
      <c r="AM327" s="26"/>
      <c r="AN327" s="26"/>
      <c r="AO327" s="26"/>
      <c r="AP327" s="26"/>
      <c r="AQ327" s="26"/>
      <c r="AR327" s="26"/>
    </row>
    <row r="328" spans="19:44" x14ac:dyDescent="0.25"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H328" s="26"/>
      <c r="AI328" s="26"/>
      <c r="AJ328" s="26"/>
      <c r="AM328" s="26"/>
      <c r="AN328" s="26"/>
      <c r="AO328" s="26"/>
      <c r="AP328" s="26"/>
      <c r="AQ328" s="26"/>
      <c r="AR328" s="26"/>
    </row>
    <row r="329" spans="19:44" x14ac:dyDescent="0.25"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H329" s="26"/>
      <c r="AI329" s="26"/>
      <c r="AJ329" s="26"/>
      <c r="AM329" s="26"/>
      <c r="AN329" s="26"/>
      <c r="AO329" s="26"/>
      <c r="AP329" s="26"/>
      <c r="AQ329" s="26"/>
      <c r="AR329" s="26"/>
    </row>
    <row r="330" spans="19:44" x14ac:dyDescent="0.25"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H330" s="26"/>
      <c r="AI330" s="26"/>
      <c r="AJ330" s="26"/>
      <c r="AM330" s="26"/>
      <c r="AN330" s="26"/>
      <c r="AO330" s="26"/>
      <c r="AP330" s="26"/>
      <c r="AQ330" s="26"/>
      <c r="AR330" s="26"/>
    </row>
    <row r="331" spans="19:44" x14ac:dyDescent="0.25"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H331" s="26"/>
      <c r="AI331" s="26"/>
      <c r="AJ331" s="26"/>
      <c r="AM331" s="26"/>
      <c r="AN331" s="26"/>
      <c r="AO331" s="26"/>
      <c r="AP331" s="26"/>
      <c r="AQ331" s="26"/>
      <c r="AR331" s="26"/>
    </row>
    <row r="332" spans="19:44" x14ac:dyDescent="0.25"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H332" s="26"/>
      <c r="AI332" s="26"/>
      <c r="AJ332" s="26"/>
      <c r="AM332" s="26"/>
      <c r="AN332" s="26"/>
      <c r="AO332" s="26"/>
      <c r="AP332" s="26"/>
      <c r="AQ332" s="26"/>
      <c r="AR332" s="26"/>
    </row>
    <row r="333" spans="19:44" x14ac:dyDescent="0.25"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H333" s="26"/>
      <c r="AI333" s="26"/>
      <c r="AJ333" s="26"/>
      <c r="AM333" s="26"/>
      <c r="AN333" s="26"/>
      <c r="AO333" s="26"/>
      <c r="AP333" s="26"/>
      <c r="AQ333" s="26"/>
      <c r="AR333" s="26"/>
    </row>
    <row r="334" spans="19:44" x14ac:dyDescent="0.25"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H334" s="26"/>
      <c r="AI334" s="26"/>
      <c r="AJ334" s="26"/>
      <c r="AM334" s="26"/>
      <c r="AN334" s="26"/>
      <c r="AO334" s="26"/>
      <c r="AP334" s="26"/>
      <c r="AQ334" s="26"/>
      <c r="AR334" s="26"/>
    </row>
    <row r="335" spans="19:44" x14ac:dyDescent="0.25"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H335" s="26"/>
      <c r="AI335" s="26"/>
      <c r="AJ335" s="26"/>
      <c r="AM335" s="26"/>
      <c r="AN335" s="26"/>
      <c r="AO335" s="26"/>
      <c r="AP335" s="26"/>
      <c r="AQ335" s="26"/>
      <c r="AR335" s="26"/>
    </row>
    <row r="336" spans="19:44" x14ac:dyDescent="0.25"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H336" s="26"/>
      <c r="AI336" s="26"/>
      <c r="AJ336" s="26"/>
      <c r="AM336" s="26"/>
      <c r="AN336" s="26"/>
      <c r="AO336" s="26"/>
      <c r="AP336" s="26"/>
      <c r="AQ336" s="26"/>
      <c r="AR336" s="26"/>
    </row>
    <row r="337" spans="19:44" x14ac:dyDescent="0.25"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H337" s="26"/>
      <c r="AI337" s="26"/>
      <c r="AJ337" s="26"/>
      <c r="AM337" s="26"/>
      <c r="AN337" s="26"/>
      <c r="AO337" s="26"/>
      <c r="AP337" s="26"/>
      <c r="AQ337" s="26"/>
      <c r="AR337" s="26"/>
    </row>
    <row r="338" spans="19:44" x14ac:dyDescent="0.25"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H338" s="26"/>
      <c r="AI338" s="26"/>
      <c r="AJ338" s="26"/>
      <c r="AM338" s="26"/>
      <c r="AN338" s="26"/>
      <c r="AO338" s="26"/>
      <c r="AP338" s="26"/>
      <c r="AQ338" s="26"/>
      <c r="AR338" s="26"/>
    </row>
    <row r="339" spans="19:44" x14ac:dyDescent="0.25"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H339" s="26"/>
      <c r="AI339" s="26"/>
      <c r="AJ339" s="26"/>
      <c r="AM339" s="26"/>
      <c r="AN339" s="26"/>
      <c r="AO339" s="26"/>
      <c r="AP339" s="26"/>
      <c r="AQ339" s="26"/>
      <c r="AR339" s="26"/>
    </row>
    <row r="340" spans="19:44" x14ac:dyDescent="0.25"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H340" s="26"/>
      <c r="AI340" s="26"/>
      <c r="AJ340" s="26"/>
      <c r="AM340" s="26"/>
      <c r="AN340" s="26"/>
      <c r="AO340" s="26"/>
      <c r="AP340" s="26"/>
      <c r="AQ340" s="26"/>
      <c r="AR340" s="26"/>
    </row>
    <row r="341" spans="19:44" x14ac:dyDescent="0.25"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H341" s="26"/>
      <c r="AI341" s="26"/>
      <c r="AJ341" s="26"/>
      <c r="AM341" s="26"/>
      <c r="AN341" s="26"/>
      <c r="AO341" s="26"/>
      <c r="AP341" s="26"/>
      <c r="AQ341" s="26"/>
      <c r="AR341" s="26"/>
    </row>
    <row r="342" spans="19:44" x14ac:dyDescent="0.25"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H342" s="26"/>
      <c r="AI342" s="26"/>
      <c r="AJ342" s="26"/>
      <c r="AM342" s="26"/>
      <c r="AN342" s="26"/>
      <c r="AO342" s="26"/>
      <c r="AP342" s="26"/>
      <c r="AQ342" s="26"/>
      <c r="AR342" s="26"/>
    </row>
    <row r="343" spans="19:44" x14ac:dyDescent="0.25"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H343" s="26"/>
      <c r="AI343" s="26"/>
      <c r="AJ343" s="26"/>
      <c r="AM343" s="26"/>
      <c r="AN343" s="26"/>
      <c r="AO343" s="26"/>
      <c r="AP343" s="26"/>
      <c r="AQ343" s="26"/>
      <c r="AR343" s="26"/>
    </row>
    <row r="344" spans="19:44" x14ac:dyDescent="0.25"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H344" s="26"/>
      <c r="AI344" s="26"/>
      <c r="AJ344" s="26"/>
      <c r="AM344" s="26"/>
      <c r="AN344" s="26"/>
      <c r="AO344" s="26"/>
      <c r="AP344" s="26"/>
      <c r="AQ344" s="26"/>
      <c r="AR344" s="26"/>
    </row>
    <row r="345" spans="19:44" x14ac:dyDescent="0.25"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H345" s="26"/>
      <c r="AI345" s="26"/>
      <c r="AJ345" s="26"/>
      <c r="AM345" s="26"/>
      <c r="AN345" s="26"/>
      <c r="AO345" s="26"/>
      <c r="AP345" s="26"/>
      <c r="AQ345" s="26"/>
      <c r="AR345" s="26"/>
    </row>
    <row r="346" spans="19:44" x14ac:dyDescent="0.25"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H346" s="26"/>
      <c r="AI346" s="26"/>
      <c r="AJ346" s="26"/>
      <c r="AM346" s="26"/>
      <c r="AN346" s="26"/>
      <c r="AO346" s="26"/>
      <c r="AP346" s="26"/>
      <c r="AQ346" s="26"/>
      <c r="AR346" s="26"/>
    </row>
    <row r="347" spans="19:44" x14ac:dyDescent="0.25"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H347" s="26"/>
      <c r="AI347" s="26"/>
      <c r="AJ347" s="26"/>
      <c r="AM347" s="26"/>
      <c r="AN347" s="26"/>
      <c r="AO347" s="26"/>
      <c r="AP347" s="26"/>
      <c r="AQ347" s="26"/>
      <c r="AR347" s="26"/>
    </row>
    <row r="348" spans="19:44" x14ac:dyDescent="0.25"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H348" s="26"/>
      <c r="AI348" s="26"/>
      <c r="AJ348" s="26"/>
      <c r="AM348" s="26"/>
      <c r="AN348" s="26"/>
      <c r="AO348" s="26"/>
      <c r="AP348" s="26"/>
      <c r="AQ348" s="26"/>
      <c r="AR348" s="26"/>
    </row>
    <row r="349" spans="19:44" x14ac:dyDescent="0.25"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H349" s="26"/>
      <c r="AI349" s="26"/>
      <c r="AJ349" s="26"/>
      <c r="AM349" s="26"/>
      <c r="AN349" s="26"/>
      <c r="AO349" s="26"/>
      <c r="AP349" s="26"/>
      <c r="AQ349" s="26"/>
      <c r="AR349" s="26"/>
    </row>
    <row r="350" spans="19:44" x14ac:dyDescent="0.25"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H350" s="26"/>
      <c r="AI350" s="26"/>
      <c r="AJ350" s="26"/>
      <c r="AM350" s="26"/>
      <c r="AN350" s="26"/>
      <c r="AO350" s="26"/>
      <c r="AP350" s="26"/>
      <c r="AQ350" s="26"/>
      <c r="AR350" s="26"/>
    </row>
    <row r="351" spans="19:44" x14ac:dyDescent="0.25"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H351" s="26"/>
      <c r="AI351" s="26"/>
      <c r="AJ351" s="26"/>
      <c r="AM351" s="26"/>
      <c r="AN351" s="26"/>
      <c r="AO351" s="26"/>
      <c r="AP351" s="26"/>
      <c r="AQ351" s="26"/>
      <c r="AR351" s="26"/>
    </row>
    <row r="352" spans="19:44" x14ac:dyDescent="0.25"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H352" s="26"/>
      <c r="AI352" s="26"/>
      <c r="AJ352" s="26"/>
      <c r="AM352" s="26"/>
      <c r="AN352" s="26"/>
      <c r="AO352" s="26"/>
      <c r="AP352" s="26"/>
      <c r="AQ352" s="26"/>
      <c r="AR352" s="26"/>
    </row>
    <row r="353" spans="19:44" x14ac:dyDescent="0.25"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H353" s="26"/>
      <c r="AI353" s="26"/>
      <c r="AJ353" s="26"/>
      <c r="AM353" s="26"/>
      <c r="AN353" s="26"/>
      <c r="AO353" s="26"/>
      <c r="AP353" s="26"/>
      <c r="AQ353" s="26"/>
      <c r="AR353" s="26"/>
    </row>
    <row r="354" spans="19:44" x14ac:dyDescent="0.25"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H354" s="26"/>
      <c r="AI354" s="26"/>
      <c r="AJ354" s="26"/>
      <c r="AM354" s="26"/>
      <c r="AN354" s="26"/>
      <c r="AO354" s="26"/>
      <c r="AP354" s="26"/>
      <c r="AQ354" s="26"/>
      <c r="AR354" s="26"/>
    </row>
    <row r="355" spans="19:44" x14ac:dyDescent="0.25"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H355" s="26"/>
      <c r="AI355" s="26"/>
      <c r="AJ355" s="26"/>
      <c r="AM355" s="26"/>
      <c r="AN355" s="26"/>
      <c r="AO355" s="26"/>
      <c r="AP355" s="26"/>
      <c r="AQ355" s="26"/>
      <c r="AR355" s="26"/>
    </row>
    <row r="356" spans="19:44" x14ac:dyDescent="0.25"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H356" s="26"/>
      <c r="AI356" s="26"/>
      <c r="AJ356" s="26"/>
      <c r="AM356" s="26"/>
      <c r="AN356" s="26"/>
      <c r="AO356" s="26"/>
      <c r="AP356" s="26"/>
      <c r="AQ356" s="26"/>
      <c r="AR356" s="26"/>
    </row>
    <row r="357" spans="19:44" x14ac:dyDescent="0.25"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H357" s="26"/>
      <c r="AI357" s="26"/>
      <c r="AJ357" s="26"/>
      <c r="AM357" s="26"/>
      <c r="AN357" s="26"/>
      <c r="AO357" s="26"/>
      <c r="AP357" s="26"/>
      <c r="AQ357" s="26"/>
      <c r="AR357" s="26"/>
    </row>
    <row r="358" spans="19:44" x14ac:dyDescent="0.25"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H358" s="26"/>
      <c r="AI358" s="26"/>
      <c r="AJ358" s="26"/>
      <c r="AM358" s="26"/>
      <c r="AN358" s="26"/>
      <c r="AO358" s="26"/>
      <c r="AP358" s="26"/>
      <c r="AQ358" s="26"/>
      <c r="AR358" s="26"/>
    </row>
    <row r="359" spans="19:44" x14ac:dyDescent="0.25"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H359" s="26"/>
      <c r="AI359" s="26"/>
      <c r="AJ359" s="26"/>
      <c r="AM359" s="26"/>
      <c r="AN359" s="26"/>
      <c r="AO359" s="26"/>
      <c r="AP359" s="26"/>
      <c r="AQ359" s="26"/>
      <c r="AR359" s="26"/>
    </row>
    <row r="360" spans="19:44" x14ac:dyDescent="0.25"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H360" s="26"/>
      <c r="AI360" s="26"/>
      <c r="AJ360" s="26"/>
      <c r="AM360" s="26"/>
      <c r="AN360" s="26"/>
      <c r="AO360" s="26"/>
      <c r="AP360" s="26"/>
      <c r="AQ360" s="26"/>
      <c r="AR360" s="26"/>
    </row>
    <row r="361" spans="19:44" x14ac:dyDescent="0.25"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H361" s="26"/>
      <c r="AI361" s="26"/>
      <c r="AJ361" s="26"/>
      <c r="AM361" s="26"/>
      <c r="AN361" s="26"/>
      <c r="AO361" s="26"/>
      <c r="AP361" s="26"/>
      <c r="AQ361" s="26"/>
      <c r="AR361" s="26"/>
    </row>
    <row r="362" spans="19:44" x14ac:dyDescent="0.25"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H362" s="26"/>
      <c r="AI362" s="26"/>
      <c r="AJ362" s="26"/>
      <c r="AM362" s="26"/>
      <c r="AN362" s="26"/>
      <c r="AO362" s="26"/>
      <c r="AP362" s="26"/>
      <c r="AQ362" s="26"/>
      <c r="AR362" s="26"/>
    </row>
    <row r="363" spans="19:44" x14ac:dyDescent="0.25"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H363" s="26"/>
      <c r="AI363" s="26"/>
      <c r="AJ363" s="26"/>
      <c r="AM363" s="26"/>
      <c r="AN363" s="26"/>
      <c r="AO363" s="26"/>
      <c r="AP363" s="26"/>
      <c r="AQ363" s="26"/>
      <c r="AR363" s="26"/>
    </row>
    <row r="364" spans="19:44" x14ac:dyDescent="0.25"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H364" s="26"/>
      <c r="AI364" s="26"/>
      <c r="AJ364" s="26"/>
      <c r="AM364" s="26"/>
      <c r="AN364" s="26"/>
      <c r="AO364" s="26"/>
      <c r="AP364" s="26"/>
      <c r="AQ364" s="26"/>
      <c r="AR364" s="26"/>
    </row>
    <row r="365" spans="19:44" x14ac:dyDescent="0.25"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H365" s="26"/>
      <c r="AI365" s="26"/>
      <c r="AJ365" s="26"/>
      <c r="AM365" s="26"/>
      <c r="AN365" s="26"/>
      <c r="AO365" s="26"/>
      <c r="AP365" s="26"/>
      <c r="AQ365" s="26"/>
      <c r="AR365" s="26"/>
    </row>
    <row r="366" spans="19:44" x14ac:dyDescent="0.25"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H366" s="26"/>
      <c r="AI366" s="26"/>
      <c r="AJ366" s="26"/>
      <c r="AM366" s="26"/>
      <c r="AN366" s="26"/>
      <c r="AO366" s="26"/>
      <c r="AP366" s="26"/>
      <c r="AQ366" s="26"/>
      <c r="AR366" s="26"/>
    </row>
    <row r="367" spans="19:44" x14ac:dyDescent="0.25"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H367" s="26"/>
      <c r="AI367" s="26"/>
      <c r="AJ367" s="26"/>
      <c r="AM367" s="26"/>
      <c r="AN367" s="26"/>
      <c r="AO367" s="26"/>
      <c r="AP367" s="26"/>
      <c r="AQ367" s="26"/>
      <c r="AR367" s="26"/>
    </row>
    <row r="368" spans="19:44" x14ac:dyDescent="0.25"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H368" s="26"/>
      <c r="AI368" s="26"/>
      <c r="AJ368" s="26"/>
      <c r="AM368" s="26"/>
      <c r="AN368" s="26"/>
      <c r="AO368" s="26"/>
      <c r="AP368" s="26"/>
      <c r="AQ368" s="26"/>
      <c r="AR368" s="26"/>
    </row>
    <row r="369" spans="19:44" x14ac:dyDescent="0.25"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H369" s="26"/>
      <c r="AI369" s="26"/>
      <c r="AJ369" s="26"/>
      <c r="AM369" s="26"/>
      <c r="AN369" s="26"/>
      <c r="AO369" s="26"/>
      <c r="AP369" s="26"/>
      <c r="AQ369" s="26"/>
      <c r="AR369" s="26"/>
    </row>
    <row r="370" spans="19:44" x14ac:dyDescent="0.25"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H370" s="26"/>
      <c r="AI370" s="26"/>
      <c r="AJ370" s="26"/>
      <c r="AM370" s="26"/>
      <c r="AN370" s="26"/>
      <c r="AO370" s="26"/>
      <c r="AP370" s="26"/>
      <c r="AQ370" s="26"/>
      <c r="AR370" s="26"/>
    </row>
    <row r="371" spans="19:44" x14ac:dyDescent="0.25"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H371" s="26"/>
      <c r="AI371" s="26"/>
      <c r="AJ371" s="26"/>
      <c r="AM371" s="26"/>
      <c r="AN371" s="26"/>
      <c r="AO371" s="26"/>
      <c r="AP371" s="26"/>
      <c r="AQ371" s="26"/>
      <c r="AR371" s="26"/>
    </row>
    <row r="372" spans="19:44" x14ac:dyDescent="0.25"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H372" s="26"/>
      <c r="AI372" s="26"/>
      <c r="AJ372" s="26"/>
      <c r="AM372" s="26"/>
      <c r="AN372" s="26"/>
      <c r="AO372" s="26"/>
      <c r="AP372" s="26"/>
      <c r="AQ372" s="26"/>
      <c r="AR372" s="26"/>
    </row>
    <row r="373" spans="19:44" x14ac:dyDescent="0.25"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H373" s="26"/>
      <c r="AI373" s="26"/>
      <c r="AJ373" s="26"/>
      <c r="AM373" s="26"/>
      <c r="AN373" s="26"/>
      <c r="AO373" s="26"/>
      <c r="AP373" s="26"/>
      <c r="AQ373" s="26"/>
      <c r="AR373" s="26"/>
    </row>
    <row r="374" spans="19:44" x14ac:dyDescent="0.25"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H374" s="26"/>
      <c r="AI374" s="26"/>
      <c r="AJ374" s="26"/>
      <c r="AM374" s="26"/>
      <c r="AN374" s="26"/>
      <c r="AO374" s="26"/>
      <c r="AP374" s="26"/>
      <c r="AQ374" s="26"/>
      <c r="AR374" s="26"/>
    </row>
    <row r="375" spans="19:44" x14ac:dyDescent="0.25"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H375" s="26"/>
      <c r="AI375" s="26"/>
      <c r="AJ375" s="26"/>
      <c r="AM375" s="26"/>
      <c r="AN375" s="26"/>
      <c r="AO375" s="26"/>
      <c r="AP375" s="26"/>
      <c r="AQ375" s="26"/>
      <c r="AR375" s="26"/>
    </row>
    <row r="376" spans="19:44" x14ac:dyDescent="0.25"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H376" s="26"/>
      <c r="AI376" s="26"/>
      <c r="AJ376" s="26"/>
      <c r="AM376" s="26"/>
      <c r="AN376" s="26"/>
      <c r="AO376" s="26"/>
      <c r="AP376" s="26"/>
      <c r="AQ376" s="26"/>
      <c r="AR376" s="26"/>
    </row>
    <row r="377" spans="19:44" x14ac:dyDescent="0.25"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H377" s="26"/>
      <c r="AI377" s="26"/>
      <c r="AJ377" s="26"/>
      <c r="AM377" s="26"/>
      <c r="AN377" s="26"/>
      <c r="AO377" s="26"/>
      <c r="AP377" s="26"/>
      <c r="AQ377" s="26"/>
      <c r="AR377" s="26"/>
    </row>
    <row r="378" spans="19:44" x14ac:dyDescent="0.25"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H378" s="26"/>
      <c r="AI378" s="26"/>
      <c r="AJ378" s="26"/>
      <c r="AM378" s="26"/>
      <c r="AN378" s="26"/>
      <c r="AO378" s="26"/>
      <c r="AP378" s="26"/>
      <c r="AQ378" s="26"/>
      <c r="AR378" s="26"/>
    </row>
    <row r="379" spans="19:44" x14ac:dyDescent="0.25"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H379" s="26"/>
      <c r="AI379" s="26"/>
      <c r="AJ379" s="26"/>
      <c r="AM379" s="26"/>
      <c r="AN379" s="26"/>
      <c r="AO379" s="26"/>
      <c r="AP379" s="26"/>
      <c r="AQ379" s="26"/>
      <c r="AR379" s="26"/>
    </row>
    <row r="380" spans="19:44" x14ac:dyDescent="0.25"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H380" s="26"/>
      <c r="AI380" s="26"/>
      <c r="AJ380" s="26"/>
      <c r="AM380" s="26"/>
      <c r="AN380" s="26"/>
      <c r="AO380" s="26"/>
      <c r="AP380" s="26"/>
      <c r="AQ380" s="26"/>
      <c r="AR380" s="26"/>
    </row>
    <row r="381" spans="19:44" x14ac:dyDescent="0.25"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H381" s="26"/>
      <c r="AI381" s="26"/>
      <c r="AJ381" s="26"/>
      <c r="AM381" s="26"/>
      <c r="AN381" s="26"/>
      <c r="AO381" s="26"/>
      <c r="AP381" s="26"/>
      <c r="AQ381" s="26"/>
      <c r="AR381" s="26"/>
    </row>
    <row r="382" spans="19:44" x14ac:dyDescent="0.25"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H382" s="26"/>
      <c r="AI382" s="26"/>
      <c r="AJ382" s="26"/>
      <c r="AM382" s="26"/>
      <c r="AN382" s="26"/>
      <c r="AO382" s="26"/>
      <c r="AP382" s="26"/>
      <c r="AQ382" s="26"/>
      <c r="AR382" s="26"/>
    </row>
    <row r="383" spans="19:44" x14ac:dyDescent="0.25"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H383" s="26"/>
      <c r="AI383" s="26"/>
      <c r="AJ383" s="26"/>
      <c r="AM383" s="26"/>
      <c r="AN383" s="26"/>
      <c r="AO383" s="26"/>
      <c r="AP383" s="26"/>
      <c r="AQ383" s="26"/>
      <c r="AR383" s="26"/>
    </row>
    <row r="384" spans="19:44" x14ac:dyDescent="0.25"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H384" s="26"/>
      <c r="AI384" s="26"/>
      <c r="AJ384" s="26"/>
      <c r="AM384" s="26"/>
      <c r="AN384" s="26"/>
      <c r="AO384" s="26"/>
      <c r="AP384" s="26"/>
      <c r="AQ384" s="26"/>
      <c r="AR384" s="26"/>
    </row>
    <row r="385" spans="19:44" x14ac:dyDescent="0.25"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H385" s="26"/>
      <c r="AI385" s="26"/>
      <c r="AJ385" s="26"/>
      <c r="AM385" s="26"/>
      <c r="AN385" s="26"/>
      <c r="AO385" s="26"/>
      <c r="AP385" s="26"/>
      <c r="AQ385" s="26"/>
      <c r="AR385" s="26"/>
    </row>
    <row r="386" spans="19:44" x14ac:dyDescent="0.25"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H386" s="26"/>
      <c r="AI386" s="26"/>
      <c r="AJ386" s="26"/>
      <c r="AM386" s="26"/>
      <c r="AN386" s="26"/>
      <c r="AO386" s="26"/>
      <c r="AP386" s="26"/>
      <c r="AQ386" s="26"/>
      <c r="AR386" s="26"/>
    </row>
    <row r="387" spans="19:44" x14ac:dyDescent="0.25"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H387" s="26"/>
      <c r="AI387" s="26"/>
      <c r="AJ387" s="26"/>
      <c r="AM387" s="26"/>
      <c r="AN387" s="26"/>
      <c r="AO387" s="26"/>
      <c r="AP387" s="26"/>
      <c r="AQ387" s="26"/>
      <c r="AR387" s="26"/>
    </row>
    <row r="388" spans="19:44" x14ac:dyDescent="0.25"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H388" s="26"/>
      <c r="AI388" s="26"/>
      <c r="AJ388" s="26"/>
      <c r="AM388" s="26"/>
      <c r="AN388" s="26"/>
      <c r="AO388" s="26"/>
      <c r="AP388" s="26"/>
      <c r="AQ388" s="26"/>
      <c r="AR388" s="26"/>
    </row>
    <row r="389" spans="19:44" x14ac:dyDescent="0.25"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H389" s="26"/>
      <c r="AI389" s="26"/>
      <c r="AJ389" s="26"/>
      <c r="AM389" s="26"/>
      <c r="AN389" s="26"/>
      <c r="AO389" s="26"/>
      <c r="AP389" s="26"/>
      <c r="AQ389" s="26"/>
      <c r="AR389" s="26"/>
    </row>
    <row r="390" spans="19:44" x14ac:dyDescent="0.25"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H390" s="26"/>
      <c r="AI390" s="26"/>
      <c r="AJ390" s="26"/>
      <c r="AM390" s="26"/>
      <c r="AN390" s="26"/>
      <c r="AO390" s="26"/>
      <c r="AP390" s="26"/>
      <c r="AQ390" s="26"/>
      <c r="AR390" s="26"/>
    </row>
    <row r="391" spans="19:44" x14ac:dyDescent="0.25"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H391" s="26"/>
      <c r="AI391" s="26"/>
      <c r="AJ391" s="26"/>
      <c r="AM391" s="26"/>
      <c r="AN391" s="26"/>
      <c r="AO391" s="26"/>
      <c r="AP391" s="26"/>
      <c r="AQ391" s="26"/>
      <c r="AR391" s="26"/>
    </row>
    <row r="392" spans="19:44" x14ac:dyDescent="0.25"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H392" s="26"/>
      <c r="AI392" s="26"/>
      <c r="AJ392" s="26"/>
      <c r="AM392" s="26"/>
      <c r="AN392" s="26"/>
      <c r="AO392" s="26"/>
      <c r="AP392" s="26"/>
      <c r="AQ392" s="26"/>
      <c r="AR392" s="26"/>
    </row>
    <row r="393" spans="19:44" x14ac:dyDescent="0.25"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H393" s="26"/>
      <c r="AI393" s="26"/>
      <c r="AJ393" s="26"/>
      <c r="AM393" s="26"/>
      <c r="AN393" s="26"/>
      <c r="AO393" s="26"/>
      <c r="AP393" s="26"/>
      <c r="AQ393" s="26"/>
      <c r="AR393" s="26"/>
    </row>
    <row r="394" spans="19:44" x14ac:dyDescent="0.25"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H394" s="26"/>
      <c r="AI394" s="26"/>
      <c r="AJ394" s="26"/>
      <c r="AM394" s="26"/>
      <c r="AN394" s="26"/>
      <c r="AO394" s="26"/>
      <c r="AP394" s="26"/>
      <c r="AQ394" s="26"/>
      <c r="AR394" s="26"/>
    </row>
    <row r="395" spans="19:44" x14ac:dyDescent="0.25"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H395" s="26"/>
      <c r="AI395" s="26"/>
      <c r="AJ395" s="26"/>
      <c r="AM395" s="26"/>
      <c r="AN395" s="26"/>
      <c r="AO395" s="26"/>
      <c r="AP395" s="26"/>
      <c r="AQ395" s="26"/>
      <c r="AR395" s="26"/>
    </row>
    <row r="396" spans="19:44" x14ac:dyDescent="0.25"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H396" s="26"/>
      <c r="AI396" s="26"/>
      <c r="AJ396" s="26"/>
    </row>
    <row r="397" spans="19:44" x14ac:dyDescent="0.25"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H397" s="26"/>
      <c r="AI397" s="26"/>
      <c r="AJ397" s="26"/>
    </row>
    <row r="398" spans="19:44" x14ac:dyDescent="0.25"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H398" s="26"/>
      <c r="AI398" s="26"/>
      <c r="AJ398" s="26"/>
    </row>
    <row r="399" spans="19:44" x14ac:dyDescent="0.25"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H399" s="26"/>
      <c r="AI399" s="26"/>
      <c r="AJ399" s="26"/>
    </row>
    <row r="400" spans="19:44" x14ac:dyDescent="0.25"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H400" s="26"/>
      <c r="AI400" s="26"/>
      <c r="AJ400" s="26"/>
    </row>
    <row r="401" spans="19:36" x14ac:dyDescent="0.25"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H401" s="26"/>
      <c r="AI401" s="26"/>
      <c r="AJ401" s="26"/>
    </row>
    <row r="402" spans="19:36" x14ac:dyDescent="0.25"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H402" s="26"/>
      <c r="AI402" s="26"/>
      <c r="AJ402" s="26"/>
    </row>
    <row r="403" spans="19:36" x14ac:dyDescent="0.25"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H403" s="26"/>
      <c r="AI403" s="26"/>
      <c r="AJ403" s="26"/>
    </row>
    <row r="404" spans="19:36" x14ac:dyDescent="0.25"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H404" s="26"/>
      <c r="AI404" s="26"/>
      <c r="AJ404" s="26"/>
    </row>
    <row r="405" spans="19:36" x14ac:dyDescent="0.25"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H405" s="26"/>
      <c r="AI405" s="26"/>
      <c r="AJ405" s="26"/>
    </row>
    <row r="406" spans="19:36" x14ac:dyDescent="0.25"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H406" s="26"/>
      <c r="AI406" s="26"/>
      <c r="AJ406" s="26"/>
    </row>
    <row r="407" spans="19:36" x14ac:dyDescent="0.25"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H407" s="26"/>
      <c r="AI407" s="26"/>
      <c r="AJ407" s="26"/>
    </row>
    <row r="408" spans="19:36" x14ac:dyDescent="0.25"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H408" s="26"/>
      <c r="AI408" s="26"/>
      <c r="AJ408" s="26"/>
    </row>
    <row r="409" spans="19:36" x14ac:dyDescent="0.25"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H409" s="26"/>
      <c r="AI409" s="26"/>
      <c r="AJ409" s="26"/>
    </row>
    <row r="410" spans="19:36" x14ac:dyDescent="0.25"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H410" s="26"/>
      <c r="AI410" s="26"/>
      <c r="AJ410" s="26"/>
    </row>
    <row r="411" spans="19:36" x14ac:dyDescent="0.25"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H411" s="26"/>
      <c r="AI411" s="26"/>
      <c r="AJ411" s="26"/>
    </row>
    <row r="412" spans="19:36" x14ac:dyDescent="0.25"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H412" s="26"/>
      <c r="AI412" s="26"/>
      <c r="AJ412" s="26"/>
    </row>
    <row r="413" spans="19:36" x14ac:dyDescent="0.25"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H413" s="26"/>
      <c r="AI413" s="26"/>
      <c r="AJ413" s="26"/>
    </row>
    <row r="414" spans="19:36" x14ac:dyDescent="0.25"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H414" s="26"/>
      <c r="AI414" s="26"/>
      <c r="AJ414" s="26"/>
    </row>
    <row r="415" spans="19:36" x14ac:dyDescent="0.25"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H415" s="26"/>
      <c r="AI415" s="26"/>
      <c r="AJ415" s="26"/>
    </row>
    <row r="416" spans="19:36" x14ac:dyDescent="0.25"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H416" s="26"/>
      <c r="AI416" s="26"/>
      <c r="AJ416" s="26"/>
    </row>
    <row r="417" spans="19:36" x14ac:dyDescent="0.25"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H417" s="26"/>
      <c r="AI417" s="26"/>
      <c r="AJ417" s="26"/>
    </row>
    <row r="418" spans="19:36" x14ac:dyDescent="0.25"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H418" s="26"/>
      <c r="AI418" s="26"/>
      <c r="AJ418" s="26"/>
    </row>
    <row r="419" spans="19:36" x14ac:dyDescent="0.25"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H419" s="26"/>
      <c r="AI419" s="26"/>
      <c r="AJ419" s="26"/>
    </row>
    <row r="420" spans="19:36" x14ac:dyDescent="0.25"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H420" s="26"/>
      <c r="AI420" s="26"/>
      <c r="AJ420" s="26"/>
    </row>
    <row r="421" spans="19:36" x14ac:dyDescent="0.25"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H421" s="26"/>
      <c r="AI421" s="26"/>
      <c r="AJ421" s="26"/>
    </row>
    <row r="422" spans="19:36" x14ac:dyDescent="0.25"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H422" s="26"/>
      <c r="AI422" s="26"/>
      <c r="AJ422" s="26"/>
    </row>
    <row r="423" spans="19:36" x14ac:dyDescent="0.25"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H423" s="26"/>
      <c r="AI423" s="26"/>
      <c r="AJ423" s="26"/>
    </row>
    <row r="424" spans="19:36" x14ac:dyDescent="0.25"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H424" s="26"/>
      <c r="AI424" s="26"/>
      <c r="AJ424" s="26"/>
    </row>
    <row r="425" spans="19:36" x14ac:dyDescent="0.25"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H425" s="26"/>
      <c r="AI425" s="26"/>
      <c r="AJ425" s="26"/>
    </row>
    <row r="426" spans="19:36" x14ac:dyDescent="0.25"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H426" s="26"/>
      <c r="AI426" s="26"/>
      <c r="AJ426" s="26"/>
    </row>
    <row r="427" spans="19:36" x14ac:dyDescent="0.25"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H427" s="26"/>
      <c r="AI427" s="26"/>
      <c r="AJ427" s="26"/>
    </row>
    <row r="428" spans="19:36" x14ac:dyDescent="0.25"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H428" s="26"/>
      <c r="AI428" s="26"/>
      <c r="AJ428" s="26"/>
    </row>
    <row r="429" spans="19:36" x14ac:dyDescent="0.25"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H429" s="26"/>
      <c r="AI429" s="26"/>
      <c r="AJ429" s="26"/>
    </row>
    <row r="430" spans="19:36" x14ac:dyDescent="0.25"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H430" s="26"/>
      <c r="AI430" s="26"/>
      <c r="AJ430" s="26"/>
    </row>
    <row r="431" spans="19:36" x14ac:dyDescent="0.25"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H431" s="26"/>
      <c r="AI431" s="26"/>
      <c r="AJ431" s="26"/>
    </row>
    <row r="432" spans="19:36" x14ac:dyDescent="0.25"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H432" s="26"/>
      <c r="AI432" s="26"/>
      <c r="AJ432" s="26"/>
    </row>
    <row r="433" spans="19:36" x14ac:dyDescent="0.25"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H433" s="26"/>
      <c r="AI433" s="26"/>
      <c r="AJ433" s="26"/>
    </row>
    <row r="434" spans="19:36" x14ac:dyDescent="0.25"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H434" s="26"/>
      <c r="AI434" s="26"/>
      <c r="AJ434" s="26"/>
    </row>
  </sheetData>
  <customSheetViews>
    <customSheetView guid="{638E9BBB-9DE1-4C03-99E5-6DF442C45AE3}" scale="110" showPageBreaks="1">
      <pane xSplit="2" ySplit="1" topLeftCell="C215" activePane="bottomRight" state="frozen"/>
      <selection pane="bottomRight" activeCell="AE244" sqref="AE244"/>
      <pageMargins left="0.7" right="0.7" top="0.78740157499999996" bottom="0.78740157499999996" header="0.3" footer="0.3"/>
      <pageSetup paperSize="9" orientation="portrait" r:id="rId1"/>
    </customSheetView>
  </customSheetViews>
  <mergeCells count="1">
    <mergeCell ref="A1:B1"/>
  </mergeCells>
  <pageMargins left="0.7" right="0.7" top="0.78740157499999996" bottom="0.78740157499999996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11</vt:i4>
      </vt:variant>
    </vt:vector>
  </HeadingPairs>
  <TitlesOfParts>
    <vt:vector size="20" baseType="lpstr">
      <vt:lpstr>Content</vt:lpstr>
      <vt:lpstr>CIF_ResultMatrix</vt:lpstr>
      <vt:lpstr>CIF_ResultMatrix_XPath_Conv</vt:lpstr>
      <vt:lpstr>CIF_ResultMatrix_XPath_NonOVC</vt:lpstr>
      <vt:lpstr>CIF_ResultMatrix_XPath OVC</vt:lpstr>
      <vt:lpstr>CIF_ResultMatrix_XPath_PEV</vt:lpstr>
      <vt:lpstr>CIF_ResultMatrix_Explanation</vt:lpstr>
      <vt:lpstr>CIF_Content_per_Architecture</vt:lpstr>
      <vt:lpstr>MRF_Content_perArchitecture</vt:lpstr>
      <vt:lpstr>MRF_Content_perArchitecture!_Hlk1126142</vt:lpstr>
      <vt:lpstr>MRF_Content_perArchitecture!_Hlk1126182</vt:lpstr>
      <vt:lpstr>MRF_Content_perArchitecture!_Hlk1126201</vt:lpstr>
      <vt:lpstr>MRF_Content_perArchitecture!_Hlk1126953</vt:lpstr>
      <vt:lpstr>MRF_Content_perArchitecture!_Hlk1126981</vt:lpstr>
      <vt:lpstr>MRF_Content_perArchitecture!_Hlk1127053</vt:lpstr>
      <vt:lpstr>MRF_Content_perArchitecture!_Hlk1128606</vt:lpstr>
      <vt:lpstr>MRF_Content_perArchitecture!_Hlk1131303</vt:lpstr>
      <vt:lpstr>MRF_Content_perArchitecture!_Hlk1131335</vt:lpstr>
      <vt:lpstr>MRF_Content_perArchitecture!_Hlk1131572</vt:lpstr>
      <vt:lpstr>MRF_Content_perArchitecture!_Hlk1131611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Rexeis Martin</dc:creator>
  <cp:lastModifiedBy>Quaritsch Markus</cp:lastModifiedBy>
  <dcterms:created xsi:type="dcterms:W3CDTF">2023-04-19T10:11:27Z</dcterms:created>
  <dcterms:modified xsi:type="dcterms:W3CDTF">2025-05-13T12:36:52Z</dcterms:modified>
</cp:coreProperties>
</file>